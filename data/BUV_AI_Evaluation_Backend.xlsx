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18beb66e5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255198dfd74a5f"/>
    <x:sheet xmlns:r="http://schemas.openxmlformats.org/officeDocument/2006/relationships" name="AI_Register" sheetId="2" r:id="R79b3460ade324c09"/>
    <x:sheet xmlns:r="http://schemas.openxmlformats.org/officeDocument/2006/relationships" name="Assessment_Responses" sheetId="3" r:id="Rf7ecd2dbae564632"/>
    <x:sheet xmlns:r="http://schemas.openxmlformats.org/officeDocument/2006/relationships" name="Criteria_Master" sheetId="4" r:id="R7bd63eef905e449c"/>
    <x:sheet xmlns:r="http://schemas.openxmlformats.org/officeDocument/2006/relationships" name="Decision_Log" sheetId="5" r:id="R35a1c2bd35e342b6"/>
    <x:sheet xmlns:r="http://schemas.openxmlformats.org/officeDocument/2006/relationships" name="Dashboard" sheetId="6" r:id="Re522f1fe223940e8"/>
    <x:sheet xmlns:r="http://schemas.openxmlformats.org/officeDocument/2006/relationships" name="Lookups" sheetId="7" r:id="R66e07eaaeb2d436d"/>
    <x:sheet xmlns:r="http://schemas.openxmlformats.org/officeDocument/2006/relationships" name="Migration_Notes" sheetId="8" r:id="Rbb7198e389eb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dd-mmm-yyyy"/>
    <x:numFmt numFmtId="203" formatCode="0"/>
  </x:numFmts>
  <x:fonts count="1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8"/>
      <x:color rgb="FF1A377B"/>
      <x:name val="Carlito"/>
    </x:font>
    <x:font>
      <x:b/>
      <x:sz val="15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b/>
      <x:sz val="18"/>
      <x:color rgb="FF1A377B"/>
      <x:name val="Arial"/>
    </x:font>
    <x:font>
      <x:sz val="11"/>
      <x:color rgb="FF16794B"/>
      <x:name val="Arial"/>
    </x:font>
    <x:font>
      <x:sz val="11"/>
      <x:color rgb="FF9A6700"/>
      <x:name val="Arial"/>
    </x:font>
    <x:font>
      <x:sz val="11"/>
      <x:color rgb="FFB42318"/>
      <x:name val="Arial"/>
    </x:font>
    <x:font>
      <x:sz val="11"/>
      <x:color rgb="FF6941C6"/>
      <x:name val="Arial"/>
    </x:font>
    <x:font>
      <x:sz val="11"/>
      <x:color rgb="FF475467"/>
      <x:name val="Arial"/>
    </x:font>
    <x:font>
      <x:sz val="11"/>
      <x:color rgb="FF3538CD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A377B"/>
      </x:patternFill>
    </x:fill>
    <x:fill>
      <x:patternFill patternType="solid">
        <x:fgColor rgb="FFD91D24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EAF6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3EEFF"/>
      </x:patternFill>
    </x:fill>
    <x:fill>
      <x:patternFill patternType="solid">
        <x:fgColor rgb="FFF2F4F7"/>
      </x:patternFill>
    </x:fill>
    <x:fill>
      <x:patternFill patternType="solid">
        <x:fgColor rgb="FFEEF4FF"/>
      </x:patternFill>
    </x:fill>
    <x:fill>
      <x:patternFill patternType="solid">
        <x:fgColor rgb="FFE8EEF8"/>
      </x:patternFill>
    </x:fill>
    <x:fill>
      <x:patternFill patternType="solid">
        <x:fgColor rgb="FFFFF4D6"/>
      </x:patternFill>
    </x:fill>
    <x:fill>
      <x:patternFill patternType="solid">
        <x:fgColor rgb="FFEEF4FF"/>
      </x:patternFill>
    </x:fill>
    <x:fill>
      <x:patternFill patternType="solid">
        <x:fgColor rgb="FFFDECEC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9" fillId="0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10" fillId="6" borderId="0" xfId="0" applyNumberFormat="1" applyFont="1" applyFill="1" applyBorder="1"/>
    <x:xf numFmtId="0" fontId="6" fillId="7" borderId="0" xfId="0" applyNumberFormat="1" applyFont="1" applyFill="1" applyBorder="1"/>
    <x:xf numFmtId="0" fontId="11" fillId="7" borderId="0" xfId="0" applyNumberFormat="1" applyFont="1" applyFill="1" applyBorder="1"/>
    <x:xf numFmtId="0" fontId="6" fillId="8" borderId="0" xfId="0" applyNumberFormat="1" applyFont="1" applyFill="1" applyBorder="1"/>
    <x:xf numFmtId="0" fontId="12" fillId="8" borderId="0" xfId="0" applyNumberFormat="1" applyFont="1" applyFill="1" applyBorder="1"/>
    <x:xf numFmtId="0" fontId="6" fillId="9" borderId="0" xfId="0" applyNumberFormat="1" applyFont="1" applyFill="1" applyBorder="1"/>
    <x:xf numFmtId="0" fontId="13" fillId="9" borderId="0" xfId="0" applyNumberFormat="1" applyFont="1" applyFill="1" applyBorder="1"/>
    <x:xf numFmtId="0" fontId="6" fillId="10" borderId="0" xfId="0" applyNumberFormat="1" applyFont="1" applyFill="1" applyBorder="1"/>
    <x:xf numFmtId="0" fontId="14" fillId="10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3" fontId="12" fillId="8" borderId="0" xfId="0" applyNumberFormat="1" applyFont="1" applyFill="1" applyBorder="1" applyAlignment="1">
      <x:alignment wrapText="1"/>
    </x:xf>
    <x:xf numFmtId="203" fontId="10" fillId="6" borderId="0" xfId="0" applyNumberFormat="1" applyFont="1" applyFill="1" applyBorder="1" applyAlignment="1">
      <x:alignment wrapText="1"/>
    </x:xf>
    <x:xf numFmtId="203" fontId="15" fillId="11" borderId="0" xfId="0" applyNumberFormat="1" applyFont="1" applyFill="1" applyBorder="1" applyAlignment="1">
      <x:alignment wrapText="1"/>
    </x:xf>
    <x:xf numFmtId="203" fontId="14" fillId="1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 wrapText="1"/>
    </x:xf>
    <x:xf numFmtId="0" fontId="11" fillId="5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203" fontId="9" fillId="0" borderId="0" xfId="0" applyNumberFormat="1" applyFont="1" applyFill="1" applyBorder="1" applyAlignment="1">
      <x:alignment horizontal="center" wrapText="1"/>
    </x:xf>
    <x:xf numFmtId="203" fontId="6" fillId="0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/>
    <x:xf numFmtId="203" fontId="6" fillId="13" borderId="0" xfId="0" applyNumberFormat="1" applyFont="1" applyFill="1" applyBorder="1"/>
    <x:xf numFmtId="0" fontId="11" fillId="13" borderId="0" xfId="0" applyNumberFormat="1" applyFont="1" applyFill="1" applyBorder="1"/>
    <x:xf numFmtId="203" fontId="11" fillId="13" borderId="0" xfId="0" applyNumberFormat="1" applyFont="1" applyFill="1" applyBorder="1"/>
    <x:xf numFmtId="0" fontId="6" fillId="14" borderId="0" xfId="0" applyNumberFormat="1" applyFont="1" applyFill="1" applyBorder="1"/>
    <x:xf numFmtId="203" fontId="6" fillId="14" borderId="0" xfId="0" applyNumberFormat="1" applyFont="1" applyFill="1" applyBorder="1"/>
    <x:xf numFmtId="0" fontId="15" fillId="14" borderId="0" xfId="0" applyNumberFormat="1" applyFont="1" applyFill="1" applyBorder="1"/>
    <x:xf numFmtId="203" fontId="15" fillId="14" borderId="0" xfId="0" applyNumberFormat="1" applyFont="1" applyFill="1" applyBorder="1"/>
    <x:xf numFmtId="0" fontId="6" fillId="15" borderId="0" xfId="0" applyNumberFormat="1" applyFont="1" applyFill="1" applyBorder="1"/>
    <x:xf numFmtId="203" fontId="6" fillId="15" borderId="0" xfId="0" applyNumberFormat="1" applyFont="1" applyFill="1" applyBorder="1"/>
    <x:xf numFmtId="0" fontId="12" fillId="15" borderId="0" xfId="0" applyNumberFormat="1" applyFont="1" applyFill="1" applyBorder="1"/>
    <x:xf numFmtId="203" fontId="12" fillId="15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8A5B00"/>
      </x:font>
      <x:fill>
        <x:patternFill>
          <x:bgColor rgb="FFFFF4D6"/>
        </x:patternFill>
      </x:fill>
    </x:dxf>
    <x:dxf>
      <x:font>
        <x:b/>
        <x:color rgb="FF1E6B3A"/>
      </x:font>
      <x:fill>
        <x:patternFill>
          <x:bgColor rgb="FFEAF6EE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8A5B00"/>
      </x:font>
      <x:fill>
        <x:patternFill>
          <x:bgColor rgb="FFFFF4D6"/>
        </x:patternFill>
      </x:fill>
    </x:dxf>
    <x:dxf>
      <x:font>
        <x:b/>
        <x:color rgb="FF1E6B3A"/>
      </x:font>
      <x:fill>
        <x:patternFill>
          <x:bgColor rgb="FFEAF6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ef111487b47f5" /><Relationship Type="http://schemas.openxmlformats.org/officeDocument/2006/relationships/theme" Target="/xl/theme/theme1.xml" Id="Rd824cf6e657b4579" /><Relationship Type="http://schemas.openxmlformats.org/officeDocument/2006/relationships/sharedStrings" Target="/xl/sharedStrings.xml" Id="Re6f286d598804f71" /><Relationship Type="http://schemas.openxmlformats.org/officeDocument/2006/relationships/worksheet" Target="/xl/worksheets/sheet1.xml" Id="R77255198dfd74a5f" /><Relationship Type="http://schemas.openxmlformats.org/officeDocument/2006/relationships/worksheet" Target="/xl/worksheets/sheet2.xml" Id="R79b3460ade324c09" /><Relationship Type="http://schemas.openxmlformats.org/officeDocument/2006/relationships/worksheet" Target="/xl/worksheets/sheet3.xml" Id="Rf7ecd2dbae564632" /><Relationship Type="http://schemas.openxmlformats.org/officeDocument/2006/relationships/worksheet" Target="/xl/worksheets/sheet4.xml" Id="R7bd63eef905e449c" /><Relationship Type="http://schemas.openxmlformats.org/officeDocument/2006/relationships/worksheet" Target="/xl/worksheets/sheet5.xml" Id="R35a1c2bd35e342b6" /><Relationship Type="http://schemas.openxmlformats.org/officeDocument/2006/relationships/worksheet" Target="/xl/worksheets/sheet6.xml" Id="Re522f1fe223940e8" /><Relationship Type="http://schemas.openxmlformats.org/officeDocument/2006/relationships/worksheet" Target="/xl/worksheets/sheet7.xml" Id="R66e07eaaeb2d436d" /><Relationship Type="http://schemas.openxmlformats.org/officeDocument/2006/relationships/worksheet" Target="/xl/worksheets/sheet8.xml" Id="Rbb7198e389eb42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53b1a13d4c44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Services by Register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53b1a13d4c44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RegisterTable" displayName="AIRegisterTable" ref="A1:AP2" headerRowCount="1" totalsRowCount="0" totalsRowShown="0">
  <x:tableColumns count="42">
    <x:tableColumn id="1" name="Evaluation ID"/>
    <x:tableColumn id="2" name="Tool / Service"/>
    <x:tableColumn id="3" name="Provider"/>
    <x:tableColumn id="4" name="Account / Tenant"/>
    <x:tableColumn id="5" name="Purpose Domain"/>
    <x:tableColumn id="6" name="Primary Use Case"/>
    <x:tableColumn id="7" name="Requesting Unit"/>
    <x:tableColumn id="8" name="Sponsor / AI System Owner"/>
    <x:tableColumn id="9" name="User Group"/>
    <x:tableColumn id="10" name="Intended Scale"/>
    <x:tableColumn id="11" name="Data Classification"/>
    <x:tableColumn id="12" name="Personal Data"/>
    <x:tableColumn id="13" name="Research Confidentiality"/>
    <x:tableColumn id="14" name="Decision Impact"/>
    <x:tableColumn id="15" name="System Integration"/>
    <x:tableColumn id="16" name="Autonomous Actions"/>
    <x:tableColumn id="17" name="Procurement Type"/>
    <x:tableColumn id="18" name="Statutory High-Risk"/>
    <x:tableColumn id="19" name="Pathway"/>
    <x:tableColumn id="20" name="Assurance Stage"/>
    <x:tableColumn id="21" name="Technical Finding"/>
    <x:tableColumn id="22" name="Privacy / Legal Review"/>
    <x:tableColumn id="23" name="Academic / Professional Review"/>
    <x:tableColumn id="24" name="Procurement Review"/>
    <x:tableColumn id="25" name="Institutional Decision"/>
    <x:tableColumn id="26" name="Register Status"/>
    <x:tableColumn id="27" name="Conditions Summary"/>
    <x:tableColumn id="28" name="Residual Risk Owner"/>
    <x:tableColumn id="29" name="Review Date"/>
    <x:tableColumn id="30" name="Last Updated"/>
    <x:tableColumn id="31" name="Evidence / Link"/>
    <x:tableColumn id="32" name="Notes"/>
    <x:tableColumn id="33" name="Research / Ethics Review"/>
    <x:tableColumn id="34" name="Existing Assurance Scope"/>
    <x:tableColumn id="35" name="Secure Assessment Content"/>
    <x:tableColumn id="36" name="Human Participants / Ethics"/>
    <x:tableColumn id="37" name="NDA / Contractual Restrictions"/>
    <x:tableColumn id="38" name="Complete Request Date"/>
    <x:tableColumn id="39" name="Policy Assurance Trigger"/>
    <x:tableColumn id="40" name="Safe Exploration Eligibility"/>
    <x:tableColumn id="41" name="Assessment Target Status"/>
    <x:tableColumn id="42" name="Pathway Evidence 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ssmentResponsesTable" displayName="AssessmentResponsesTable" ref="A1:O2" headerRowCount="1" totalsRowCount="0" totalsRowShown="0">
  <x:tableColumns count="15">
    <x:tableColumn id="1" name="Evaluation ID"/>
    <x:tableColumn id="2" name="Criterion ID"/>
    <x:tableColumn id="3" name="Domain"/>
    <x:tableColumn id="4" name="Criterion"/>
    <x:tableColumn id="5" name="Primary Owner"/>
    <x:tableColumn id="6" name="Critical Trigger"/>
    <x:tableColumn id="7" name="Rating"/>
    <x:tableColumn id="8" name="Score"/>
    <x:tableColumn id="9" name="Evidence / Source"/>
    <x:tableColumn id="10" name="Finding / Notes"/>
    <x:tableColumn id="11" name="Mitigation / Condition"/>
    <x:tableColumn id="12" name="Action Owner"/>
    <x:tableColumn id="13" name="Due Date"/>
    <x:tableColumn id="14" name="Review Status"/>
    <x:tableColumn id="15" name="Upda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eriaMasterTable" displayName="CriteriaMasterTable" ref="A1:K31" headerRowCount="1" totalsRowCount="0" totalsRowShown="0">
  <x:tableColumns count="11">
    <x:tableColumn id="1" name="Criterion ID"/>
    <x:tableColumn id="2" name="Domain"/>
    <x:tableColumn id="3" name="Criterion"/>
    <x:tableColumn id="4" name="Assessment Question"/>
    <x:tableColumn id="5" name="Primary Owner"/>
    <x:tableColumn id="6" name="Critical Trigger"/>
    <x:tableColumn id="7" name="Low (1) — evidence indicates"/>
    <x:tableColumn id="8" name="Medium (2) — evidence indicates"/>
    <x:tableColumn id="9" name="High (3) — evidence indicates"/>
    <x:tableColumn id="10" name="Source Basis"/>
    <x:tableColumn id="11" name="Sort 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LogTable" displayName="DecisionLogTable" ref="A1:M2" headerRowCount="1" totalsRowCount="0" totalsRowShown="0">
  <x:tableColumns count="13">
    <x:tableColumn id="1" name="Decision ID"/>
    <x:tableColumn id="2" name="Evaluation ID"/>
    <x:tableColumn id="3" name="Decision Date"/>
    <x:tableColumn id="4" name="Decision Type"/>
    <x:tableColumn id="5" name="Register Status"/>
    <x:tableColumn id="6" name="Decision Owner"/>
    <x:tableColumn id="7" name="Support Functions"/>
    <x:tableColumn id="8" name="Conditions / Required Actions"/>
    <x:tableColumn id="9" name="Residual Risk Accepted By"/>
    <x:tableColumn id="10" name="Review Date"/>
    <x:tableColumn id="11" name="Rationale"/>
    <x:tableColumn id="12" name="Recorded By"/>
    <x:tableColumn id="13" name="Timestam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5a14f3e6b4b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6d6ddae181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ffd184202649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eedae90acd4d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1fac8a1a75e45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58" hidden="0" customWidth="1"/>
    <x:col min="4" max="4" width="42" hidden="0" customWidth="1"/>
  </x:cols>
  <x:sheetData>
    <x:row r="1">
      <x:c r="A1" s="97" t="str">
        <x:v>BUV AI Evaluation Backend — Decision Support Platform v2.0.0</x:v>
      </x:c>
      <x:c r="B1" s="97"/>
      <x:c r="C1" s="97"/>
      <x:c r="D1" s="97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>
      <x:c r="A2" s="97" t="str">
        <x:v>Governance source status</x:v>
      </x:c>
      <x:c r="B2" s="97" t="str">
        <x:v>BUV AI Usage Guideline v3.0 = Final Draft for Committee Approval; ICT AI Technology Use Policy 2026 = Final uplifted draft for institutional review and approval. Technical production readiness does not constitute institutional policy approval.</x:v>
      </x:c>
      <x:c r="C2" s="97"/>
      <x:c r="D2" s="97"/>
      <x:c r="E2" s="52"/>
      <x:c r="F2" s="52"/>
      <x:c r="G2" s="52"/>
      <x:c r="H2" s="52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  <x:c r="AA2" s="53"/>
      <x:c r="AB2" s="53"/>
      <x:c r="AC2" s="53"/>
      <x:c r="AD2" s="53"/>
      <x:c r="AE2" s="53"/>
      <x:c r="AF2" s="53"/>
    </x:row>
    <x:row r="3" ht="26.399999618530273" hidden="0" customHeight="1">
      <x:c r="A3" s="55" t="str">
        <x:v>Purpose</x:v>
      </x:c>
      <x:c r="B3" s="55" t="str">
        <x:v>Evidence-backed local decision support for AI service/use-case triage, proportionate assessment, specialist review, lifecycle decision and the BUV AI Services Register.</x:v>
      </x:c>
      <x:c r="C3" s="55"/>
      <x:c r="D3" s="55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</x:row>
    <x:row r="4" ht="15" hidden="0" customHeight="1">
      <x:c r="A4" s="96" t="str">
        <x:v>Important boundary</x:v>
      </x:c>
      <x:c r="B4" s="96" t="str">
        <x:v>The platform provides deterministic governance guidance and record-keeping. It does not make legal, academic, privacy, ethics, procurement or institutional risk decisions on behalf of authorised BUV functions.</x:v>
      </x:c>
      <x:c r="C4" s="96"/>
      <x:c r="D4" s="96"/>
      <x:c r="E4" s="54"/>
      <x:c r="F4" s="54"/>
      <x:c r="G4" s="54"/>
      <x:c r="H4" s="54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  <x:c r="AA4" s="53"/>
      <x:c r="AB4" s="53"/>
      <x:c r="AC4" s="53"/>
      <x:c r="AD4" s="53"/>
      <x:c r="AE4" s="53"/>
      <x:c r="AF4" s="53"/>
    </x:row>
    <x:row r="5" ht="15" hidden="0" customHeight="1">
      <x:c r="A5" s="55" t="str">
        <x:v>Unit of evaluation</x:v>
      </x:c>
      <x:c r="B5" s="55" t="str">
        <x:v>One service + account/tenant/environment + feature/integration + purpose + user group + permitted data scope. A vendor brand alone is not an approval object.</x:v>
      </x:c>
      <x:c r="C5" s="55"/>
      <x:c r="D5" s="55"/>
      <x:c r="E5" s="55"/>
      <x:c r="F5" s="55"/>
      <x:c r="G5" s="55"/>
      <x:c r="H5" s="55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  <x:c r="AA5" s="53"/>
      <x:c r="AB5" s="53"/>
      <x:c r="AC5" s="53"/>
      <x:c r="AD5" s="53"/>
      <x:c r="AE5" s="53"/>
      <x:c r="AF5" s="53"/>
    </x:row>
    <x:row r="6" ht="15" hidden="0" customHeight="1">
      <x:c r="A6" s="55" t="str">
        <x:v>Decision design</x:v>
      </x:c>
      <x:c r="B6" s="55" t="str">
        <x:v>The action lane answers 'what may I do now?'. GREEN / AMBER / RED / RESEARCH CONFIDENTIALITY remains a supporting governance route, separate from legal classification and the institutional decision.</x:v>
      </x:c>
      <x:c r="C6" s="55"/>
      <x:c r="D6" s="55"/>
      <x:c r="E6" s="55"/>
      <x:c r="F6" s="55"/>
      <x:c r="G6" s="55"/>
      <x:c r="H6" s="55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</x:row>
    <x:row r="7" ht="15" hidden="0" customHeight="1">
      <x:c r="A7" s="55"/>
      <x:c r="B7" s="55"/>
      <x:c r="C7" s="55"/>
      <x:c r="D7" s="55"/>
      <x:c r="E7" s="55"/>
      <x:c r="F7" s="55"/>
      <x:c r="G7" s="55"/>
      <x:c r="H7" s="55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3"/>
      <x:c r="AF7" s="53"/>
    </x:row>
    <x:row r="8" ht="15" hidden="0" customHeight="1">
      <x:c r="A8" s="55" t="str">
        <x:v>Smart guided flow — v2.0</x:v>
      </x:c>
      <x:c r="B8" s="55"/>
      <x:c r="C8" s="55"/>
      <x:c r="D8" s="55"/>
      <x:c r="E8" s="55"/>
      <x:c r="F8" s="55"/>
      <x:c r="G8" s="55"/>
      <x:c r="H8" s="55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</x:row>
    <x:row r="9" ht="15" hidden="0" customHeight="1">
      <x:c r="A9" s="55" t="str">
        <x:v>Step</x:v>
      </x:c>
      <x:c r="B9" s="55" t="str">
        <x:v>Stakeholder action</x:v>
      </x:c>
      <x:c r="C9" s="55" t="str">
        <x:v>Platform action</x:v>
      </x:c>
      <x:c r="D9" s="55" t="str">
        <x:v>Typical outcome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</x:row>
    <x:row r="10" ht="15" hidden="0" customHeight="1">
      <x:c r="A10" s="96" t="str">
        <x:v>1</x:v>
      </x:c>
      <x:c r="B10" s="96" t="str">
        <x:v>Define the real use case</x:v>
      </x:c>
      <x:c r="C10" s="96" t="str">
        <x:v>Capture exact service, environment and bounded workflow.</x:v>
      </x:c>
      <x:c r="D10" s="96" t="str">
        <x:v>A specific evaluation scope.</x:v>
      </x:c>
      <x:c r="E10" s="54"/>
      <x:c r="F10" s="54"/>
      <x:c r="G10" s="54"/>
      <x:c r="H10" s="54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</x:row>
    <x:row r="11" ht="39.599998474121094" hidden="0" customHeight="1">
      <x:c r="A11" s="95" t="str">
        <x:v>2</x:v>
      </x:c>
      <x:c r="B11" s="95" t="str">
        <x:v>Enter context</x:v>
      </x:c>
      <x:c r="C11" s="95" t="str">
        <x:v>Capture owner, unit, users, scale and existing assurance.</x:v>
      </x:c>
      <x:c r="D11" s="95" t="str">
        <x:v>Accountability and scope.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</x:row>
    <x:row r="12" ht="66" hidden="0" customHeight="1">
      <x:c r="A12" s="55" t="str">
        <x:v>3</x:v>
      </x:c>
      <x:c r="B12" s="55" t="str">
        <x:v>Enter data and impact</x:v>
      </x:c>
      <x:c r="C12" s="55" t="str">
        <x:v>Capture information class, personal-data/de-identification state, research/assessment/ethics/contract triggers and impact.</x:v>
      </x:c>
      <x:c r="D12" s="55" t="str">
        <x:v>Governance triggers without asking users to make legal determinations.</x:v>
      </x:c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</x:row>
    <x:row r="13" ht="52.79999923706055" hidden="0" customHeight="1">
      <x:c r="A13" s="55" t="str">
        <x:v>4</x:v>
      </x:c>
      <x:c r="B13" s="55" t="str">
        <x:v>Enter integration/autonomy</x:v>
      </x:c>
      <x:c r="C13" s="55" t="str">
        <x:v>Capture system access, autonomous actions and procurement route; save governed draft.</x:v>
      </x:c>
      <x:c r="D13" s="55" t="str">
        <x:v>Evaluation ID and Excel record.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</x:row>
    <x:row r="14" ht="52.79999923706055" hidden="0" customHeight="1">
      <x:c r="A14" s="55" t="str">
        <x:v>5</x:v>
      </x:c>
      <x:c r="B14" s="55" t="str">
        <x:v>Understand route &amp; action</x:v>
      </x:c>
      <x:c r="C14" s="55" t="str">
        <x:v>Calculate action lane first, then supporting colour, reasons, allowed action now, stop condition and next owner.</x:v>
      </x:c>
      <x:c r="D14" s="55" t="str">
        <x:v>Routine Assured Use / Safe Exploration / Formal Assessment / Research Confidentiality.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</x:row>
    <x:row r="15" ht="52.79999923706055" hidden="0" customHeight="1">
      <x:c r="A15" s="55" t="str">
        <x:v>6</x:v>
      </x:c>
      <x:c r="B15" s="55" t="str">
        <x:v>Complete proportionate evidence</x:v>
      </x:c>
      <x:c r="C15" s="55" t="str">
        <x:v>Show Required criteria first, Recommended criteria second, and auto-mark genuinely Not in scope items.</x:v>
      </x:c>
      <x:c r="D15" s="55" t="str">
        <x:v>Right-sized evidence rather than 30 mandatory questions every time.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</x:row>
    <x:row r="16" ht="26.399999618530273" hidden="0" customHeight="1">
      <x:c r="A16" s="55" t="str">
        <x:v>7</x:v>
      </x:c>
      <x:c r="B16" s="55" t="str">
        <x:v>Complete triggered specialist reviews</x:v>
      </x:c>
      <x:c r="C16" s="55" t="str">
        <x:v>Show only reviews triggered by the facts and explain why each is required.</x:v>
      </x:c>
      <x:c r="D16" s="55" t="str">
        <x:v>ICT, Privacy/Legal, Academic/Professional, Research/Ethics and/or Procurement as applicable.</x:v>
      </x:c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3"/>
      <x:c r="AB16" s="53"/>
      <x:c r="AC16" s="53"/>
      <x:c r="AD16" s="53"/>
      <x:c r="AE16" s="53"/>
      <x:c r="AF16" s="53"/>
    </x:row>
    <x:row r="17" ht="39.599998474121094" hidden="0" customHeight="1">
      <x:c r="A17" s="55" t="str">
        <x:v>8</x:v>
      </x:c>
      <x:c r="B17" s="55" t="str">
        <x:v>Record delegated decision</x:v>
      </x:c>
      <x:c r="C17" s="55" t="str">
        <x:v>Validate required evidence/reviews before the authorised owner records the lifecycle decision.</x:v>
      </x:c>
      <x:c r="D17" s="55" t="str">
        <x:v>Approve / Conditional / Pilot / Reject / Suspend / Retire.</x:v>
      </x:c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  <x:c r="AA17" s="53"/>
      <x:c r="AB17" s="53"/>
      <x:c r="AC17" s="53"/>
      <x:c r="AD17" s="53"/>
      <x:c r="AE17" s="53"/>
      <x:c r="AF17" s="53"/>
    </x:row>
    <x:row r="18" ht="15" hidden="0" customHeight="1">
      <x:c r="A18" s="96" t="str">
        <x:v>9</x:v>
      </x:c>
      <x:c r="B18" s="96" t="str">
        <x:v>Set Register status</x:v>
      </x:c>
      <x:c r="C18" s="96" t="str">
        <x:v>Map decision to BUV Provided/Assured, Conditional, Pilot, Restricted, Suspended or Retired.</x:v>
      </x:c>
      <x:c r="D18" s="96" t="str">
        <x:v>Authoritative lifecycle status.</x:v>
      </x:c>
      <x:c r="E18" s="54"/>
      <x:c r="F18" s="54"/>
      <x:c r="G18" s="54"/>
      <x:c r="H18" s="54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3"/>
      <x:c r="AB18" s="53"/>
      <x:c r="AC18" s="53"/>
      <x:c r="AD18" s="53"/>
      <x:c r="AE18" s="53"/>
      <x:c r="AF18" s="53"/>
    </x:row>
    <x:row r="19" ht="39.599998474121094" hidden="0" customHeight="1">
      <x:c r="A19" s="56" t="str">
        <x:v>10</x:v>
      </x:c>
      <x:c r="B19" s="56" t="str">
        <x:v>Set review/reassessment</x:v>
      </x:c>
      <x:c r="C19" s="55" t="str">
        <x:v>Record review date, owner and material-change triggers; append the Decision Log.</x:v>
      </x:c>
      <x:c r="D19" s="55" t="str">
        <x:v>Traceable outcome and next review.</x:v>
      </x:c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  <x:c r="AA19" s="53"/>
      <x:c r="AB19" s="53"/>
      <x:c r="AC19" s="53"/>
      <x:c r="AD19" s="53"/>
      <x:c r="AE19" s="53"/>
      <x:c r="AF19" s="53"/>
    </x:row>
    <x:row r="20" ht="15" hidden="0" customHeight="1">
      <x:c r="A20" s="55"/>
      <x:c r="B20" s="55"/>
      <x:c r="C20" s="55"/>
      <x:c r="D20" s="55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3"/>
      <x:c r="AB20" s="53"/>
      <x:c r="AC20" s="53"/>
      <x:c r="AD20" s="53"/>
      <x:c r="AE20" s="53"/>
      <x:c r="AF20" s="53"/>
    </x:row>
    <x:row r="21" ht="15" hidden="0" customHeight="1">
      <x:c r="A21" s="55" t="str">
        <x:v>Operational lanes</x:v>
      </x:c>
      <x:c r="B21" s="55"/>
      <x:c r="C21" s="55"/>
      <x:c r="D21" s="55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  <x:c r="AA21" s="53"/>
      <x:c r="AB21" s="53"/>
      <x:c r="AC21" s="53"/>
      <x:c r="AD21" s="53"/>
      <x:c r="AE21" s="53"/>
      <x:c r="AF21" s="53"/>
    </x:row>
    <x:row r="22" ht="26.399999618530273" hidden="0" customHeight="1">
      <x:c r="A22" s="55" t="str">
        <x:v>Routine Assured Use</x:v>
      </x:c>
      <x:c r="B22" s="55" t="str">
        <x:v>Exact use remains inside a BUV-assured service scope. No repeated full assessment; follow recorded conditions and normal controls.</x:v>
      </x:c>
      <x:c r="C22" s="55"/>
      <x:c r="D22" s="55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3"/>
      <x:c r="AB22" s="53"/>
      <x:c r="AC22" s="53"/>
      <x:c r="AD22" s="53"/>
      <x:c r="AE22" s="53"/>
      <x:c r="AF22" s="53"/>
    </x:row>
    <x:row r="23" ht="26.399999618530273" hidden="0" customHeight="1">
      <x:c r="A23" s="55" t="str">
        <x:v>Safe Exploration</x:v>
      </x:c>
      <x:c r="B23" s="55" t="str">
        <x:v>Unassessed service may be explored with public/synthetic/non-sensitive data, no BUV system integration and no production deployment. This is not institutional approval.</x:v>
      </x:c>
      <x:c r="C23" s="55"/>
      <x:c r="D23" s="55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  <x:c r="AA23" s="53"/>
      <x:c r="AB23" s="53"/>
      <x:c r="AC23" s="53"/>
      <x:c r="AD23" s="53"/>
      <x:c r="AE23" s="53"/>
      <x:c r="AF23" s="53"/>
    </x:row>
    <x:row r="24" ht="26.399999618530273" hidden="0" customHeight="1">
      <x:c r="A24" s="55" t="str">
        <x:v>Formal Assessment</x:v>
      </x:c>
      <x:c r="B24" s="55" t="str">
        <x:v>Triggered by controlled/sensitive data, consequential decisions, integrations/autonomy, procurement/deployment, legal/high-impact triggers or material scope expansion.</x:v>
      </x:c>
      <x:c r="C24" s="55"/>
      <x:c r="D24" s="55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3"/>
      <x:c r="AB24" s="53"/>
      <x:c r="AC24" s="53"/>
      <x:c r="AD24" s="53"/>
      <x:c r="AE24" s="53"/>
      <x:c r="AF24" s="53"/>
    </x:row>
    <x:row r="25" ht="39.599998474121094" hidden="0" customHeight="1">
      <x:c r="A25" s="55" t="str">
        <x:v>Research Confidentiality</x:v>
      </x:c>
      <x:c r="B25" s="55" t="str">
        <x:v>Unpublished/patent/NDA/proprietary research uses an appropriately assured enterprise/API/research environment; personal data, ethics and contracts trigger their specialist owners.</x:v>
      </x:c>
      <x:c r="C25" s="55"/>
      <x:c r="D25" s="55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  <x:c r="AA25" s="53"/>
      <x:c r="AB25" s="53"/>
      <x:c r="AC25" s="53"/>
      <x:c r="AD25" s="53"/>
      <x:c r="AE25" s="53"/>
      <x:c r="AF25" s="53"/>
    </x:row>
    <x:row r="26" ht="15" hidden="0" customHeight="1">
      <x:c r="A26" s="55"/>
      <x:c r="B26" s="55"/>
      <x:c r="C26" s="55"/>
      <x:c r="D26" s="55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3"/>
      <x:c r="AB26" s="53"/>
      <x:c r="AC26" s="53"/>
      <x:c r="AD26" s="53"/>
      <x:c r="AE26" s="53"/>
      <x:c r="AF26" s="53"/>
    </x:row>
    <x:row r="27" ht="15" hidden="0" customHeight="1">
      <x:c r="A27" s="55" t="str">
        <x:v>Traffic-light examples</x:v>
      </x:c>
      <x:c r="B27" s="55"/>
      <x:c r="C27" s="55"/>
      <x:c r="D27" s="55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3"/>
      <x:c r="AD27" s="53"/>
      <x:c r="AE27" s="53"/>
      <x:c r="AF27" s="53"/>
    </x:row>
    <x:row r="28" ht="26.399999618530273" hidden="0" customHeight="1">
      <x:c r="A28" s="55" t="str">
        <x:v>GREEN</x:v>
      </x:c>
      <x:c r="B28" s="55" t="str">
        <x:v>Published literature summary for lesson preparation; public content only; lecturer checks output; no integration.</x:v>
      </x:c>
      <x:c r="C28" s="55"/>
      <x:c r="D28" s="55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3"/>
      <x:c r="AB28" s="53"/>
      <x:c r="AC28" s="53"/>
      <x:c r="AD28" s="53"/>
      <x:c r="AE28" s="53"/>
      <x:c r="AF28" s="53"/>
    </x:row>
    <x:row r="29" ht="26.399999618530273" hidden="0" customHeight="1">
      <x:c r="A29" s="55" t="str">
        <x:v>AMBER</x:v>
      </x:c>
      <x:c r="B29" s="55" t="str">
        <x:v>Internal departmental notes in an assured service; no sensitive data; authorised staff member independently decides final actions.</x:v>
      </x:c>
      <x:c r="C29" s="55"/>
      <x:c r="D29" s="55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  <x:c r="AA29" s="53"/>
      <x:c r="AB29" s="53"/>
      <x:c r="AC29" s="53"/>
      <x:c r="AD29" s="53"/>
      <x:c r="AE29" s="53"/>
      <x:c r="AF29" s="53"/>
    </x:row>
    <x:row r="30" ht="26.399999618530273" hidden="0" customHeight="1">
      <x:c r="A30" s="55" t="str">
        <x:v>RED</x:v>
      </x:c>
      <x:c r="B30" s="55" t="str">
        <x:v>AI ranks students for intervention or materially drives grading/admissions; or processes sensitive learner data/live exams; or can act in BUV systems.</x:v>
      </x:c>
      <x:c r="C30" s="55"/>
      <x:c r="D30" s="55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3"/>
      <x:c r="AB30" s="53"/>
      <x:c r="AC30" s="53"/>
      <x:c r="AD30" s="53"/>
      <x:c r="AE30" s="53"/>
      <x:c r="AF30" s="53"/>
    </x:row>
    <x:row r="31" ht="26.399999618530273" hidden="0" customHeight="1">
      <x:c r="A31" s="55" t="str">
        <x:v>RESEARCH CONFIDENTIALITY</x:v>
      </x:c>
      <x:c r="B31" s="55" t="str">
        <x:v>Unpublished manuscript, patent work or NDA material in an assured research environment. Consumer accounts are not the default control.</x:v>
      </x:c>
      <x:c r="C31" s="55"/>
      <x:c r="D31" s="55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  <x:c r="AA31" s="53"/>
      <x:c r="AB31" s="53"/>
      <x:c r="AC31" s="53"/>
      <x:c r="AD31" s="53"/>
      <x:c r="AE31" s="53"/>
      <x:c r="AF31" s="53"/>
    </x:row>
    <x:row r="32" ht="15" hidden="0" customHeight="1">
      <x:c r="A32" s="55"/>
      <x:c r="B32" s="55"/>
      <x:c r="C32" s="55"/>
      <x:c r="D32" s="55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3"/>
      <x:c r="AB32" s="53"/>
      <x:c r="AC32" s="53"/>
      <x:c r="AD32" s="53"/>
      <x:c r="AE32" s="53"/>
      <x:c r="AF32" s="53"/>
    </x:row>
    <x:row r="33" ht="26.399999618530273" hidden="0" customHeight="1">
      <x:c r="A33" s="55" t="str">
        <x:v>Data protection reminder</x:v>
      </x:c>
      <x:c r="B33" s="55" t="str">
        <x:v>Pseudonymised/masked data is still personal data where re-identification is reasonably possible. Treat it as personal until approved anonymisation criteria are met.</x:v>
      </x:c>
      <x:c r="C33" s="55"/>
      <x:c r="D33" s="55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  <x:c r="AA33" s="53"/>
      <x:c r="AB33" s="53"/>
      <x:c r="AC33" s="53"/>
      <x:c r="AD33" s="53"/>
      <x:c r="AE33" s="53"/>
      <x:c r="AF33" s="53"/>
    </x:row>
    <x:row r="34" ht="26.399999618530273" hidden="0" customHeight="1">
      <x:c r="A34" s="55" t="str">
        <x:v>15-working-day target</x:v>
      </x:c>
      <x:c r="B34" s="55" t="str">
        <x:v>Target is an escalation indicator, not deemed approval. Delay does not authorise production or controlled-data use.</x:v>
      </x:c>
      <x:c r="C34" s="55"/>
      <x:c r="D34" s="55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3"/>
      <x:c r="AB34" s="53"/>
      <x:c r="AC34" s="53"/>
      <x:c r="AD34" s="53"/>
      <x:c r="AE34" s="53"/>
      <x:c r="AF34" s="53"/>
    </x:row>
    <x:row r="35" ht="26.399999618530273" hidden="0" customHeight="1">
      <x:c r="A35" s="55" t="str">
        <x:v>Records</x:v>
      </x:c>
      <x:c r="B35" s="55" t="str">
        <x:v>AI_Register = current lifecycle record; Assessment_Responses = criterion evidence + applicability; Decision_Log = append-only decision history.</x:v>
      </x:c>
      <x:c r="C35" s="55"/>
      <x:c r="D35" s="55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  <x:c r="AA35" s="53"/>
      <x:c r="AB35" s="53"/>
      <x:c r="AC35" s="53"/>
      <x:c r="AD35" s="53"/>
      <x:c r="AE35" s="53"/>
      <x:c r="AF35" s="53"/>
    </x:row>
    <x:row r="36" ht="26.399999618530273" hidden="0" customHeight="1">
      <x:c r="A36" s="55" t="str">
        <x:v>Distribution</x:v>
      </x:c>
      <x:c r="B36" s="55" t="str">
        <x:v>This local/offline package is single-user. Multiple extracted copies do not form one central authoritative multi-user register.</x:v>
      </x:c>
      <x:c r="C36" s="55"/>
      <x:c r="D36" s="55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3"/>
      <x:c r="AB36" s="53"/>
      <x:c r="AC36" s="53"/>
      <x:c r="AD36" s="53"/>
      <x:c r="AE36" s="53"/>
      <x:c r="AF36" s="53"/>
    </x:row>
    <x:row r="37" ht="15" hidden="0" customHeight="1">
      <x:c r="A37" s="55"/>
      <x:c r="B37" s="55"/>
      <x:c r="C37" s="55"/>
      <x:c r="D37" s="55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  <x:c r="AA37" s="53"/>
      <x:c r="AB37" s="53"/>
      <x:c r="AC37" s="53"/>
      <x:c r="AD37" s="53"/>
      <x:c r="AE37" s="53"/>
      <x:c r="AF37" s="53"/>
    </x:row>
    <x:row r="38" ht="15" hidden="0" customHeight="1">
      <x:c r="A38" s="55"/>
      <x:c r="B38" s="55"/>
      <x:c r="C38" s="55"/>
      <x:c r="D38" s="55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3"/>
      <x:c r="AB38" s="53"/>
      <x:c r="AC38" s="53"/>
      <x:c r="AD38" s="53"/>
      <x:c r="AE38" s="53"/>
      <x:c r="AF38" s="53"/>
    </x:row>
    <x:row r="39" ht="15" hidden="0" customHeight="1">
      <x:c r="A39" s="55"/>
      <x:c r="B39" s="55"/>
      <x:c r="C39" s="55"/>
      <x:c r="D39" s="55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  <x:c r="AA39" s="53"/>
      <x:c r="AB39" s="53"/>
      <x:c r="AC39" s="53"/>
      <x:c r="AD39" s="53"/>
      <x:c r="AE39" s="53"/>
      <x:c r="AF39" s="53"/>
    </x:row>
    <x:row r="40" ht="15" hidden="0" customHeight="1">
      <x:c r="A40" s="55"/>
      <x:c r="B40" s="55"/>
      <x:c r="C40" s="55"/>
      <x:c r="D40" s="55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3"/>
      <x:c r="AB40" s="53"/>
      <x:c r="AC40" s="53"/>
      <x:c r="AD40" s="53"/>
      <x:c r="AE40" s="53"/>
      <x:c r="AF40" s="53"/>
    </x:row>
    <x:row r="41">
      <x:c r="A41" s="55"/>
      <x:c r="B41" s="55"/>
      <x:c r="C41" s="55"/>
      <x:c r="D41" s="55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  <x:c r="AA41" s="53"/>
      <x:c r="AB41" s="53"/>
      <x:c r="AC41" s="53"/>
      <x:c r="AD41" s="53"/>
      <x:c r="AE41" s="53"/>
      <x:c r="AF41" s="53"/>
    </x:row>
    <x:row r="42">
      <x:c r="A42" s="55"/>
      <x:c r="B42" s="55"/>
      <x:c r="C42" s="55"/>
      <x:c r="D42" s="55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3"/>
      <x:c r="AB42" s="53"/>
      <x:c r="AC42" s="53"/>
      <x:c r="AD42" s="53"/>
      <x:c r="AE42" s="53"/>
      <x:c r="AF42" s="53"/>
    </x:row>
    <x:row r="43">
      <x:c r="A43" s="55"/>
      <x:c r="B43" s="55"/>
      <x:c r="C43" s="55"/>
      <x:c r="D43" s="55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  <x:c r="AA43" s="53"/>
      <x:c r="AB43" s="53"/>
      <x:c r="AC43" s="53"/>
      <x:c r="AD43" s="53"/>
      <x:c r="AE43" s="53"/>
      <x:c r="AF43" s="53"/>
    </x:row>
    <x:row r="44">
      <x:c r="A44" s="55"/>
      <x:c r="B44" s="55"/>
      <x:c r="C44" s="55"/>
      <x:c r="D44" s="55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3"/>
      <x:c r="AB44" s="53"/>
      <x:c r="AC44" s="53"/>
      <x:c r="AD44" s="53"/>
      <x:c r="AE44" s="53"/>
      <x:c r="AF44" s="53"/>
    </x:row>
    <x:row r="45">
      <x:c r="A45" s="55"/>
      <x:c r="B45" s="55"/>
      <x:c r="C45" s="55"/>
      <x:c r="D45" s="55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  <x:c r="AA45" s="53"/>
      <x:c r="AB45" s="53"/>
      <x:c r="AC45" s="53"/>
      <x:c r="AD45" s="53"/>
      <x:c r="AE45" s="53"/>
      <x:c r="AF45" s="53"/>
    </x:row>
    <x:row r="46">
      <x:c r="A46" s="55"/>
      <x:c r="B46" s="55"/>
      <x:c r="C46" s="55"/>
      <x:c r="D46" s="55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3"/>
      <x:c r="AB46" s="53"/>
      <x:c r="AC46" s="53"/>
      <x:c r="AD46" s="53"/>
      <x:c r="AE46" s="53"/>
      <x:c r="AF46" s="53"/>
    </x:row>
    <x:row r="47">
      <x:c r="A47" s="55"/>
      <x:c r="B47" s="55"/>
      <x:c r="C47" s="55"/>
      <x:c r="D47" s="55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  <x:c r="AA47" s="53"/>
      <x:c r="AB47" s="53"/>
      <x:c r="AC47" s="53"/>
      <x:c r="AD47" s="53"/>
      <x:c r="AE47" s="53"/>
      <x:c r="AF47" s="53"/>
    </x:row>
    <x:row r="48">
      <x:c r="A48" s="55"/>
      <x:c r="B48" s="55"/>
      <x:c r="C48" s="55"/>
      <x:c r="D48" s="55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3"/>
      <x:c r="AB48" s="53"/>
      <x:c r="AC48" s="53"/>
      <x:c r="AD48" s="53"/>
      <x:c r="AE48" s="53"/>
      <x:c r="AF48" s="53"/>
    </x:row>
    <x:row r="49">
      <x:c r="A49" s="55"/>
      <x:c r="B49" s="55"/>
      <x:c r="C49" s="55"/>
      <x:c r="D49" s="55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  <x:c r="AA49" s="53"/>
      <x:c r="AB49" s="53"/>
      <x:c r="AC49" s="53"/>
      <x:c r="AD49" s="53"/>
      <x:c r="AE49" s="53"/>
      <x:c r="AF49" s="53"/>
    </x:row>
    <x:row r="50">
      <x:c r="A50" s="55"/>
      <x:c r="B50" s="55"/>
      <x:c r="C50" s="55"/>
      <x:c r="D50" s="55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3"/>
      <x:c r="AB50" s="53"/>
      <x:c r="AC50" s="53"/>
      <x:c r="AD50" s="53"/>
      <x:c r="AE50" s="53"/>
      <x:c r="AF50" s="53"/>
    </x:row>
    <x:row r="51">
      <x:c r="A51" s="55"/>
      <x:c r="B51" s="55"/>
      <x:c r="C51" s="55"/>
      <x:c r="D51" s="55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  <x:c r="AA51" s="53"/>
      <x:c r="AB51" s="53"/>
      <x:c r="AC51" s="53"/>
      <x:c r="AD51" s="53"/>
      <x:c r="AE51" s="53"/>
      <x:c r="AF51" s="53"/>
    </x:row>
    <x:row r="52">
      <x:c r="A52" s="55"/>
      <x:c r="B52" s="55"/>
      <x:c r="C52" s="55"/>
      <x:c r="D52" s="55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3"/>
    </x:row>
    <x:row r="53">
      <x:c r="A53" s="55"/>
      <x:c r="B53" s="55"/>
      <x:c r="C53" s="55"/>
      <x:c r="D53" s="55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3"/>
    </x:row>
    <x:row r="54">
      <x:c r="A54" s="55"/>
      <x:c r="B54" s="55"/>
      <x:c r="C54" s="55"/>
      <x:c r="D54" s="55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</x:row>
    <x:row r="55">
      <x:c r="A55" s="55"/>
      <x:c r="B55" s="55"/>
      <x:c r="C55" s="55"/>
      <x:c r="D55" s="55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</x:row>
    <x:row r="56">
      <x:c r="A56" s="55"/>
      <x:c r="B56" s="55"/>
      <x:c r="C56" s="55"/>
      <x:c r="D56" s="55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</x:row>
    <x:row r="57">
      <x:c r="A57" s="55"/>
      <x:c r="B57" s="55"/>
      <x:c r="C57" s="55"/>
      <x:c r="D57" s="55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</x:row>
    <x:row r="58">
      <x:c r="A58" s="55"/>
      <x:c r="B58" s="55"/>
      <x:c r="C58" s="55"/>
      <x:c r="D58" s="55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</x:row>
    <x:row r="59">
      <x:c r="A59" s="55"/>
      <x:c r="B59" s="55"/>
      <x:c r="C59" s="55"/>
      <x:c r="D59" s="55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</x:row>
    <x:row r="60">
      <x:c r="A60" s="55"/>
      <x:c r="B60" s="55"/>
      <x:c r="C60" s="55"/>
      <x:c r="D60" s="55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3"/>
      <x:c r="AB74" s="53"/>
      <x:c r="AC74" s="53"/>
      <x:c r="AD74" s="53"/>
      <x:c r="AE74" s="53"/>
      <x:c r="AF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3"/>
      <x:c r="AB75" s="53"/>
      <x:c r="AC75" s="53"/>
      <x:c r="AD75" s="53"/>
      <x:c r="AE75" s="53"/>
      <x:c r="AF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3"/>
      <x:c r="AB76" s="53"/>
      <x:c r="AC76" s="53"/>
      <x:c r="AD76" s="53"/>
      <x:c r="AE76" s="53"/>
      <x:c r="AF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  <x:c r="AA77" s="53"/>
      <x:c r="AB77" s="53"/>
      <x:c r="AC77" s="53"/>
      <x:c r="AD77" s="53"/>
      <x:c r="AE77" s="53"/>
      <x:c r="AF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3"/>
      <x:c r="AB78" s="53"/>
      <x:c r="AC78" s="53"/>
      <x:c r="AD78" s="53"/>
      <x:c r="AE78" s="53"/>
      <x:c r="AF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  <x:c r="AA79" s="53"/>
      <x:c r="AB79" s="53"/>
      <x:c r="AC79" s="53"/>
      <x:c r="AD79" s="53"/>
      <x:c r="AE79" s="53"/>
      <x:c r="AF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3"/>
      <x:c r="AB80" s="53"/>
      <x:c r="AC80" s="53"/>
      <x:c r="AD80" s="53"/>
      <x:c r="AE80" s="53"/>
      <x:c r="AF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  <x:c r="AA81" s="53"/>
      <x:c r="AB81" s="53"/>
      <x:c r="AC81" s="53"/>
      <x:c r="AD81" s="53"/>
      <x:c r="AE81" s="53"/>
      <x:c r="AF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3"/>
      <x:c r="AB82" s="53"/>
      <x:c r="AC82" s="53"/>
      <x:c r="AD82" s="53"/>
      <x:c r="AE82" s="53"/>
      <x:c r="AF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  <x:c r="AA83" s="53"/>
      <x:c r="AB83" s="53"/>
      <x:c r="AC83" s="53"/>
      <x:c r="AD83" s="53"/>
      <x:c r="AE83" s="53"/>
      <x:c r="AF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3"/>
      <x:c r="AB84" s="53"/>
      <x:c r="AC84" s="53"/>
      <x:c r="AD84" s="53"/>
      <x:c r="AE84" s="53"/>
      <x:c r="AF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  <x:c r="AA85" s="53"/>
      <x:c r="AB85" s="53"/>
      <x:c r="AC85" s="53"/>
      <x:c r="AD85" s="53"/>
      <x:c r="AE85" s="53"/>
      <x:c r="AF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3"/>
      <x:c r="AB86" s="53"/>
      <x:c r="AC86" s="53"/>
      <x:c r="AD86" s="53"/>
      <x:c r="AE86" s="53"/>
      <x:c r="AF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  <x:c r="AA87" s="53"/>
      <x:c r="AB87" s="53"/>
      <x:c r="AC87" s="53"/>
      <x:c r="AD87" s="53"/>
      <x:c r="AE87" s="53"/>
      <x:c r="AF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3"/>
      <x:c r="AB88" s="53"/>
      <x:c r="AC88" s="53"/>
      <x:c r="AD88" s="53"/>
      <x:c r="AE88" s="53"/>
      <x:c r="AF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  <x:c r="AA89" s="53"/>
      <x:c r="AB89" s="53"/>
      <x:c r="AC89" s="53"/>
      <x:c r="AD89" s="53"/>
      <x:c r="AE89" s="53"/>
      <x:c r="AF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3"/>
      <x:c r="AB90" s="53"/>
      <x:c r="AC90" s="53"/>
      <x:c r="AD90" s="53"/>
      <x:c r="AE90" s="53"/>
      <x:c r="AF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  <x:c r="AA91" s="53"/>
      <x:c r="AB91" s="53"/>
      <x:c r="AC91" s="53"/>
      <x:c r="AD91" s="53"/>
      <x:c r="AE91" s="53"/>
      <x:c r="AF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3"/>
      <x:c r="AB92" s="53"/>
      <x:c r="AC92" s="53"/>
      <x:c r="AD92" s="53"/>
      <x:c r="AE92" s="53"/>
      <x:c r="AF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  <x:c r="AA93" s="53"/>
      <x:c r="AB93" s="53"/>
      <x:c r="AC93" s="53"/>
      <x:c r="AD93" s="53"/>
      <x:c r="AE93" s="53"/>
      <x:c r="AF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3"/>
      <x:c r="AB94" s="53"/>
      <x:c r="AC94" s="53"/>
      <x:c r="AD94" s="53"/>
      <x:c r="AE94" s="53"/>
      <x:c r="AF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  <x:c r="AA95" s="53"/>
      <x:c r="AB95" s="53"/>
      <x:c r="AC95" s="53"/>
      <x:c r="AD95" s="53"/>
      <x:c r="AE95" s="53"/>
      <x:c r="AF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3"/>
      <x:c r="AB96" s="53"/>
      <x:c r="AC96" s="53"/>
      <x:c r="AD96" s="53"/>
      <x:c r="AE96" s="53"/>
      <x:c r="AF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  <x:c r="AA97" s="53"/>
      <x:c r="AB97" s="53"/>
      <x:c r="AC97" s="53"/>
      <x:c r="AD97" s="53"/>
      <x:c r="AE97" s="53"/>
      <x:c r="AF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3"/>
      <x:c r="AB98" s="53"/>
      <x:c r="AC98" s="53"/>
      <x:c r="AD98" s="53"/>
      <x:c r="AE98" s="53"/>
      <x:c r="AF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  <x:c r="AA99" s="53"/>
      <x:c r="AB99" s="53"/>
      <x:c r="AC99" s="53"/>
      <x:c r="AD99" s="53"/>
      <x:c r="AE99" s="53"/>
      <x:c r="AF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3"/>
      <x:c r="AB100" s="53"/>
      <x:c r="AC100" s="53"/>
      <x:c r="AD100" s="53"/>
      <x:c r="AE100" s="53"/>
      <x:c r="AF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  <x:c r="AA101" s="53"/>
      <x:c r="AB101" s="53"/>
      <x:c r="AC101" s="53"/>
      <x:c r="AD101" s="53"/>
      <x:c r="AE101" s="53"/>
      <x:c r="AF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3"/>
      <x:c r="AB102" s="53"/>
      <x:c r="AC102" s="53"/>
      <x:c r="AD102" s="53"/>
      <x:c r="AE102" s="53"/>
      <x:c r="AF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  <x:c r="AA103" s="53"/>
      <x:c r="AB103" s="53"/>
      <x:c r="AC103" s="53"/>
      <x:c r="AD103" s="53"/>
      <x:c r="AE103" s="53"/>
      <x:c r="AF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  <x:c r="AA104" s="53"/>
      <x:c r="AB104" s="53"/>
      <x:c r="AC104" s="53"/>
      <x:c r="AD104" s="53"/>
      <x:c r="AE104" s="53"/>
      <x:c r="AF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  <x:c r="AA105" s="53"/>
      <x:c r="AB105" s="53"/>
      <x:c r="AC105" s="53"/>
      <x:c r="AD105" s="53"/>
      <x:c r="AE105" s="53"/>
      <x:c r="AF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  <x:c r="AA106" s="53"/>
      <x:c r="AB106" s="53"/>
      <x:c r="AC106" s="53"/>
      <x:c r="AD106" s="53"/>
      <x:c r="AE106" s="53"/>
      <x:c r="AF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  <x:c r="AA107" s="53"/>
      <x:c r="AB107" s="53"/>
      <x:c r="AC107" s="53"/>
      <x:c r="AD107" s="53"/>
      <x:c r="AE107" s="53"/>
      <x:c r="AF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  <x:c r="AA108" s="53"/>
      <x:c r="AB108" s="53"/>
      <x:c r="AC108" s="53"/>
      <x:c r="AD108" s="53"/>
      <x:c r="AE108" s="53"/>
      <x:c r="AF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  <x:c r="AA109" s="53"/>
      <x:c r="AB109" s="53"/>
      <x:c r="AC109" s="53"/>
      <x:c r="AD109" s="53"/>
      <x:c r="AE109" s="53"/>
      <x:c r="AF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  <x:c r="AA110" s="53"/>
      <x:c r="AB110" s="53"/>
      <x:c r="AC110" s="53"/>
      <x:c r="AD110" s="53"/>
      <x:c r="AE110" s="53"/>
      <x:c r="AF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  <x:c r="AA111" s="53"/>
      <x:c r="AB111" s="53"/>
      <x:c r="AC111" s="53"/>
      <x:c r="AD111" s="53"/>
      <x:c r="AE111" s="53"/>
      <x:c r="AF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  <x:c r="AA112" s="53"/>
      <x:c r="AB112" s="53"/>
      <x:c r="AC112" s="53"/>
      <x:c r="AD112" s="53"/>
      <x:c r="AE112" s="53"/>
      <x:c r="AF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  <x:c r="AA113" s="53"/>
      <x:c r="AB113" s="53"/>
      <x:c r="AC113" s="53"/>
      <x:c r="AD113" s="53"/>
      <x:c r="AE113" s="53"/>
      <x:c r="AF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  <x:c r="AA114" s="53"/>
      <x:c r="AB114" s="53"/>
      <x:c r="AC114" s="53"/>
      <x:c r="AD114" s="53"/>
      <x:c r="AE114" s="53"/>
      <x:c r="AF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  <x:c r="AA115" s="53"/>
      <x:c r="AB115" s="53"/>
      <x:c r="AC115" s="53"/>
      <x:c r="AD115" s="53"/>
      <x:c r="AE115" s="53"/>
      <x:c r="AF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  <x:c r="AA116" s="53"/>
      <x:c r="AB116" s="53"/>
      <x:c r="AC116" s="53"/>
      <x:c r="AD116" s="53"/>
      <x:c r="AE116" s="53"/>
      <x:c r="AF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  <x:c r="AA117" s="53"/>
      <x:c r="AB117" s="53"/>
      <x:c r="AC117" s="53"/>
      <x:c r="AD117" s="53"/>
      <x:c r="AE117" s="53"/>
      <x:c r="AF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  <x:c r="AA118" s="53"/>
      <x:c r="AB118" s="53"/>
      <x:c r="AC118" s="53"/>
      <x:c r="AD118" s="53"/>
      <x:c r="AE118" s="53"/>
      <x:c r="AF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53"/>
      <x:c r="AC119" s="53"/>
      <x:c r="AD119" s="53"/>
      <x:c r="AE119" s="53"/>
      <x:c r="AF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53"/>
      <x:c r="AC120" s="53"/>
      <x:c r="AD120" s="53"/>
      <x:c r="AE120" s="53"/>
      <x:c r="AF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53"/>
      <x:c r="AC121" s="53"/>
      <x:c r="AD121" s="53"/>
      <x:c r="AE121" s="53"/>
      <x:c r="AF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53"/>
      <x:c r="AC122" s="53"/>
      <x:c r="AD122" s="53"/>
      <x:c r="AE122" s="53"/>
      <x:c r="AF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53"/>
      <x:c r="AC123" s="53"/>
      <x:c r="AD123" s="53"/>
      <x:c r="AE123" s="53"/>
      <x:c r="AF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53"/>
      <x:c r="AC124" s="53"/>
      <x:c r="AD124" s="53"/>
      <x:c r="AE124" s="53"/>
      <x:c r="AF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53"/>
      <x:c r="AC125" s="53"/>
      <x:c r="AD125" s="53"/>
      <x:c r="AE125" s="53"/>
      <x:c r="AF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53"/>
      <x:c r="AC126" s="53"/>
      <x:c r="AD126" s="53"/>
      <x:c r="AE126" s="53"/>
      <x:c r="AF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53"/>
      <x:c r="AC127" s="53"/>
      <x:c r="AD127" s="53"/>
      <x:c r="AE127" s="53"/>
      <x:c r="AF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53"/>
      <x:c r="AC128" s="53"/>
      <x:c r="AD128" s="53"/>
      <x:c r="AE128" s="53"/>
      <x:c r="AF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53"/>
      <x:c r="AC129" s="53"/>
      <x:c r="AD129" s="53"/>
      <x:c r="AE129" s="53"/>
      <x:c r="AF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53"/>
      <x:c r="AC130" s="53"/>
      <x:c r="AD130" s="53"/>
      <x:c r="AE130" s="53"/>
      <x:c r="AF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53"/>
      <x:c r="AC131" s="53"/>
      <x:c r="AD131" s="53"/>
      <x:c r="AE131" s="53"/>
      <x:c r="AF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53"/>
      <x:c r="AC132" s="53"/>
      <x:c r="AD132" s="53"/>
      <x:c r="AE132" s="53"/>
      <x:c r="AF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53"/>
      <x:c r="AC133" s="53"/>
      <x:c r="AD133" s="53"/>
      <x:c r="AE133" s="53"/>
      <x:c r="AF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53"/>
      <x:c r="AC134" s="53"/>
      <x:c r="AD134" s="53"/>
      <x:c r="AE134" s="53"/>
      <x:c r="AF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53"/>
      <x:c r="AC135" s="53"/>
      <x:c r="AD135" s="53"/>
      <x:c r="AE135" s="53"/>
      <x:c r="AF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53"/>
      <x:c r="AC136" s="53"/>
      <x:c r="AD136" s="53"/>
      <x:c r="AE136" s="53"/>
      <x:c r="AF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53"/>
      <x:c r="AC137" s="53"/>
      <x:c r="AD137" s="53"/>
      <x:c r="AE137" s="53"/>
      <x:c r="AF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53"/>
      <x:c r="AC138" s="53"/>
      <x:c r="AD138" s="53"/>
      <x:c r="AE138" s="53"/>
      <x:c r="AF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53"/>
      <x:c r="AC139" s="53"/>
      <x:c r="AD139" s="53"/>
      <x:c r="AE139" s="53"/>
      <x:c r="AF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53"/>
      <x:c r="AC140" s="53"/>
      <x:c r="AD140" s="53"/>
      <x:c r="AE140" s="53"/>
      <x:c r="AF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53"/>
      <x:c r="AC141" s="53"/>
      <x:c r="AD141" s="53"/>
      <x:c r="AE141" s="53"/>
      <x:c r="AF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53"/>
      <x:c r="AC142" s="53"/>
      <x:c r="AD142" s="53"/>
      <x:c r="AE142" s="53"/>
      <x:c r="AF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53"/>
      <x:c r="AC143" s="53"/>
      <x:c r="AD143" s="53"/>
      <x:c r="AE143" s="53"/>
      <x:c r="AF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53"/>
      <x:c r="AC144" s="53"/>
      <x:c r="AD144" s="53"/>
      <x:c r="AE144" s="53"/>
      <x:c r="AF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53"/>
      <x:c r="AC145" s="53"/>
      <x:c r="AD145" s="53"/>
      <x:c r="AE145" s="53"/>
      <x:c r="AF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53"/>
      <x:c r="AC146" s="53"/>
      <x:c r="AD146" s="53"/>
      <x:c r="AE146" s="53"/>
      <x:c r="AF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53"/>
      <x:c r="AC147" s="53"/>
      <x:c r="AD147" s="53"/>
      <x:c r="AE147" s="53"/>
      <x:c r="AF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53"/>
      <x:c r="AC148" s="53"/>
      <x:c r="AD148" s="53"/>
      <x:c r="AE148" s="53"/>
      <x:c r="AF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53"/>
      <x:c r="AC149" s="53"/>
      <x:c r="AD149" s="53"/>
      <x:c r="AE149" s="53"/>
      <x:c r="AF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53"/>
      <x:c r="AC150" s="53"/>
      <x:c r="AD150" s="53"/>
      <x:c r="AE150" s="53"/>
      <x:c r="AF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53"/>
      <x:c r="AC151" s="53"/>
      <x:c r="AD151" s="53"/>
      <x:c r="AE151" s="53"/>
      <x:c r="AF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53"/>
      <x:c r="AC152" s="53"/>
      <x:c r="AD152" s="53"/>
      <x:c r="AE152" s="53"/>
      <x:c r="AF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53"/>
      <x:c r="AC153" s="53"/>
      <x:c r="AD153" s="53"/>
      <x:c r="AE153" s="53"/>
      <x:c r="AF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53"/>
      <x:c r="AC154" s="53"/>
      <x:c r="AD154" s="53"/>
      <x:c r="AE154" s="53"/>
      <x:c r="AF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53"/>
      <x:c r="AC155" s="53"/>
      <x:c r="AD155" s="53"/>
      <x:c r="AE155" s="53"/>
      <x:c r="AF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53"/>
      <x:c r="AC156" s="53"/>
      <x:c r="AD156" s="53"/>
      <x:c r="AE156" s="53"/>
      <x:c r="AF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53"/>
      <x:c r="AC157" s="53"/>
      <x:c r="AD157" s="53"/>
      <x:c r="AE157" s="53"/>
      <x:c r="AF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53"/>
      <x:c r="AC158" s="53"/>
      <x:c r="AD158" s="53"/>
      <x:c r="AE158" s="53"/>
      <x:c r="AF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53"/>
      <x:c r="AC159" s="53"/>
      <x:c r="AD159" s="53"/>
      <x:c r="AE159" s="53"/>
      <x:c r="AF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53"/>
      <x:c r="AC160" s="53"/>
      <x:c r="AD160" s="53"/>
      <x:c r="AE160" s="53"/>
      <x:c r="AF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53"/>
      <x:c r="AC161" s="53"/>
      <x:c r="AD161" s="53"/>
      <x:c r="AE161" s="53"/>
      <x:c r="AF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53"/>
      <x:c r="AC162" s="53"/>
      <x:c r="AD162" s="53"/>
      <x:c r="AE162" s="53"/>
      <x:c r="AF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53"/>
      <x:c r="AC163" s="53"/>
      <x:c r="AD163" s="53"/>
      <x:c r="AE163" s="53"/>
      <x:c r="AF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53"/>
      <x:c r="AC164" s="53"/>
      <x:c r="AD164" s="53"/>
      <x:c r="AE164" s="53"/>
      <x:c r="AF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53"/>
      <x:c r="AC165" s="53"/>
      <x:c r="AD165" s="53"/>
      <x:c r="AE165" s="53"/>
      <x:c r="AF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53"/>
      <x:c r="AC166" s="53"/>
      <x:c r="AD166" s="53"/>
      <x:c r="AE166" s="53"/>
      <x:c r="AF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53"/>
      <x:c r="AC167" s="53"/>
      <x:c r="AD167" s="53"/>
      <x:c r="AE167" s="53"/>
      <x:c r="AF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53"/>
      <x:c r="AC168" s="53"/>
      <x:c r="AD168" s="53"/>
      <x:c r="AE168" s="53"/>
      <x:c r="AF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53"/>
      <x:c r="AC169" s="53"/>
      <x:c r="AD169" s="53"/>
      <x:c r="AE169" s="53"/>
      <x:c r="AF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53"/>
      <x:c r="AC170" s="53"/>
      <x:c r="AD170" s="53"/>
      <x:c r="AE170" s="53"/>
      <x:c r="AF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53"/>
      <x:c r="AC171" s="53"/>
      <x:c r="AD171" s="53"/>
      <x:c r="AE171" s="53"/>
      <x:c r="AF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53"/>
      <x:c r="AC172" s="53"/>
      <x:c r="AD172" s="53"/>
      <x:c r="AE172" s="53"/>
      <x:c r="AF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53"/>
      <x:c r="AC173" s="53"/>
      <x:c r="AD173" s="53"/>
      <x:c r="AE173" s="53"/>
      <x:c r="AF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53"/>
      <x:c r="AC174" s="53"/>
      <x:c r="AD174" s="53"/>
      <x:c r="AE174" s="53"/>
      <x:c r="AF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53"/>
      <x:c r="AC175" s="53"/>
      <x:c r="AD175" s="53"/>
      <x:c r="AE175" s="53"/>
      <x:c r="AF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53"/>
      <x:c r="AC176" s="53"/>
      <x:c r="AD176" s="53"/>
      <x:c r="AE176" s="53"/>
      <x:c r="AF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53"/>
      <x:c r="AC177" s="53"/>
      <x:c r="AD177" s="53"/>
      <x:c r="AE177" s="53"/>
      <x:c r="AF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53"/>
      <x:c r="AC178" s="53"/>
      <x:c r="AD178" s="53"/>
      <x:c r="AE178" s="53"/>
      <x:c r="AF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53"/>
      <x:c r="AC179" s="53"/>
      <x:c r="AD179" s="53"/>
      <x:c r="AE179" s="53"/>
      <x:c r="AF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53"/>
      <x:c r="AC180" s="53"/>
      <x:c r="AD180" s="53"/>
      <x:c r="AE180" s="53"/>
      <x:c r="AF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53"/>
      <x:c r="AC181" s="53"/>
      <x:c r="AD181" s="53"/>
      <x:c r="AE181" s="53"/>
      <x:c r="AF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53"/>
      <x:c r="AC182" s="53"/>
      <x:c r="AD182" s="53"/>
      <x:c r="AE182" s="53"/>
      <x:c r="AF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53"/>
      <x:c r="AC183" s="53"/>
      <x:c r="AD183" s="53"/>
      <x:c r="AE183" s="53"/>
      <x:c r="AF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53"/>
      <x:c r="AC184" s="53"/>
      <x:c r="AD184" s="53"/>
      <x:c r="AE184" s="53"/>
      <x:c r="AF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53"/>
      <x:c r="AC185" s="53"/>
      <x:c r="AD185" s="53"/>
      <x:c r="AE185" s="53"/>
      <x:c r="AF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53"/>
      <x:c r="AC186" s="53"/>
      <x:c r="AD186" s="53"/>
      <x:c r="AE186" s="53"/>
      <x:c r="AF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53"/>
      <x:c r="AC187" s="53"/>
      <x:c r="AD187" s="53"/>
      <x:c r="AE187" s="53"/>
      <x:c r="AF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53"/>
      <x:c r="AC188" s="53"/>
      <x:c r="AD188" s="53"/>
      <x:c r="AE188" s="53"/>
      <x:c r="AF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53"/>
      <x:c r="AC189" s="53"/>
      <x:c r="AD189" s="53"/>
      <x:c r="AE189" s="53"/>
      <x:c r="AF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53"/>
      <x:c r="AC190" s="53"/>
      <x:c r="AD190" s="53"/>
      <x:c r="AE190" s="53"/>
      <x:c r="AF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53"/>
      <x:c r="AC191" s="53"/>
      <x:c r="AD191" s="53"/>
      <x:c r="AE191" s="53"/>
      <x:c r="AF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53"/>
      <x:c r="AC192" s="53"/>
      <x:c r="AD192" s="53"/>
      <x:c r="AE192" s="53"/>
      <x:c r="AF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53"/>
      <x:c r="AC193" s="53"/>
      <x:c r="AD193" s="53"/>
      <x:c r="AE193" s="53"/>
      <x:c r="AF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53"/>
      <x:c r="AC194" s="53"/>
      <x:c r="AD194" s="53"/>
      <x:c r="AE194" s="53"/>
      <x:c r="AF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53"/>
      <x:c r="AC195" s="53"/>
      <x:c r="AD195" s="53"/>
      <x:c r="AE195" s="53"/>
      <x:c r="AF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53"/>
      <x:c r="AC196" s="53"/>
      <x:c r="AD196" s="53"/>
      <x:c r="AE196" s="53"/>
      <x:c r="AF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  <x:c r="AA197" s="53"/>
      <x:c r="AB197" s="53"/>
      <x:c r="AC197" s="53"/>
      <x:c r="AD197" s="53"/>
      <x:c r="AE197" s="53"/>
      <x:c r="AF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  <x:c r="AA198" s="53"/>
      <x:c r="AB198" s="53"/>
      <x:c r="AC198" s="53"/>
      <x:c r="AD198" s="53"/>
      <x:c r="AE198" s="53"/>
      <x:c r="AF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  <x:c r="AA199" s="53"/>
      <x:c r="AB199" s="53"/>
      <x:c r="AC199" s="53"/>
      <x:c r="AD199" s="53"/>
      <x:c r="AE199" s="53"/>
      <x:c r="AF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  <x:c r="AA200" s="53"/>
      <x:c r="AB200" s="53"/>
      <x:c r="AC200" s="53"/>
      <x:c r="AD200" s="53"/>
      <x:c r="AE200" s="53"/>
      <x:c r="AF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  <x:c r="AA201" s="53"/>
      <x:c r="AB201" s="53"/>
      <x:c r="AC201" s="53"/>
      <x:c r="AD201" s="53"/>
      <x:c r="AE201" s="53"/>
      <x:c r="AF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  <x:c r="AA202" s="53"/>
      <x:c r="AB202" s="53"/>
      <x:c r="AC202" s="53"/>
      <x:c r="AD202" s="53"/>
      <x:c r="AE202" s="53"/>
      <x:c r="AF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  <x:c r="AA203" s="53"/>
      <x:c r="AB203" s="53"/>
      <x:c r="AC203" s="53"/>
      <x:c r="AD203" s="53"/>
      <x:c r="AE203" s="53"/>
      <x:c r="AF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  <x:c r="AA204" s="53"/>
      <x:c r="AB204" s="53"/>
      <x:c r="AC204" s="53"/>
      <x:c r="AD204" s="53"/>
      <x:c r="AE204" s="53"/>
      <x:c r="AF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  <x:c r="AA205" s="53"/>
      <x:c r="AB205" s="53"/>
      <x:c r="AC205" s="53"/>
      <x:c r="AD205" s="53"/>
      <x:c r="AE205" s="53"/>
      <x:c r="AF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  <x:c r="AA206" s="53"/>
      <x:c r="AB206" s="53"/>
      <x:c r="AC206" s="53"/>
      <x:c r="AD206" s="53"/>
      <x:c r="AE206" s="53"/>
      <x:c r="AF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  <x:c r="AA207" s="53"/>
      <x:c r="AB207" s="53"/>
      <x:c r="AC207" s="53"/>
      <x:c r="AD207" s="53"/>
      <x:c r="AE207" s="53"/>
      <x:c r="AF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  <x:c r="AA208" s="53"/>
      <x:c r="AB208" s="53"/>
      <x:c r="AC208" s="53"/>
      <x:c r="AD208" s="53"/>
      <x:c r="AE208" s="53"/>
      <x:c r="AF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  <x:c r="AA209" s="53"/>
      <x:c r="AB209" s="53"/>
      <x:c r="AC209" s="53"/>
      <x:c r="AD209" s="53"/>
      <x:c r="AE209" s="53"/>
      <x:c r="AF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  <x:c r="AA210" s="53"/>
      <x:c r="AB210" s="53"/>
      <x:c r="AC210" s="53"/>
      <x:c r="AD210" s="53"/>
      <x:c r="AE210" s="53"/>
      <x:c r="AF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  <x:c r="AA211" s="53"/>
      <x:c r="AB211" s="53"/>
      <x:c r="AC211" s="53"/>
      <x:c r="AD211" s="53"/>
      <x:c r="AE211" s="53"/>
      <x:c r="AF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  <x:c r="AA212" s="53"/>
      <x:c r="AB212" s="53"/>
      <x:c r="AC212" s="53"/>
      <x:c r="AD212" s="53"/>
      <x:c r="AE212" s="53"/>
      <x:c r="AF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  <x:c r="AA213" s="53"/>
      <x:c r="AB213" s="53"/>
      <x:c r="AC213" s="53"/>
      <x:c r="AD213" s="53"/>
      <x:c r="AE213" s="53"/>
      <x:c r="AF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  <x:c r="AA214" s="53"/>
      <x:c r="AB214" s="53"/>
      <x:c r="AC214" s="53"/>
      <x:c r="AD214" s="53"/>
      <x:c r="AE214" s="53"/>
      <x:c r="AF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  <x:c r="AA215" s="53"/>
      <x:c r="AB215" s="53"/>
      <x:c r="AC215" s="53"/>
      <x:c r="AD215" s="53"/>
      <x:c r="AE215" s="53"/>
      <x:c r="AF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  <x:c r="AA216" s="53"/>
      <x:c r="AB216" s="53"/>
      <x:c r="AC216" s="53"/>
      <x:c r="AD216" s="53"/>
      <x:c r="AE216" s="53"/>
      <x:c r="AF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  <x:c r="AA217" s="53"/>
      <x:c r="AB217" s="53"/>
      <x:c r="AC217" s="53"/>
      <x:c r="AD217" s="53"/>
      <x:c r="AE217" s="53"/>
      <x:c r="AF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  <x:c r="AA218" s="53"/>
      <x:c r="AB218" s="53"/>
      <x:c r="AC218" s="53"/>
      <x:c r="AD218" s="53"/>
      <x:c r="AE218" s="53"/>
      <x:c r="AF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  <x:c r="AA219" s="53"/>
      <x:c r="AB219" s="53"/>
      <x:c r="AC219" s="53"/>
      <x:c r="AD219" s="53"/>
      <x:c r="AE219" s="53"/>
      <x:c r="AF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  <x:c r="AA220" s="53"/>
      <x:c r="AB220" s="53"/>
      <x:c r="AC220" s="53"/>
      <x:c r="AD220" s="53"/>
      <x:c r="AE220" s="53"/>
      <x:c r="AF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  <x:c r="AA221" s="53"/>
      <x:c r="AB221" s="53"/>
      <x:c r="AC221" s="53"/>
      <x:c r="AD221" s="53"/>
      <x:c r="AE221" s="53"/>
      <x:c r="AF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  <x:c r="AA222" s="53"/>
      <x:c r="AB222" s="53"/>
      <x:c r="AC222" s="53"/>
      <x:c r="AD222" s="53"/>
      <x:c r="AE222" s="53"/>
      <x:c r="AF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  <x:c r="AA223" s="53"/>
      <x:c r="AB223" s="53"/>
      <x:c r="AC223" s="53"/>
      <x:c r="AD223" s="53"/>
      <x:c r="AE223" s="53"/>
      <x:c r="AF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  <x:c r="AA224" s="53"/>
      <x:c r="AB224" s="53"/>
      <x:c r="AC224" s="53"/>
      <x:c r="AD224" s="53"/>
      <x:c r="AE224" s="53"/>
      <x:c r="AF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  <x:c r="AA225" s="53"/>
      <x:c r="AB225" s="53"/>
      <x:c r="AC225" s="53"/>
      <x:c r="AD225" s="53"/>
      <x:c r="AE225" s="53"/>
      <x:c r="AF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  <x:c r="AA226" s="53"/>
      <x:c r="AB226" s="53"/>
      <x:c r="AC226" s="53"/>
      <x:c r="AD226" s="53"/>
      <x:c r="AE226" s="53"/>
      <x:c r="AF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  <x:c r="AA227" s="53"/>
      <x:c r="AB227" s="53"/>
      <x:c r="AC227" s="53"/>
      <x:c r="AD227" s="53"/>
      <x:c r="AE227" s="53"/>
      <x:c r="AF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  <x:c r="AA228" s="53"/>
      <x:c r="AB228" s="53"/>
      <x:c r="AC228" s="53"/>
      <x:c r="AD228" s="53"/>
      <x:c r="AE228" s="53"/>
      <x:c r="AF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  <x:c r="AA229" s="53"/>
      <x:c r="AB229" s="53"/>
      <x:c r="AC229" s="53"/>
      <x:c r="AD229" s="53"/>
      <x:c r="AE229" s="53"/>
      <x:c r="AF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  <x:c r="AA230" s="53"/>
      <x:c r="AB230" s="53"/>
      <x:c r="AC230" s="53"/>
      <x:c r="AD230" s="53"/>
      <x:c r="AE230" s="53"/>
      <x:c r="AF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  <x:c r="AA231" s="53"/>
      <x:c r="AB231" s="53"/>
      <x:c r="AC231" s="53"/>
      <x:c r="AD231" s="53"/>
      <x:c r="AE231" s="53"/>
      <x:c r="AF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  <x:c r="AA232" s="53"/>
      <x:c r="AB232" s="53"/>
      <x:c r="AC232" s="53"/>
      <x:c r="AD232" s="53"/>
      <x:c r="AE232" s="53"/>
      <x:c r="AF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  <x:c r="AA233" s="53"/>
      <x:c r="AB233" s="53"/>
      <x:c r="AC233" s="53"/>
      <x:c r="AD233" s="53"/>
      <x:c r="AE233" s="53"/>
      <x:c r="AF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  <x:c r="AA234" s="53"/>
      <x:c r="AB234" s="53"/>
      <x:c r="AC234" s="53"/>
      <x:c r="AD234" s="53"/>
      <x:c r="AE234" s="53"/>
      <x:c r="AF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  <x:c r="AA235" s="53"/>
      <x:c r="AB235" s="53"/>
      <x:c r="AC235" s="53"/>
      <x:c r="AD235" s="53"/>
      <x:c r="AE235" s="53"/>
      <x:c r="AF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  <x:c r="AA236" s="53"/>
      <x:c r="AB236" s="53"/>
      <x:c r="AC236" s="53"/>
      <x:c r="AD236" s="53"/>
      <x:c r="AE236" s="53"/>
      <x:c r="AF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  <x:c r="AA237" s="53"/>
      <x:c r="AB237" s="53"/>
      <x:c r="AC237" s="53"/>
      <x:c r="AD237" s="53"/>
      <x:c r="AE237" s="53"/>
      <x:c r="AF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  <x:c r="AA238" s="53"/>
      <x:c r="AB238" s="53"/>
      <x:c r="AC238" s="53"/>
      <x:c r="AD238" s="53"/>
      <x:c r="AE238" s="53"/>
      <x:c r="AF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  <x:c r="AA239" s="53"/>
      <x:c r="AB239" s="53"/>
      <x:c r="AC239" s="53"/>
      <x:c r="AD239" s="53"/>
      <x:c r="AE239" s="53"/>
      <x:c r="AF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  <x:c r="AA240" s="53"/>
      <x:c r="AB240" s="53"/>
      <x:c r="AC240" s="53"/>
      <x:c r="AD240" s="53"/>
      <x:c r="AE240" s="53"/>
      <x:c r="AF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  <x:c r="AA241" s="53"/>
      <x:c r="AB241" s="53"/>
      <x:c r="AC241" s="53"/>
      <x:c r="AD241" s="53"/>
      <x:c r="AE241" s="53"/>
      <x:c r="AF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  <x:c r="AA242" s="53"/>
      <x:c r="AB242" s="53"/>
      <x:c r="AC242" s="53"/>
      <x:c r="AD242" s="53"/>
      <x:c r="AE242" s="53"/>
      <x:c r="AF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  <x:c r="AA243" s="53"/>
      <x:c r="AB243" s="53"/>
      <x:c r="AC243" s="53"/>
      <x:c r="AD243" s="53"/>
      <x:c r="AE243" s="53"/>
      <x:c r="AF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  <x:c r="AA244" s="53"/>
      <x:c r="AB244" s="53"/>
      <x:c r="AC244" s="53"/>
      <x:c r="AD244" s="53"/>
      <x:c r="AE244" s="53"/>
      <x:c r="AF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  <x:c r="AA245" s="53"/>
      <x:c r="AB245" s="53"/>
      <x:c r="AC245" s="53"/>
      <x:c r="AD245" s="53"/>
      <x:c r="AE245" s="53"/>
      <x:c r="AF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  <x:c r="AA246" s="53"/>
      <x:c r="AB246" s="53"/>
      <x:c r="AC246" s="53"/>
      <x:c r="AD246" s="53"/>
      <x:c r="AE246" s="53"/>
      <x:c r="AF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  <x:c r="AA247" s="53"/>
      <x:c r="AB247" s="53"/>
      <x:c r="AC247" s="53"/>
      <x:c r="AD247" s="53"/>
      <x:c r="AE247" s="53"/>
      <x:c r="AF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  <x:c r="AA248" s="53"/>
      <x:c r="AB248" s="53"/>
      <x:c r="AC248" s="53"/>
      <x:c r="AD248" s="53"/>
      <x:c r="AE248" s="53"/>
      <x:c r="AF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  <x:c r="AA249" s="53"/>
      <x:c r="AB249" s="53"/>
      <x:c r="AC249" s="53"/>
      <x:c r="AD249" s="53"/>
      <x:c r="AE249" s="53"/>
      <x:c r="AF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  <x:c r="AA250" s="53"/>
      <x:c r="AB250" s="53"/>
      <x:c r="AC250" s="53"/>
      <x:c r="AD250" s="53"/>
      <x:c r="AE250" s="53"/>
      <x:c r="AF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  <x:c r="AA251" s="53"/>
      <x:c r="AB251" s="53"/>
      <x:c r="AC251" s="53"/>
      <x:c r="AD251" s="53"/>
      <x:c r="AE251" s="53"/>
      <x:c r="AF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  <x:c r="AA252" s="53"/>
      <x:c r="AB252" s="53"/>
      <x:c r="AC252" s="53"/>
      <x:c r="AD252" s="53"/>
      <x:c r="AE252" s="53"/>
      <x:c r="AF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  <x:c r="AA253" s="53"/>
      <x:c r="AB253" s="53"/>
      <x:c r="AC253" s="53"/>
      <x:c r="AD253" s="53"/>
      <x:c r="AE253" s="53"/>
      <x:c r="AF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  <x:c r="AA254" s="53"/>
      <x:c r="AB254" s="53"/>
      <x:c r="AC254" s="53"/>
      <x:c r="AD254" s="53"/>
      <x:c r="AE254" s="53"/>
      <x:c r="AF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  <x:c r="AA255" s="53"/>
      <x:c r="AB255" s="53"/>
      <x:c r="AC255" s="53"/>
      <x:c r="AD255" s="53"/>
      <x:c r="AE255" s="53"/>
      <x:c r="AF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  <x:c r="AA256" s="53"/>
      <x:c r="AB256" s="53"/>
      <x:c r="AC256" s="53"/>
      <x:c r="AD256" s="53"/>
      <x:c r="AE256" s="53"/>
      <x:c r="AF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  <x:c r="AA257" s="53"/>
      <x:c r="AB257" s="53"/>
      <x:c r="AC257" s="53"/>
      <x:c r="AD257" s="53"/>
      <x:c r="AE257" s="53"/>
      <x:c r="AF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  <x:c r="AA258" s="53"/>
      <x:c r="AB258" s="53"/>
      <x:c r="AC258" s="53"/>
      <x:c r="AD258" s="53"/>
      <x:c r="AE258" s="53"/>
      <x:c r="AF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  <x:c r="AA259" s="53"/>
      <x:c r="AB259" s="53"/>
      <x:c r="AC259" s="53"/>
      <x:c r="AD259" s="53"/>
      <x:c r="AE259" s="53"/>
      <x:c r="AF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  <x:c r="AA260" s="53"/>
      <x:c r="AB260" s="53"/>
      <x:c r="AC260" s="53"/>
      <x:c r="AD260" s="53"/>
      <x:c r="AE260" s="53"/>
      <x:c r="AF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  <x:c r="AA261" s="53"/>
      <x:c r="AB261" s="53"/>
      <x:c r="AC261" s="53"/>
      <x:c r="AD261" s="53"/>
      <x:c r="AE261" s="53"/>
      <x:c r="AF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  <x:c r="AA262" s="53"/>
      <x:c r="AB262" s="53"/>
      <x:c r="AC262" s="53"/>
      <x:c r="AD262" s="53"/>
      <x:c r="AE262" s="53"/>
      <x:c r="AF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  <x:c r="AA263" s="53"/>
      <x:c r="AB263" s="53"/>
      <x:c r="AC263" s="53"/>
      <x:c r="AD263" s="53"/>
      <x:c r="AE263" s="53"/>
      <x:c r="AF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  <x:c r="AA264" s="53"/>
      <x:c r="AB264" s="53"/>
      <x:c r="AC264" s="53"/>
      <x:c r="AD264" s="53"/>
      <x:c r="AE264" s="53"/>
      <x:c r="AF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  <x:c r="AA265" s="53"/>
      <x:c r="AB265" s="53"/>
      <x:c r="AC265" s="53"/>
      <x:c r="AD265" s="53"/>
      <x:c r="AE265" s="53"/>
      <x:c r="AF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  <x:c r="AA266" s="53"/>
      <x:c r="AB266" s="53"/>
      <x:c r="AC266" s="53"/>
      <x:c r="AD266" s="53"/>
      <x:c r="AE266" s="53"/>
      <x:c r="AF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  <x:c r="AA267" s="53"/>
      <x:c r="AB267" s="53"/>
      <x:c r="AC267" s="53"/>
      <x:c r="AD267" s="53"/>
      <x:c r="AE267" s="53"/>
      <x:c r="AF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  <x:c r="AA268" s="53"/>
      <x:c r="AB268" s="53"/>
      <x:c r="AC268" s="53"/>
      <x:c r="AD268" s="53"/>
      <x:c r="AE268" s="53"/>
      <x:c r="AF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  <x:c r="AA269" s="53"/>
      <x:c r="AB269" s="53"/>
      <x:c r="AC269" s="53"/>
      <x:c r="AD269" s="53"/>
      <x:c r="AE269" s="53"/>
      <x:c r="AF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  <x:c r="AA270" s="53"/>
      <x:c r="AB270" s="53"/>
      <x:c r="AC270" s="53"/>
      <x:c r="AD270" s="53"/>
      <x:c r="AE270" s="53"/>
      <x:c r="AF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  <x:c r="AA271" s="53"/>
      <x:c r="AB271" s="53"/>
      <x:c r="AC271" s="53"/>
      <x:c r="AD271" s="53"/>
      <x:c r="AE271" s="53"/>
      <x:c r="AF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  <x:c r="AA272" s="53"/>
      <x:c r="AB272" s="53"/>
      <x:c r="AC272" s="53"/>
      <x:c r="AD272" s="53"/>
      <x:c r="AE272" s="53"/>
      <x:c r="AF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  <x:c r="AA273" s="53"/>
      <x:c r="AB273" s="53"/>
      <x:c r="AC273" s="53"/>
      <x:c r="AD273" s="53"/>
      <x:c r="AE273" s="53"/>
      <x:c r="AF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  <x:c r="AA274" s="53"/>
      <x:c r="AB274" s="53"/>
      <x:c r="AC274" s="53"/>
      <x:c r="AD274" s="53"/>
      <x:c r="AE274" s="53"/>
      <x:c r="AF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  <x:c r="AA275" s="53"/>
      <x:c r="AB275" s="53"/>
      <x:c r="AC275" s="53"/>
      <x:c r="AD275" s="53"/>
      <x:c r="AE275" s="53"/>
      <x:c r="AF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  <x:c r="AA276" s="53"/>
      <x:c r="AB276" s="53"/>
      <x:c r="AC276" s="53"/>
      <x:c r="AD276" s="53"/>
      <x:c r="AE276" s="53"/>
      <x:c r="AF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  <x:c r="AA277" s="53"/>
      <x:c r="AB277" s="53"/>
      <x:c r="AC277" s="53"/>
      <x:c r="AD277" s="53"/>
      <x:c r="AE277" s="53"/>
      <x:c r="AF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  <x:c r="AA278" s="53"/>
      <x:c r="AB278" s="53"/>
      <x:c r="AC278" s="53"/>
      <x:c r="AD278" s="53"/>
      <x:c r="AE278" s="53"/>
      <x:c r="AF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  <x:c r="AA279" s="53"/>
      <x:c r="AB279" s="53"/>
      <x:c r="AC279" s="53"/>
      <x:c r="AD279" s="53"/>
      <x:c r="AE279" s="53"/>
      <x:c r="AF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  <x:c r="AA280" s="53"/>
      <x:c r="AB280" s="53"/>
      <x:c r="AC280" s="53"/>
      <x:c r="AD280" s="53"/>
      <x:c r="AE280" s="53"/>
      <x:c r="AF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  <x:c r="AA281" s="53"/>
      <x:c r="AB281" s="53"/>
      <x:c r="AC281" s="53"/>
      <x:c r="AD281" s="53"/>
      <x:c r="AE281" s="53"/>
      <x:c r="AF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  <x:c r="AA282" s="53"/>
      <x:c r="AB282" s="53"/>
      <x:c r="AC282" s="53"/>
      <x:c r="AD282" s="53"/>
      <x:c r="AE282" s="53"/>
      <x:c r="AF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  <x:c r="AA283" s="53"/>
      <x:c r="AB283" s="53"/>
      <x:c r="AC283" s="53"/>
      <x:c r="AD283" s="53"/>
      <x:c r="AE283" s="53"/>
      <x:c r="AF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  <x:c r="AA284" s="53"/>
      <x:c r="AB284" s="53"/>
      <x:c r="AC284" s="53"/>
      <x:c r="AD284" s="53"/>
      <x:c r="AE284" s="53"/>
      <x:c r="AF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  <x:c r="AA285" s="53"/>
      <x:c r="AB285" s="53"/>
      <x:c r="AC285" s="53"/>
      <x:c r="AD285" s="53"/>
      <x:c r="AE285" s="53"/>
      <x:c r="AF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  <x:c r="AA286" s="53"/>
      <x:c r="AB286" s="53"/>
      <x:c r="AC286" s="53"/>
      <x:c r="AD286" s="53"/>
      <x:c r="AE286" s="53"/>
      <x:c r="AF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  <x:c r="AA287" s="53"/>
      <x:c r="AB287" s="53"/>
      <x:c r="AC287" s="53"/>
      <x:c r="AD287" s="53"/>
      <x:c r="AE287" s="53"/>
      <x:c r="AF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  <x:c r="AA288" s="53"/>
      <x:c r="AB288" s="53"/>
      <x:c r="AC288" s="53"/>
      <x:c r="AD288" s="53"/>
      <x:c r="AE288" s="53"/>
      <x:c r="AF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  <x:c r="AA289" s="53"/>
      <x:c r="AB289" s="53"/>
      <x:c r="AC289" s="53"/>
      <x:c r="AD289" s="53"/>
      <x:c r="AE289" s="53"/>
      <x:c r="AF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  <x:c r="AA290" s="53"/>
      <x:c r="AB290" s="53"/>
      <x:c r="AC290" s="53"/>
      <x:c r="AD290" s="53"/>
      <x:c r="AE290" s="53"/>
      <x:c r="AF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  <x:c r="AA291" s="53"/>
      <x:c r="AB291" s="53"/>
      <x:c r="AC291" s="53"/>
      <x:c r="AD291" s="53"/>
      <x:c r="AE291" s="53"/>
      <x:c r="AF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  <x:c r="AA292" s="53"/>
      <x:c r="AB292" s="53"/>
      <x:c r="AC292" s="53"/>
      <x:c r="AD292" s="53"/>
      <x:c r="AE292" s="53"/>
      <x:c r="AF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  <x:c r="AA293" s="53"/>
      <x:c r="AB293" s="53"/>
      <x:c r="AC293" s="53"/>
      <x:c r="AD293" s="53"/>
      <x:c r="AE293" s="53"/>
      <x:c r="AF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  <x:c r="AA294" s="53"/>
      <x:c r="AB294" s="53"/>
      <x:c r="AC294" s="53"/>
      <x:c r="AD294" s="53"/>
      <x:c r="AE294" s="53"/>
      <x:c r="AF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  <x:c r="AA295" s="53"/>
      <x:c r="AB295" s="53"/>
      <x:c r="AC295" s="53"/>
      <x:c r="AD295" s="53"/>
      <x:c r="AE295" s="53"/>
      <x:c r="AF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  <x:c r="AA296" s="53"/>
      <x:c r="AB296" s="53"/>
      <x:c r="AC296" s="53"/>
      <x:c r="AD296" s="53"/>
      <x:c r="AE296" s="53"/>
      <x:c r="AF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  <x:c r="AA297" s="53"/>
      <x:c r="AB297" s="53"/>
      <x:c r="AC297" s="53"/>
      <x:c r="AD297" s="53"/>
      <x:c r="AE297" s="53"/>
      <x:c r="AF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  <x:c r="AA298" s="53"/>
      <x:c r="AB298" s="53"/>
      <x:c r="AC298" s="53"/>
      <x:c r="AD298" s="53"/>
      <x:c r="AE298" s="53"/>
      <x:c r="AF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  <x:c r="AA299" s="53"/>
      <x:c r="AB299" s="53"/>
      <x:c r="AC299" s="53"/>
      <x:c r="AD299" s="53"/>
      <x:c r="AE299" s="53"/>
      <x:c r="AF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  <x:c r="AA300" s="53"/>
      <x:c r="AB300" s="53"/>
      <x:c r="AC300" s="53"/>
      <x:c r="AD300" s="53"/>
      <x:c r="AE300" s="53"/>
      <x:c r="AF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  <x:c r="AA301" s="53"/>
      <x:c r="AB301" s="53"/>
      <x:c r="AC301" s="53"/>
      <x:c r="AD301" s="53"/>
      <x:c r="AE301" s="53"/>
      <x:c r="AF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  <x:c r="AA302" s="53"/>
      <x:c r="AB302" s="53"/>
      <x:c r="AC302" s="53"/>
      <x:c r="AD302" s="53"/>
      <x:c r="AE302" s="53"/>
      <x:c r="AF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  <x:c r="AA303" s="53"/>
      <x:c r="AB303" s="53"/>
      <x:c r="AC303" s="53"/>
      <x:c r="AD303" s="53"/>
      <x:c r="AE303" s="53"/>
      <x:c r="AF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  <x:c r="AA304" s="53"/>
      <x:c r="AB304" s="53"/>
      <x:c r="AC304" s="53"/>
      <x:c r="AD304" s="53"/>
      <x:c r="AE304" s="53"/>
      <x:c r="AF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  <x:c r="AA305" s="53"/>
      <x:c r="AB305" s="53"/>
      <x:c r="AC305" s="53"/>
      <x:c r="AD305" s="53"/>
      <x:c r="AE305" s="53"/>
      <x:c r="AF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  <x:c r="AA306" s="53"/>
      <x:c r="AB306" s="53"/>
      <x:c r="AC306" s="53"/>
      <x:c r="AD306" s="53"/>
      <x:c r="AE306" s="53"/>
      <x:c r="AF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  <x:c r="AA307" s="53"/>
      <x:c r="AB307" s="53"/>
      <x:c r="AC307" s="53"/>
      <x:c r="AD307" s="53"/>
      <x:c r="AE307" s="53"/>
      <x:c r="AF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  <x:c r="AA308" s="53"/>
      <x:c r="AB308" s="53"/>
      <x:c r="AC308" s="53"/>
      <x:c r="AD308" s="53"/>
      <x:c r="AE308" s="53"/>
      <x:c r="AF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  <x:c r="AA309" s="53"/>
      <x:c r="AB309" s="53"/>
      <x:c r="AC309" s="53"/>
      <x:c r="AD309" s="53"/>
      <x:c r="AE309" s="53"/>
      <x:c r="AF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  <x:c r="AA310" s="53"/>
      <x:c r="AB310" s="53"/>
      <x:c r="AC310" s="53"/>
      <x:c r="AD310" s="53"/>
      <x:c r="AE310" s="53"/>
      <x:c r="AF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  <x:c r="AA311" s="53"/>
      <x:c r="AB311" s="53"/>
      <x:c r="AC311" s="53"/>
      <x:c r="AD311" s="53"/>
      <x:c r="AE311" s="53"/>
      <x:c r="AF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  <x:c r="AA312" s="53"/>
      <x:c r="AB312" s="53"/>
      <x:c r="AC312" s="53"/>
      <x:c r="AD312" s="53"/>
      <x:c r="AE312" s="53"/>
      <x:c r="AF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  <x:c r="AA313" s="53"/>
      <x:c r="AB313" s="53"/>
      <x:c r="AC313" s="53"/>
      <x:c r="AD313" s="53"/>
      <x:c r="AE313" s="53"/>
      <x:c r="AF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  <x:c r="AA314" s="53"/>
      <x:c r="AB314" s="53"/>
      <x:c r="AC314" s="53"/>
      <x:c r="AD314" s="53"/>
      <x:c r="AE314" s="53"/>
      <x:c r="AF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  <x:c r="AA315" s="53"/>
      <x:c r="AB315" s="53"/>
      <x:c r="AC315" s="53"/>
      <x:c r="AD315" s="53"/>
      <x:c r="AE315" s="53"/>
      <x:c r="AF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  <x:c r="AA316" s="53"/>
      <x:c r="AB316" s="53"/>
      <x:c r="AC316" s="53"/>
      <x:c r="AD316" s="53"/>
      <x:c r="AE316" s="53"/>
      <x:c r="AF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  <x:c r="AA317" s="53"/>
      <x:c r="AB317" s="53"/>
      <x:c r="AC317" s="53"/>
      <x:c r="AD317" s="53"/>
      <x:c r="AE317" s="53"/>
      <x:c r="AF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  <x:c r="AA318" s="53"/>
      <x:c r="AB318" s="53"/>
      <x:c r="AC318" s="53"/>
      <x:c r="AD318" s="53"/>
      <x:c r="AE318" s="53"/>
      <x:c r="AF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  <x:c r="AA319" s="53"/>
      <x:c r="AB319" s="53"/>
      <x:c r="AC319" s="53"/>
      <x:c r="AD319" s="53"/>
      <x:c r="AE319" s="53"/>
      <x:c r="AF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  <x:c r="AA320" s="53"/>
      <x:c r="AB320" s="53"/>
      <x:c r="AC320" s="53"/>
      <x:c r="AD320" s="53"/>
      <x:c r="AE320" s="53"/>
      <x:c r="AF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  <x:c r="AA321" s="53"/>
      <x:c r="AB321" s="53"/>
      <x:c r="AC321" s="53"/>
      <x:c r="AD321" s="53"/>
      <x:c r="AE321" s="53"/>
      <x:c r="AF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  <x:c r="AA322" s="53"/>
      <x:c r="AB322" s="53"/>
      <x:c r="AC322" s="53"/>
      <x:c r="AD322" s="53"/>
      <x:c r="AE322" s="53"/>
      <x:c r="AF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  <x:c r="AA323" s="53"/>
      <x:c r="AB323" s="53"/>
      <x:c r="AC323" s="53"/>
      <x:c r="AD323" s="53"/>
      <x:c r="AE323" s="53"/>
      <x:c r="AF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  <x:c r="AA324" s="53"/>
      <x:c r="AB324" s="53"/>
      <x:c r="AC324" s="53"/>
      <x:c r="AD324" s="53"/>
      <x:c r="AE324" s="53"/>
      <x:c r="AF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  <x:c r="AA325" s="53"/>
      <x:c r="AB325" s="53"/>
      <x:c r="AC325" s="53"/>
      <x:c r="AD325" s="53"/>
      <x:c r="AE325" s="53"/>
      <x:c r="AF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  <x:c r="AA326" s="53"/>
      <x:c r="AB326" s="53"/>
      <x:c r="AC326" s="53"/>
      <x:c r="AD326" s="53"/>
      <x:c r="AE326" s="53"/>
      <x:c r="AF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  <x:c r="AA327" s="53"/>
      <x:c r="AB327" s="53"/>
      <x:c r="AC327" s="53"/>
      <x:c r="AD327" s="53"/>
      <x:c r="AE327" s="53"/>
      <x:c r="AF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  <x:c r="AA328" s="53"/>
      <x:c r="AB328" s="53"/>
      <x:c r="AC328" s="53"/>
      <x:c r="AD328" s="53"/>
      <x:c r="AE328" s="53"/>
      <x:c r="AF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  <x:c r="AA329" s="53"/>
      <x:c r="AB329" s="53"/>
      <x:c r="AC329" s="53"/>
      <x:c r="AD329" s="53"/>
      <x:c r="AE329" s="53"/>
      <x:c r="AF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  <x:c r="AA330" s="53"/>
      <x:c r="AB330" s="53"/>
      <x:c r="AC330" s="53"/>
      <x:c r="AD330" s="53"/>
      <x:c r="AE330" s="53"/>
      <x:c r="AF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  <x:c r="AA331" s="53"/>
      <x:c r="AB331" s="53"/>
      <x:c r="AC331" s="53"/>
      <x:c r="AD331" s="53"/>
      <x:c r="AE331" s="53"/>
      <x:c r="AF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  <x:c r="AA332" s="53"/>
      <x:c r="AB332" s="53"/>
      <x:c r="AC332" s="53"/>
      <x:c r="AD332" s="53"/>
      <x:c r="AE332" s="53"/>
      <x:c r="AF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  <x:c r="AA333" s="53"/>
      <x:c r="AB333" s="53"/>
      <x:c r="AC333" s="53"/>
      <x:c r="AD333" s="53"/>
      <x:c r="AE333" s="53"/>
      <x:c r="AF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  <x:c r="AA334" s="53"/>
      <x:c r="AB334" s="53"/>
      <x:c r="AC334" s="53"/>
      <x:c r="AD334" s="53"/>
      <x:c r="AE334" s="53"/>
      <x:c r="AF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  <x:c r="AA335" s="53"/>
      <x:c r="AB335" s="53"/>
      <x:c r="AC335" s="53"/>
      <x:c r="AD335" s="53"/>
      <x:c r="AE335" s="53"/>
      <x:c r="AF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  <x:c r="AA336" s="53"/>
      <x:c r="AB336" s="53"/>
      <x:c r="AC336" s="53"/>
      <x:c r="AD336" s="53"/>
      <x:c r="AE336" s="53"/>
      <x:c r="AF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  <x:c r="AA337" s="53"/>
      <x:c r="AB337" s="53"/>
      <x:c r="AC337" s="53"/>
      <x:c r="AD337" s="53"/>
      <x:c r="AE337" s="53"/>
      <x:c r="AF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  <x:c r="AA338" s="53"/>
      <x:c r="AB338" s="53"/>
      <x:c r="AC338" s="53"/>
      <x:c r="AD338" s="53"/>
      <x:c r="AE338" s="53"/>
      <x:c r="AF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  <x:c r="AA339" s="53"/>
      <x:c r="AB339" s="53"/>
      <x:c r="AC339" s="53"/>
      <x:c r="AD339" s="53"/>
      <x:c r="AE339" s="53"/>
      <x:c r="AF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  <x:c r="AA340" s="53"/>
      <x:c r="AB340" s="53"/>
      <x:c r="AC340" s="53"/>
      <x:c r="AD340" s="53"/>
      <x:c r="AE340" s="53"/>
      <x:c r="AF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  <x:c r="AA341" s="53"/>
      <x:c r="AB341" s="53"/>
      <x:c r="AC341" s="53"/>
      <x:c r="AD341" s="53"/>
      <x:c r="AE341" s="53"/>
      <x:c r="AF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  <x:c r="AA342" s="53"/>
      <x:c r="AB342" s="53"/>
      <x:c r="AC342" s="53"/>
      <x:c r="AD342" s="53"/>
      <x:c r="AE342" s="53"/>
      <x:c r="AF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  <x:c r="AA343" s="53"/>
      <x:c r="AB343" s="53"/>
      <x:c r="AC343" s="53"/>
      <x:c r="AD343" s="53"/>
      <x:c r="AE343" s="53"/>
      <x:c r="AF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  <x:c r="AA344" s="53"/>
      <x:c r="AB344" s="53"/>
      <x:c r="AC344" s="53"/>
      <x:c r="AD344" s="53"/>
      <x:c r="AE344" s="53"/>
      <x:c r="AF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  <x:c r="AA345" s="53"/>
      <x:c r="AB345" s="53"/>
      <x:c r="AC345" s="53"/>
      <x:c r="AD345" s="53"/>
      <x:c r="AE345" s="53"/>
      <x:c r="AF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  <x:c r="AA346" s="53"/>
      <x:c r="AB346" s="53"/>
      <x:c r="AC346" s="53"/>
      <x:c r="AD346" s="53"/>
      <x:c r="AE346" s="53"/>
      <x:c r="AF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  <x:c r="AA347" s="53"/>
      <x:c r="AB347" s="53"/>
      <x:c r="AC347" s="53"/>
      <x:c r="AD347" s="53"/>
      <x:c r="AE347" s="53"/>
      <x:c r="AF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  <x:c r="AA348" s="53"/>
      <x:c r="AB348" s="53"/>
      <x:c r="AC348" s="53"/>
      <x:c r="AD348" s="53"/>
      <x:c r="AE348" s="53"/>
      <x:c r="AF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  <x:c r="AA349" s="53"/>
      <x:c r="AB349" s="53"/>
      <x:c r="AC349" s="53"/>
      <x:c r="AD349" s="53"/>
      <x:c r="AE349" s="53"/>
      <x:c r="AF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  <x:c r="AA350" s="53"/>
      <x:c r="AB350" s="53"/>
      <x:c r="AC350" s="53"/>
      <x:c r="AD350" s="53"/>
      <x:c r="AE350" s="53"/>
      <x:c r="AF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  <x:c r="AA351" s="53"/>
      <x:c r="AB351" s="53"/>
      <x:c r="AC351" s="53"/>
      <x:c r="AD351" s="53"/>
      <x:c r="AE351" s="53"/>
      <x:c r="AF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  <x:c r="AA352" s="53"/>
      <x:c r="AB352" s="53"/>
      <x:c r="AC352" s="53"/>
      <x:c r="AD352" s="53"/>
      <x:c r="AE352" s="53"/>
      <x:c r="AF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  <x:c r="AA353" s="53"/>
      <x:c r="AB353" s="53"/>
      <x:c r="AC353" s="53"/>
      <x:c r="AD353" s="53"/>
      <x:c r="AE353" s="53"/>
      <x:c r="AF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  <x:c r="AA354" s="53"/>
      <x:c r="AB354" s="53"/>
      <x:c r="AC354" s="53"/>
      <x:c r="AD354" s="53"/>
      <x:c r="AE354" s="53"/>
      <x:c r="AF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  <x:c r="AA355" s="53"/>
      <x:c r="AB355" s="53"/>
      <x:c r="AC355" s="53"/>
      <x:c r="AD355" s="53"/>
      <x:c r="AE355" s="53"/>
      <x:c r="AF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  <x:c r="AA356" s="53"/>
      <x:c r="AB356" s="53"/>
      <x:c r="AC356" s="53"/>
      <x:c r="AD356" s="53"/>
      <x:c r="AE356" s="53"/>
      <x:c r="AF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  <x:c r="AA357" s="53"/>
      <x:c r="AB357" s="53"/>
      <x:c r="AC357" s="53"/>
      <x:c r="AD357" s="53"/>
      <x:c r="AE357" s="53"/>
      <x:c r="AF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  <x:c r="AA358" s="53"/>
      <x:c r="AB358" s="53"/>
      <x:c r="AC358" s="53"/>
      <x:c r="AD358" s="53"/>
      <x:c r="AE358" s="53"/>
      <x:c r="AF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  <x:c r="AA359" s="53"/>
      <x:c r="AB359" s="53"/>
      <x:c r="AC359" s="53"/>
      <x:c r="AD359" s="53"/>
      <x:c r="AE359" s="53"/>
      <x:c r="AF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  <x:c r="AA360" s="53"/>
      <x:c r="AB360" s="53"/>
      <x:c r="AC360" s="53"/>
      <x:c r="AD360" s="53"/>
      <x:c r="AE360" s="53"/>
      <x:c r="AF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  <x:c r="AA361" s="53"/>
      <x:c r="AB361" s="53"/>
      <x:c r="AC361" s="53"/>
      <x:c r="AD361" s="53"/>
      <x:c r="AE361" s="53"/>
      <x:c r="AF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  <x:c r="AA362" s="53"/>
      <x:c r="AB362" s="53"/>
      <x:c r="AC362" s="53"/>
      <x:c r="AD362" s="53"/>
      <x:c r="AE362" s="53"/>
      <x:c r="AF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  <x:c r="AA363" s="53"/>
      <x:c r="AB363" s="53"/>
      <x:c r="AC363" s="53"/>
      <x:c r="AD363" s="53"/>
      <x:c r="AE363" s="53"/>
      <x:c r="AF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  <x:c r="AA364" s="53"/>
      <x:c r="AB364" s="53"/>
      <x:c r="AC364" s="53"/>
      <x:c r="AD364" s="53"/>
      <x:c r="AE364" s="53"/>
      <x:c r="AF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  <x:c r="AA365" s="53"/>
      <x:c r="AB365" s="53"/>
      <x:c r="AC365" s="53"/>
      <x:c r="AD365" s="53"/>
      <x:c r="AE365" s="53"/>
      <x:c r="AF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  <x:c r="AA366" s="53"/>
      <x:c r="AB366" s="53"/>
      <x:c r="AC366" s="53"/>
      <x:c r="AD366" s="53"/>
      <x:c r="AE366" s="53"/>
      <x:c r="AF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  <x:c r="AA367" s="53"/>
      <x:c r="AB367" s="53"/>
      <x:c r="AC367" s="53"/>
      <x:c r="AD367" s="53"/>
      <x:c r="AE367" s="53"/>
      <x:c r="AF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  <x:c r="AA368" s="53"/>
      <x:c r="AB368" s="53"/>
      <x:c r="AC368" s="53"/>
      <x:c r="AD368" s="53"/>
      <x:c r="AE368" s="53"/>
      <x:c r="AF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  <x:c r="AA369" s="53"/>
      <x:c r="AB369" s="53"/>
      <x:c r="AC369" s="53"/>
      <x:c r="AD369" s="53"/>
      <x:c r="AE369" s="53"/>
      <x:c r="AF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  <x:c r="AA370" s="53"/>
      <x:c r="AB370" s="53"/>
      <x:c r="AC370" s="53"/>
      <x:c r="AD370" s="53"/>
      <x:c r="AE370" s="53"/>
      <x:c r="AF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  <x:c r="AA371" s="53"/>
      <x:c r="AB371" s="53"/>
      <x:c r="AC371" s="53"/>
      <x:c r="AD371" s="53"/>
      <x:c r="AE371" s="53"/>
      <x:c r="AF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  <x:c r="AA372" s="53"/>
      <x:c r="AB372" s="53"/>
      <x:c r="AC372" s="53"/>
      <x:c r="AD372" s="53"/>
      <x:c r="AE372" s="53"/>
      <x:c r="AF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  <x:c r="AA373" s="53"/>
      <x:c r="AB373" s="53"/>
      <x:c r="AC373" s="53"/>
      <x:c r="AD373" s="53"/>
      <x:c r="AE373" s="53"/>
      <x:c r="AF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  <x:c r="AA374" s="53"/>
      <x:c r="AB374" s="53"/>
      <x:c r="AC374" s="53"/>
      <x:c r="AD374" s="53"/>
      <x:c r="AE374" s="53"/>
      <x:c r="AF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  <x:c r="AA375" s="53"/>
      <x:c r="AB375" s="53"/>
      <x:c r="AC375" s="53"/>
      <x:c r="AD375" s="53"/>
      <x:c r="AE375" s="53"/>
      <x:c r="AF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  <x:c r="AA376" s="53"/>
      <x:c r="AB376" s="53"/>
      <x:c r="AC376" s="53"/>
      <x:c r="AD376" s="53"/>
      <x:c r="AE376" s="53"/>
      <x:c r="AF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  <x:c r="AA377" s="53"/>
      <x:c r="AB377" s="53"/>
      <x:c r="AC377" s="53"/>
      <x:c r="AD377" s="53"/>
      <x:c r="AE377" s="53"/>
      <x:c r="AF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  <x:c r="AA378" s="53"/>
      <x:c r="AB378" s="53"/>
      <x:c r="AC378" s="53"/>
      <x:c r="AD378" s="53"/>
      <x:c r="AE378" s="53"/>
      <x:c r="AF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  <x:c r="AA379" s="53"/>
      <x:c r="AB379" s="53"/>
      <x:c r="AC379" s="53"/>
      <x:c r="AD379" s="53"/>
      <x:c r="AE379" s="53"/>
      <x:c r="AF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  <x:c r="AA380" s="53"/>
      <x:c r="AB380" s="53"/>
      <x:c r="AC380" s="53"/>
      <x:c r="AD380" s="53"/>
      <x:c r="AE380" s="53"/>
      <x:c r="AF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  <x:c r="AA381" s="53"/>
      <x:c r="AB381" s="53"/>
      <x:c r="AC381" s="53"/>
      <x:c r="AD381" s="53"/>
      <x:c r="AE381" s="53"/>
      <x:c r="AF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  <x:c r="AA382" s="53"/>
      <x:c r="AB382" s="53"/>
      <x:c r="AC382" s="53"/>
      <x:c r="AD382" s="53"/>
      <x:c r="AE382" s="53"/>
      <x:c r="AF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  <x:c r="AA383" s="53"/>
      <x:c r="AB383" s="53"/>
      <x:c r="AC383" s="53"/>
      <x:c r="AD383" s="53"/>
      <x:c r="AE383" s="53"/>
      <x:c r="AF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  <x:c r="AA384" s="53"/>
      <x:c r="AB384" s="53"/>
      <x:c r="AC384" s="53"/>
      <x:c r="AD384" s="53"/>
      <x:c r="AE384" s="53"/>
      <x:c r="AF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  <x:c r="AA385" s="53"/>
      <x:c r="AB385" s="53"/>
      <x:c r="AC385" s="53"/>
      <x:c r="AD385" s="53"/>
      <x:c r="AE385" s="53"/>
      <x:c r="AF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  <x:c r="AA386" s="53"/>
      <x:c r="AB386" s="53"/>
      <x:c r="AC386" s="53"/>
      <x:c r="AD386" s="53"/>
      <x:c r="AE386" s="53"/>
      <x:c r="AF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  <x:c r="AA387" s="53"/>
      <x:c r="AB387" s="53"/>
      <x:c r="AC387" s="53"/>
      <x:c r="AD387" s="53"/>
      <x:c r="AE387" s="53"/>
      <x:c r="AF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  <x:c r="AA388" s="53"/>
      <x:c r="AB388" s="53"/>
      <x:c r="AC388" s="53"/>
      <x:c r="AD388" s="53"/>
      <x:c r="AE388" s="53"/>
      <x:c r="AF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  <x:c r="AA389" s="53"/>
      <x:c r="AB389" s="53"/>
      <x:c r="AC389" s="53"/>
      <x:c r="AD389" s="53"/>
      <x:c r="AE389" s="53"/>
      <x:c r="AF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  <x:c r="AA390" s="53"/>
      <x:c r="AB390" s="53"/>
      <x:c r="AC390" s="53"/>
      <x:c r="AD390" s="53"/>
      <x:c r="AE390" s="53"/>
      <x:c r="AF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  <x:c r="AA391" s="53"/>
      <x:c r="AB391" s="53"/>
      <x:c r="AC391" s="53"/>
      <x:c r="AD391" s="53"/>
      <x:c r="AE391" s="53"/>
      <x:c r="AF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  <x:c r="AA392" s="53"/>
      <x:c r="AB392" s="53"/>
      <x:c r="AC392" s="53"/>
      <x:c r="AD392" s="53"/>
      <x:c r="AE392" s="53"/>
      <x:c r="AF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  <x:c r="AA393" s="53"/>
      <x:c r="AB393" s="53"/>
      <x:c r="AC393" s="53"/>
      <x:c r="AD393" s="53"/>
      <x:c r="AE393" s="53"/>
      <x:c r="AF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  <x:c r="AA394" s="53"/>
      <x:c r="AB394" s="53"/>
      <x:c r="AC394" s="53"/>
      <x:c r="AD394" s="53"/>
      <x:c r="AE394" s="53"/>
      <x:c r="AF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  <x:c r="AA395" s="53"/>
      <x:c r="AB395" s="53"/>
      <x:c r="AC395" s="53"/>
      <x:c r="AD395" s="53"/>
      <x:c r="AE395" s="53"/>
      <x:c r="AF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  <x:c r="AA396" s="53"/>
      <x:c r="AB396" s="53"/>
      <x:c r="AC396" s="53"/>
      <x:c r="AD396" s="53"/>
      <x:c r="AE396" s="53"/>
      <x:c r="AF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  <x:c r="AA397" s="53"/>
      <x:c r="AB397" s="53"/>
      <x:c r="AC397" s="53"/>
      <x:c r="AD397" s="53"/>
      <x:c r="AE397" s="53"/>
      <x:c r="AF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  <x:c r="AA398" s="53"/>
      <x:c r="AB398" s="53"/>
      <x:c r="AC398" s="53"/>
      <x:c r="AD398" s="53"/>
      <x:c r="AE398" s="53"/>
      <x:c r="AF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  <x:c r="AA399" s="53"/>
      <x:c r="AB399" s="53"/>
      <x:c r="AC399" s="53"/>
      <x:c r="AD399" s="53"/>
      <x:c r="AE399" s="53"/>
      <x:c r="AF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  <x:c r="AA400" s="53"/>
      <x:c r="AB400" s="53"/>
      <x:c r="AC400" s="53"/>
      <x:c r="AD400" s="53"/>
      <x:c r="AE400" s="53"/>
      <x:c r="AF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  <x:c r="AA401" s="53"/>
      <x:c r="AB401" s="53"/>
      <x:c r="AC401" s="53"/>
      <x:c r="AD401" s="53"/>
      <x:c r="AE401" s="53"/>
      <x:c r="AF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  <x:c r="AA402" s="53"/>
      <x:c r="AB402" s="53"/>
      <x:c r="AC402" s="53"/>
      <x:c r="AD402" s="53"/>
      <x:c r="AE402" s="53"/>
      <x:c r="AF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  <x:c r="AA403" s="53"/>
      <x:c r="AB403" s="53"/>
      <x:c r="AC403" s="53"/>
      <x:c r="AD403" s="53"/>
      <x:c r="AE403" s="53"/>
      <x:c r="AF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  <x:c r="AA404" s="53"/>
      <x:c r="AB404" s="53"/>
      <x:c r="AC404" s="53"/>
      <x:c r="AD404" s="53"/>
      <x:c r="AE404" s="53"/>
      <x:c r="AF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  <x:c r="AA405" s="53"/>
      <x:c r="AB405" s="53"/>
      <x:c r="AC405" s="53"/>
      <x:c r="AD405" s="53"/>
      <x:c r="AE405" s="53"/>
      <x:c r="AF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  <x:c r="AA406" s="53"/>
      <x:c r="AB406" s="53"/>
      <x:c r="AC406" s="53"/>
      <x:c r="AD406" s="53"/>
      <x:c r="AE406" s="53"/>
      <x:c r="AF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  <x:c r="AA407" s="53"/>
      <x:c r="AB407" s="53"/>
      <x:c r="AC407" s="53"/>
      <x:c r="AD407" s="53"/>
      <x:c r="AE407" s="53"/>
      <x:c r="AF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  <x:c r="AA408" s="53"/>
      <x:c r="AB408" s="53"/>
      <x:c r="AC408" s="53"/>
      <x:c r="AD408" s="53"/>
      <x:c r="AE408" s="53"/>
      <x:c r="AF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  <x:c r="AA409" s="53"/>
      <x:c r="AB409" s="53"/>
      <x:c r="AC409" s="53"/>
      <x:c r="AD409" s="53"/>
      <x:c r="AE409" s="53"/>
      <x:c r="AF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  <x:c r="AA410" s="53"/>
      <x:c r="AB410" s="53"/>
      <x:c r="AC410" s="53"/>
      <x:c r="AD410" s="53"/>
      <x:c r="AE410" s="53"/>
      <x:c r="AF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  <x:c r="AA411" s="53"/>
      <x:c r="AB411" s="53"/>
      <x:c r="AC411" s="53"/>
      <x:c r="AD411" s="53"/>
      <x:c r="AE411" s="53"/>
      <x:c r="AF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  <x:c r="AA412" s="53"/>
      <x:c r="AB412" s="53"/>
      <x:c r="AC412" s="53"/>
      <x:c r="AD412" s="53"/>
      <x:c r="AE412" s="53"/>
      <x:c r="AF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  <x:c r="AA413" s="53"/>
      <x:c r="AB413" s="53"/>
      <x:c r="AC413" s="53"/>
      <x:c r="AD413" s="53"/>
      <x:c r="AE413" s="53"/>
      <x:c r="AF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  <x:c r="AA414" s="53"/>
      <x:c r="AB414" s="53"/>
      <x:c r="AC414" s="53"/>
      <x:c r="AD414" s="53"/>
      <x:c r="AE414" s="53"/>
      <x:c r="AF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  <x:c r="AA415" s="53"/>
      <x:c r="AB415" s="53"/>
      <x:c r="AC415" s="53"/>
      <x:c r="AD415" s="53"/>
      <x:c r="AE415" s="53"/>
      <x:c r="AF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  <x:c r="AA416" s="53"/>
      <x:c r="AB416" s="53"/>
      <x:c r="AC416" s="53"/>
      <x:c r="AD416" s="53"/>
      <x:c r="AE416" s="53"/>
      <x:c r="AF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  <x:c r="AA417" s="53"/>
      <x:c r="AB417" s="53"/>
      <x:c r="AC417" s="53"/>
      <x:c r="AD417" s="53"/>
      <x:c r="AE417" s="53"/>
      <x:c r="AF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  <x:c r="AA418" s="53"/>
      <x:c r="AB418" s="53"/>
      <x:c r="AC418" s="53"/>
      <x:c r="AD418" s="53"/>
      <x:c r="AE418" s="53"/>
      <x:c r="AF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  <x:c r="AA419" s="53"/>
      <x:c r="AB419" s="53"/>
      <x:c r="AC419" s="53"/>
      <x:c r="AD419" s="53"/>
      <x:c r="AE419" s="53"/>
      <x:c r="AF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  <x:c r="AA420" s="53"/>
      <x:c r="AB420" s="53"/>
      <x:c r="AC420" s="53"/>
      <x:c r="AD420" s="53"/>
      <x:c r="AE420" s="53"/>
      <x:c r="AF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  <x:c r="AA421" s="53"/>
      <x:c r="AB421" s="53"/>
      <x:c r="AC421" s="53"/>
      <x:c r="AD421" s="53"/>
      <x:c r="AE421" s="53"/>
      <x:c r="AF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  <x:c r="AA422" s="53"/>
      <x:c r="AB422" s="53"/>
      <x:c r="AC422" s="53"/>
      <x:c r="AD422" s="53"/>
      <x:c r="AE422" s="53"/>
      <x:c r="AF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  <x:c r="AA423" s="53"/>
      <x:c r="AB423" s="53"/>
      <x:c r="AC423" s="53"/>
      <x:c r="AD423" s="53"/>
      <x:c r="AE423" s="53"/>
      <x:c r="AF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  <x:c r="AA424" s="53"/>
      <x:c r="AB424" s="53"/>
      <x:c r="AC424" s="53"/>
      <x:c r="AD424" s="53"/>
      <x:c r="AE424" s="53"/>
      <x:c r="AF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  <x:c r="AA425" s="53"/>
      <x:c r="AB425" s="53"/>
      <x:c r="AC425" s="53"/>
      <x:c r="AD425" s="53"/>
      <x:c r="AE425" s="53"/>
      <x:c r="AF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  <x:c r="AA426" s="53"/>
      <x:c r="AB426" s="53"/>
      <x:c r="AC426" s="53"/>
      <x:c r="AD426" s="53"/>
      <x:c r="AE426" s="53"/>
      <x:c r="AF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  <x:c r="AA427" s="53"/>
      <x:c r="AB427" s="53"/>
      <x:c r="AC427" s="53"/>
      <x:c r="AD427" s="53"/>
      <x:c r="AE427" s="53"/>
      <x:c r="AF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  <x:c r="AA428" s="53"/>
      <x:c r="AB428" s="53"/>
      <x:c r="AC428" s="53"/>
      <x:c r="AD428" s="53"/>
      <x:c r="AE428" s="53"/>
      <x:c r="AF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  <x:c r="AA429" s="53"/>
      <x:c r="AB429" s="53"/>
      <x:c r="AC429" s="53"/>
      <x:c r="AD429" s="53"/>
      <x:c r="AE429" s="53"/>
      <x:c r="AF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  <x:c r="AA430" s="53"/>
      <x:c r="AB430" s="53"/>
      <x:c r="AC430" s="53"/>
      <x:c r="AD430" s="53"/>
      <x:c r="AE430" s="53"/>
      <x:c r="AF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  <x:c r="AA431" s="53"/>
      <x:c r="AB431" s="53"/>
      <x:c r="AC431" s="53"/>
      <x:c r="AD431" s="53"/>
      <x:c r="AE431" s="53"/>
      <x:c r="AF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  <x:c r="AA432" s="53"/>
      <x:c r="AB432" s="53"/>
      <x:c r="AC432" s="53"/>
      <x:c r="AD432" s="53"/>
      <x:c r="AE432" s="53"/>
      <x:c r="AF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  <x:c r="AA433" s="53"/>
      <x:c r="AB433" s="53"/>
      <x:c r="AC433" s="53"/>
      <x:c r="AD433" s="53"/>
      <x:c r="AE433" s="53"/>
      <x:c r="AF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  <x:c r="AA434" s="53"/>
      <x:c r="AB434" s="53"/>
      <x:c r="AC434" s="53"/>
      <x:c r="AD434" s="53"/>
      <x:c r="AE434" s="53"/>
      <x:c r="AF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  <x:c r="AA435" s="53"/>
      <x:c r="AB435" s="53"/>
      <x:c r="AC435" s="53"/>
      <x:c r="AD435" s="53"/>
      <x:c r="AE435" s="53"/>
      <x:c r="AF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  <x:c r="AA436" s="53"/>
      <x:c r="AB436" s="53"/>
      <x:c r="AC436" s="53"/>
      <x:c r="AD436" s="53"/>
      <x:c r="AE436" s="53"/>
      <x:c r="AF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  <x:c r="AA437" s="53"/>
      <x:c r="AB437" s="53"/>
      <x:c r="AC437" s="53"/>
      <x:c r="AD437" s="53"/>
      <x:c r="AE437" s="53"/>
      <x:c r="AF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  <x:c r="AA438" s="53"/>
      <x:c r="AB438" s="53"/>
      <x:c r="AC438" s="53"/>
      <x:c r="AD438" s="53"/>
      <x:c r="AE438" s="53"/>
      <x:c r="AF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  <x:c r="AA439" s="53"/>
      <x:c r="AB439" s="53"/>
      <x:c r="AC439" s="53"/>
      <x:c r="AD439" s="53"/>
      <x:c r="AE439" s="53"/>
      <x:c r="AF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  <x:c r="AA440" s="53"/>
      <x:c r="AB440" s="53"/>
      <x:c r="AC440" s="53"/>
      <x:c r="AD440" s="53"/>
      <x:c r="AE440" s="53"/>
      <x:c r="AF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  <x:c r="AA441" s="53"/>
      <x:c r="AB441" s="53"/>
      <x:c r="AC441" s="53"/>
      <x:c r="AD441" s="53"/>
      <x:c r="AE441" s="53"/>
      <x:c r="AF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  <x:c r="AA442" s="53"/>
      <x:c r="AB442" s="53"/>
      <x:c r="AC442" s="53"/>
      <x:c r="AD442" s="53"/>
      <x:c r="AE442" s="53"/>
      <x:c r="AF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  <x:c r="AA443" s="53"/>
      <x:c r="AB443" s="53"/>
      <x:c r="AC443" s="53"/>
      <x:c r="AD443" s="53"/>
      <x:c r="AE443" s="53"/>
      <x:c r="AF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  <x:c r="AA444" s="53"/>
      <x:c r="AB444" s="53"/>
      <x:c r="AC444" s="53"/>
      <x:c r="AD444" s="53"/>
      <x:c r="AE444" s="53"/>
      <x:c r="AF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  <x:c r="AA445" s="53"/>
      <x:c r="AB445" s="53"/>
      <x:c r="AC445" s="53"/>
      <x:c r="AD445" s="53"/>
      <x:c r="AE445" s="53"/>
      <x:c r="AF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  <x:c r="AA446" s="53"/>
      <x:c r="AB446" s="53"/>
      <x:c r="AC446" s="53"/>
      <x:c r="AD446" s="53"/>
      <x:c r="AE446" s="53"/>
      <x:c r="AF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  <x:c r="AA447" s="53"/>
      <x:c r="AB447" s="53"/>
      <x:c r="AC447" s="53"/>
      <x:c r="AD447" s="53"/>
      <x:c r="AE447" s="53"/>
      <x:c r="AF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  <x:c r="AA448" s="53"/>
      <x:c r="AB448" s="53"/>
      <x:c r="AC448" s="53"/>
      <x:c r="AD448" s="53"/>
      <x:c r="AE448" s="53"/>
      <x:c r="AF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  <x:c r="AA449" s="53"/>
      <x:c r="AB449" s="53"/>
      <x:c r="AC449" s="53"/>
      <x:c r="AD449" s="53"/>
      <x:c r="AE449" s="53"/>
      <x:c r="AF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  <x:c r="AA450" s="53"/>
      <x:c r="AB450" s="53"/>
      <x:c r="AC450" s="53"/>
      <x:c r="AD450" s="53"/>
      <x:c r="AE450" s="53"/>
      <x:c r="AF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  <x:c r="AA451" s="53"/>
      <x:c r="AB451" s="53"/>
      <x:c r="AC451" s="53"/>
      <x:c r="AD451" s="53"/>
      <x:c r="AE451" s="53"/>
      <x:c r="AF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  <x:c r="AA452" s="53"/>
      <x:c r="AB452" s="53"/>
      <x:c r="AC452" s="53"/>
      <x:c r="AD452" s="53"/>
      <x:c r="AE452" s="53"/>
      <x:c r="AF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  <x:c r="AA453" s="53"/>
      <x:c r="AB453" s="53"/>
      <x:c r="AC453" s="53"/>
      <x:c r="AD453" s="53"/>
      <x:c r="AE453" s="53"/>
      <x:c r="AF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  <x:c r="AA454" s="53"/>
      <x:c r="AB454" s="53"/>
      <x:c r="AC454" s="53"/>
      <x:c r="AD454" s="53"/>
      <x:c r="AE454" s="53"/>
      <x:c r="AF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  <x:c r="AA455" s="53"/>
      <x:c r="AB455" s="53"/>
      <x:c r="AC455" s="53"/>
      <x:c r="AD455" s="53"/>
      <x:c r="AE455" s="53"/>
      <x:c r="AF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  <x:c r="AA456" s="53"/>
      <x:c r="AB456" s="53"/>
      <x:c r="AC456" s="53"/>
      <x:c r="AD456" s="53"/>
      <x:c r="AE456" s="53"/>
      <x:c r="AF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  <x:c r="AA457" s="53"/>
      <x:c r="AB457" s="53"/>
      <x:c r="AC457" s="53"/>
      <x:c r="AD457" s="53"/>
      <x:c r="AE457" s="53"/>
      <x:c r="AF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  <x:c r="AA458" s="53"/>
      <x:c r="AB458" s="53"/>
      <x:c r="AC458" s="53"/>
      <x:c r="AD458" s="53"/>
      <x:c r="AE458" s="53"/>
      <x:c r="AF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  <x:c r="AA459" s="53"/>
      <x:c r="AB459" s="53"/>
      <x:c r="AC459" s="53"/>
      <x:c r="AD459" s="53"/>
      <x:c r="AE459" s="53"/>
      <x:c r="AF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  <x:c r="AA460" s="53"/>
      <x:c r="AB460" s="53"/>
      <x:c r="AC460" s="53"/>
      <x:c r="AD460" s="53"/>
      <x:c r="AE460" s="53"/>
      <x:c r="AF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  <x:c r="AA461" s="53"/>
      <x:c r="AB461" s="53"/>
      <x:c r="AC461" s="53"/>
      <x:c r="AD461" s="53"/>
      <x:c r="AE461" s="53"/>
      <x:c r="AF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  <x:c r="AA462" s="53"/>
      <x:c r="AB462" s="53"/>
      <x:c r="AC462" s="53"/>
      <x:c r="AD462" s="53"/>
      <x:c r="AE462" s="53"/>
      <x:c r="AF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  <x:c r="AA463" s="53"/>
      <x:c r="AB463" s="53"/>
      <x:c r="AC463" s="53"/>
      <x:c r="AD463" s="53"/>
      <x:c r="AE463" s="53"/>
      <x:c r="AF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  <x:c r="AA464" s="53"/>
      <x:c r="AB464" s="53"/>
      <x:c r="AC464" s="53"/>
      <x:c r="AD464" s="53"/>
      <x:c r="AE464" s="53"/>
      <x:c r="AF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  <x:c r="AA465" s="53"/>
      <x:c r="AB465" s="53"/>
      <x:c r="AC465" s="53"/>
      <x:c r="AD465" s="53"/>
      <x:c r="AE465" s="53"/>
      <x:c r="AF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  <x:c r="AA466" s="53"/>
      <x:c r="AB466" s="53"/>
      <x:c r="AC466" s="53"/>
      <x:c r="AD466" s="53"/>
      <x:c r="AE466" s="53"/>
      <x:c r="AF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  <x:c r="AA467" s="53"/>
      <x:c r="AB467" s="53"/>
      <x:c r="AC467" s="53"/>
      <x:c r="AD467" s="53"/>
      <x:c r="AE467" s="53"/>
      <x:c r="AF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  <x:c r="AA468" s="53"/>
      <x:c r="AB468" s="53"/>
      <x:c r="AC468" s="53"/>
      <x:c r="AD468" s="53"/>
      <x:c r="AE468" s="53"/>
      <x:c r="AF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  <x:c r="AA469" s="53"/>
      <x:c r="AB469" s="53"/>
      <x:c r="AC469" s="53"/>
      <x:c r="AD469" s="53"/>
      <x:c r="AE469" s="53"/>
      <x:c r="AF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  <x:c r="AA470" s="53"/>
      <x:c r="AB470" s="53"/>
      <x:c r="AC470" s="53"/>
      <x:c r="AD470" s="53"/>
      <x:c r="AE470" s="53"/>
      <x:c r="AF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  <x:c r="AA471" s="53"/>
      <x:c r="AB471" s="53"/>
      <x:c r="AC471" s="53"/>
      <x:c r="AD471" s="53"/>
      <x:c r="AE471" s="53"/>
      <x:c r="AF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  <x:c r="AA472" s="53"/>
      <x:c r="AB472" s="53"/>
      <x:c r="AC472" s="53"/>
      <x:c r="AD472" s="53"/>
      <x:c r="AE472" s="53"/>
      <x:c r="AF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  <x:c r="AA473" s="53"/>
      <x:c r="AB473" s="53"/>
      <x:c r="AC473" s="53"/>
      <x:c r="AD473" s="53"/>
      <x:c r="AE473" s="53"/>
      <x:c r="AF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  <x:c r="AA474" s="53"/>
      <x:c r="AB474" s="53"/>
      <x:c r="AC474" s="53"/>
      <x:c r="AD474" s="53"/>
      <x:c r="AE474" s="53"/>
      <x:c r="AF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  <x:c r="AA475" s="53"/>
      <x:c r="AB475" s="53"/>
      <x:c r="AC475" s="53"/>
      <x:c r="AD475" s="53"/>
      <x:c r="AE475" s="53"/>
      <x:c r="AF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  <x:c r="AA476" s="53"/>
      <x:c r="AB476" s="53"/>
      <x:c r="AC476" s="53"/>
      <x:c r="AD476" s="53"/>
      <x:c r="AE476" s="53"/>
      <x:c r="AF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  <x:c r="AA477" s="53"/>
      <x:c r="AB477" s="53"/>
      <x:c r="AC477" s="53"/>
      <x:c r="AD477" s="53"/>
      <x:c r="AE477" s="53"/>
      <x:c r="AF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  <x:c r="AA478" s="53"/>
      <x:c r="AB478" s="53"/>
      <x:c r="AC478" s="53"/>
      <x:c r="AD478" s="53"/>
      <x:c r="AE478" s="53"/>
      <x:c r="AF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  <x:c r="AA479" s="53"/>
      <x:c r="AB479" s="53"/>
      <x:c r="AC479" s="53"/>
      <x:c r="AD479" s="53"/>
      <x:c r="AE479" s="53"/>
      <x:c r="AF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  <x:c r="AA480" s="53"/>
      <x:c r="AB480" s="53"/>
      <x:c r="AC480" s="53"/>
      <x:c r="AD480" s="53"/>
      <x:c r="AE480" s="53"/>
      <x:c r="AF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  <x:c r="AA481" s="53"/>
      <x:c r="AB481" s="53"/>
      <x:c r="AC481" s="53"/>
      <x:c r="AD481" s="53"/>
      <x:c r="AE481" s="53"/>
      <x:c r="AF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  <x:c r="AA482" s="53"/>
      <x:c r="AB482" s="53"/>
      <x:c r="AC482" s="53"/>
      <x:c r="AD482" s="53"/>
      <x:c r="AE482" s="53"/>
      <x:c r="AF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  <x:c r="AA483" s="53"/>
      <x:c r="AB483" s="53"/>
      <x:c r="AC483" s="53"/>
      <x:c r="AD483" s="53"/>
      <x:c r="AE483" s="53"/>
      <x:c r="AF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  <x:c r="AA484" s="53"/>
      <x:c r="AB484" s="53"/>
      <x:c r="AC484" s="53"/>
      <x:c r="AD484" s="53"/>
      <x:c r="AE484" s="53"/>
      <x:c r="AF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  <x:c r="AA485" s="53"/>
      <x:c r="AB485" s="53"/>
      <x:c r="AC485" s="53"/>
      <x:c r="AD485" s="53"/>
      <x:c r="AE485" s="53"/>
      <x:c r="AF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  <x:c r="AA486" s="53"/>
      <x:c r="AB486" s="53"/>
      <x:c r="AC486" s="53"/>
      <x:c r="AD486" s="53"/>
      <x:c r="AE486" s="53"/>
      <x:c r="AF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  <x:c r="AA487" s="53"/>
      <x:c r="AB487" s="53"/>
      <x:c r="AC487" s="53"/>
      <x:c r="AD487" s="53"/>
      <x:c r="AE487" s="53"/>
      <x:c r="AF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  <x:c r="AA488" s="53"/>
      <x:c r="AB488" s="53"/>
      <x:c r="AC488" s="53"/>
      <x:c r="AD488" s="53"/>
      <x:c r="AE488" s="53"/>
      <x:c r="AF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  <x:c r="AA489" s="53"/>
      <x:c r="AB489" s="53"/>
      <x:c r="AC489" s="53"/>
      <x:c r="AD489" s="53"/>
      <x:c r="AE489" s="53"/>
      <x:c r="AF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  <x:c r="AA490" s="53"/>
      <x:c r="AB490" s="53"/>
      <x:c r="AC490" s="53"/>
      <x:c r="AD490" s="53"/>
      <x:c r="AE490" s="53"/>
      <x:c r="AF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  <x:c r="AA491" s="53"/>
      <x:c r="AB491" s="53"/>
      <x:c r="AC491" s="53"/>
      <x:c r="AD491" s="53"/>
      <x:c r="AE491" s="53"/>
      <x:c r="AF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  <x:c r="AA492" s="53"/>
      <x:c r="AB492" s="53"/>
      <x:c r="AC492" s="53"/>
      <x:c r="AD492" s="53"/>
      <x:c r="AE492" s="53"/>
      <x:c r="AF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  <x:c r="AA493" s="53"/>
      <x:c r="AB493" s="53"/>
      <x:c r="AC493" s="53"/>
      <x:c r="AD493" s="53"/>
      <x:c r="AE493" s="53"/>
      <x:c r="AF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  <x:c r="AA494" s="53"/>
      <x:c r="AB494" s="53"/>
      <x:c r="AC494" s="53"/>
      <x:c r="AD494" s="53"/>
      <x:c r="AE494" s="53"/>
      <x:c r="AF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  <x:c r="AA495" s="53"/>
      <x:c r="AB495" s="53"/>
      <x:c r="AC495" s="53"/>
      <x:c r="AD495" s="53"/>
      <x:c r="AE495" s="53"/>
      <x:c r="AF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  <x:c r="AA496" s="53"/>
      <x:c r="AB496" s="53"/>
      <x:c r="AC496" s="53"/>
      <x:c r="AD496" s="53"/>
      <x:c r="AE496" s="53"/>
      <x:c r="AF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  <x:c r="AA497" s="53"/>
      <x:c r="AB497" s="53"/>
      <x:c r="AC497" s="53"/>
      <x:c r="AD497" s="53"/>
      <x:c r="AE497" s="53"/>
      <x:c r="AF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  <x:c r="AA498" s="53"/>
      <x:c r="AB498" s="53"/>
      <x:c r="AC498" s="53"/>
      <x:c r="AD498" s="53"/>
      <x:c r="AE498" s="53"/>
      <x:c r="AF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  <x:c r="AA499" s="53"/>
      <x:c r="AB499" s="53"/>
      <x:c r="AC499" s="53"/>
      <x:c r="AD499" s="53"/>
      <x:c r="AE499" s="53"/>
      <x:c r="AF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  <x:c r="AA500" s="53"/>
      <x:c r="AB500" s="53"/>
      <x:c r="AC500" s="53"/>
      <x:c r="AD500" s="53"/>
      <x:c r="AE500" s="53"/>
      <x:c r="AF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  <x:c r="AA501" s="53"/>
      <x:c r="AB501" s="53"/>
      <x:c r="AC501" s="53"/>
      <x:c r="AD501" s="53"/>
      <x:c r="AE501" s="53"/>
      <x:c r="AF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  <x:c r="AA502" s="53"/>
      <x:c r="AB502" s="53"/>
      <x:c r="AC502" s="53"/>
      <x:c r="AD502" s="53"/>
      <x:c r="AE502" s="53"/>
      <x:c r="AF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  <x:c r="AA503" s="53"/>
      <x:c r="AB503" s="53"/>
      <x:c r="AC503" s="53"/>
      <x:c r="AD503" s="53"/>
      <x:c r="AE503" s="53"/>
      <x:c r="AF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  <x:c r="AA504" s="53"/>
      <x:c r="AB504" s="53"/>
      <x:c r="AC504" s="53"/>
      <x:c r="AD504" s="53"/>
      <x:c r="AE504" s="53"/>
      <x:c r="AF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  <x:c r="AA505" s="53"/>
      <x:c r="AB505" s="53"/>
      <x:c r="AC505" s="53"/>
      <x:c r="AD505" s="53"/>
      <x:c r="AE505" s="53"/>
      <x:c r="AF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  <x:c r="AA506" s="53"/>
      <x:c r="AB506" s="53"/>
      <x:c r="AC506" s="53"/>
      <x:c r="AD506" s="53"/>
      <x:c r="AE506" s="53"/>
      <x:c r="AF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  <x:c r="AA507" s="53"/>
      <x:c r="AB507" s="53"/>
      <x:c r="AC507" s="53"/>
      <x:c r="AD507" s="53"/>
      <x:c r="AE507" s="53"/>
      <x:c r="AF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  <x:c r="AA508" s="53"/>
      <x:c r="AB508" s="53"/>
      <x:c r="AC508" s="53"/>
      <x:c r="AD508" s="53"/>
      <x:c r="AE508" s="53"/>
      <x:c r="AF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  <x:c r="AA509" s="53"/>
      <x:c r="AB509" s="53"/>
      <x:c r="AC509" s="53"/>
      <x:c r="AD509" s="53"/>
      <x:c r="AE509" s="53"/>
      <x:c r="AF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  <x:c r="AA510" s="53"/>
      <x:c r="AB510" s="53"/>
      <x:c r="AC510" s="53"/>
      <x:c r="AD510" s="53"/>
      <x:c r="AE510" s="53"/>
      <x:c r="AF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  <x:c r="AA511" s="53"/>
      <x:c r="AB511" s="53"/>
      <x:c r="AC511" s="53"/>
      <x:c r="AD511" s="53"/>
      <x:c r="AE511" s="53"/>
      <x:c r="AF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  <x:c r="AA512" s="53"/>
      <x:c r="AB512" s="53"/>
      <x:c r="AC512" s="53"/>
      <x:c r="AD512" s="53"/>
      <x:c r="AE512" s="53"/>
      <x:c r="AF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  <x:c r="AA513" s="53"/>
      <x:c r="AB513" s="53"/>
      <x:c r="AC513" s="53"/>
      <x:c r="AD513" s="53"/>
      <x:c r="AE513" s="53"/>
      <x:c r="AF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  <x:c r="AA514" s="53"/>
      <x:c r="AB514" s="53"/>
      <x:c r="AC514" s="53"/>
      <x:c r="AD514" s="53"/>
      <x:c r="AE514" s="53"/>
      <x:c r="AF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  <x:c r="AA515" s="53"/>
      <x:c r="AB515" s="53"/>
      <x:c r="AC515" s="53"/>
      <x:c r="AD515" s="53"/>
      <x:c r="AE515" s="53"/>
      <x:c r="AF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  <x:c r="AA516" s="53"/>
      <x:c r="AB516" s="53"/>
      <x:c r="AC516" s="53"/>
      <x:c r="AD516" s="53"/>
      <x:c r="AE516" s="53"/>
      <x:c r="AF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  <x:c r="AA517" s="53"/>
      <x:c r="AB517" s="53"/>
      <x:c r="AC517" s="53"/>
      <x:c r="AD517" s="53"/>
      <x:c r="AE517" s="53"/>
      <x:c r="AF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  <x:c r="AA518" s="53"/>
      <x:c r="AB518" s="53"/>
      <x:c r="AC518" s="53"/>
      <x:c r="AD518" s="53"/>
      <x:c r="AE518" s="53"/>
      <x:c r="AF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  <x:c r="AA519" s="53"/>
      <x:c r="AB519" s="53"/>
      <x:c r="AC519" s="53"/>
      <x:c r="AD519" s="53"/>
      <x:c r="AE519" s="53"/>
      <x:c r="AF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  <x:c r="AA520" s="53"/>
      <x:c r="AB520" s="53"/>
      <x:c r="AC520" s="53"/>
      <x:c r="AD520" s="53"/>
      <x:c r="AE520" s="53"/>
      <x:c r="AF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  <x:c r="AA521" s="53"/>
      <x:c r="AB521" s="53"/>
      <x:c r="AC521" s="53"/>
      <x:c r="AD521" s="53"/>
      <x:c r="AE521" s="53"/>
      <x:c r="AF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  <x:c r="AA522" s="53"/>
      <x:c r="AB522" s="53"/>
      <x:c r="AC522" s="53"/>
      <x:c r="AD522" s="53"/>
      <x:c r="AE522" s="53"/>
      <x:c r="AF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  <x:c r="AA523" s="53"/>
      <x:c r="AB523" s="53"/>
      <x:c r="AC523" s="53"/>
      <x:c r="AD523" s="53"/>
      <x:c r="AE523" s="53"/>
      <x:c r="AF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  <x:c r="AA524" s="53"/>
      <x:c r="AB524" s="53"/>
      <x:c r="AC524" s="53"/>
      <x:c r="AD524" s="53"/>
      <x:c r="AE524" s="53"/>
      <x:c r="AF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  <x:c r="AA525" s="53"/>
      <x:c r="AB525" s="53"/>
      <x:c r="AC525" s="53"/>
      <x:c r="AD525" s="53"/>
      <x:c r="AE525" s="53"/>
      <x:c r="AF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  <x:c r="AA526" s="53"/>
      <x:c r="AB526" s="53"/>
      <x:c r="AC526" s="53"/>
      <x:c r="AD526" s="53"/>
      <x:c r="AE526" s="53"/>
      <x:c r="AF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  <x:c r="AA527" s="53"/>
      <x:c r="AB527" s="53"/>
      <x:c r="AC527" s="53"/>
      <x:c r="AD527" s="53"/>
      <x:c r="AE527" s="53"/>
      <x:c r="AF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  <x:c r="AA528" s="53"/>
      <x:c r="AB528" s="53"/>
      <x:c r="AC528" s="53"/>
      <x:c r="AD528" s="53"/>
      <x:c r="AE528" s="53"/>
      <x:c r="AF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  <x:c r="AA529" s="53"/>
      <x:c r="AB529" s="53"/>
      <x:c r="AC529" s="53"/>
      <x:c r="AD529" s="53"/>
      <x:c r="AE529" s="53"/>
      <x:c r="AF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  <x:c r="AA530" s="53"/>
      <x:c r="AB530" s="53"/>
      <x:c r="AC530" s="53"/>
      <x:c r="AD530" s="53"/>
      <x:c r="AE530" s="53"/>
      <x:c r="AF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  <x:c r="AA531" s="53"/>
      <x:c r="AB531" s="53"/>
      <x:c r="AC531" s="53"/>
      <x:c r="AD531" s="53"/>
      <x:c r="AE531" s="53"/>
      <x:c r="AF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  <x:c r="AA532" s="53"/>
      <x:c r="AB532" s="53"/>
      <x:c r="AC532" s="53"/>
      <x:c r="AD532" s="53"/>
      <x:c r="AE532" s="53"/>
      <x:c r="AF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  <x:c r="AA533" s="53"/>
      <x:c r="AB533" s="53"/>
      <x:c r="AC533" s="53"/>
      <x:c r="AD533" s="53"/>
      <x:c r="AE533" s="53"/>
      <x:c r="AF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  <x:c r="AA534" s="53"/>
      <x:c r="AB534" s="53"/>
      <x:c r="AC534" s="53"/>
      <x:c r="AD534" s="53"/>
      <x:c r="AE534" s="53"/>
      <x:c r="AF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  <x:c r="AA535" s="53"/>
      <x:c r="AB535" s="53"/>
      <x:c r="AC535" s="53"/>
      <x:c r="AD535" s="53"/>
      <x:c r="AE535" s="53"/>
      <x:c r="AF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  <x:c r="AA536" s="53"/>
      <x:c r="AB536" s="53"/>
      <x:c r="AC536" s="53"/>
      <x:c r="AD536" s="53"/>
      <x:c r="AE536" s="53"/>
      <x:c r="AF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  <x:c r="AA537" s="53"/>
      <x:c r="AB537" s="53"/>
      <x:c r="AC537" s="53"/>
      <x:c r="AD537" s="53"/>
      <x:c r="AE537" s="53"/>
      <x:c r="AF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  <x:c r="AA538" s="53"/>
      <x:c r="AB538" s="53"/>
      <x:c r="AC538" s="53"/>
      <x:c r="AD538" s="53"/>
      <x:c r="AE538" s="53"/>
      <x:c r="AF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  <x:c r="AA539" s="53"/>
      <x:c r="AB539" s="53"/>
      <x:c r="AC539" s="53"/>
      <x:c r="AD539" s="53"/>
      <x:c r="AE539" s="53"/>
      <x:c r="AF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  <x:c r="AA540" s="53"/>
      <x:c r="AB540" s="53"/>
      <x:c r="AC540" s="53"/>
      <x:c r="AD540" s="53"/>
      <x:c r="AE540" s="53"/>
      <x:c r="AF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  <x:c r="AA541" s="53"/>
      <x:c r="AB541" s="53"/>
      <x:c r="AC541" s="53"/>
      <x:c r="AD541" s="53"/>
      <x:c r="AE541" s="53"/>
      <x:c r="AF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  <x:c r="AA542" s="53"/>
      <x:c r="AB542" s="53"/>
      <x:c r="AC542" s="53"/>
      <x:c r="AD542" s="53"/>
      <x:c r="AE542" s="53"/>
      <x:c r="AF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  <x:c r="AA543" s="53"/>
      <x:c r="AB543" s="53"/>
      <x:c r="AC543" s="53"/>
      <x:c r="AD543" s="53"/>
      <x:c r="AE543" s="53"/>
      <x:c r="AF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  <x:c r="AA544" s="53"/>
      <x:c r="AB544" s="53"/>
      <x:c r="AC544" s="53"/>
      <x:c r="AD544" s="53"/>
      <x:c r="AE544" s="53"/>
      <x:c r="AF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  <x:c r="AA545" s="53"/>
      <x:c r="AB545" s="53"/>
      <x:c r="AC545" s="53"/>
      <x:c r="AD545" s="53"/>
      <x:c r="AE545" s="53"/>
      <x:c r="AF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  <x:c r="AA546" s="53"/>
      <x:c r="AB546" s="53"/>
      <x:c r="AC546" s="53"/>
      <x:c r="AD546" s="53"/>
      <x:c r="AE546" s="53"/>
      <x:c r="AF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  <x:c r="AA547" s="53"/>
      <x:c r="AB547" s="53"/>
      <x:c r="AC547" s="53"/>
      <x:c r="AD547" s="53"/>
      <x:c r="AE547" s="53"/>
      <x:c r="AF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  <x:c r="AA548" s="53"/>
      <x:c r="AB548" s="53"/>
      <x:c r="AC548" s="53"/>
      <x:c r="AD548" s="53"/>
      <x:c r="AE548" s="53"/>
      <x:c r="AF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  <x:c r="AA549" s="53"/>
      <x:c r="AB549" s="53"/>
      <x:c r="AC549" s="53"/>
      <x:c r="AD549" s="53"/>
      <x:c r="AE549" s="53"/>
      <x:c r="AF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  <x:c r="AA550" s="53"/>
      <x:c r="AB550" s="53"/>
      <x:c r="AC550" s="53"/>
      <x:c r="AD550" s="53"/>
      <x:c r="AE550" s="53"/>
      <x:c r="AF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  <x:c r="AA551" s="53"/>
      <x:c r="AB551" s="53"/>
      <x:c r="AC551" s="53"/>
      <x:c r="AD551" s="53"/>
      <x:c r="AE551" s="53"/>
      <x:c r="AF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  <x:c r="AA552" s="53"/>
      <x:c r="AB552" s="53"/>
      <x:c r="AC552" s="53"/>
      <x:c r="AD552" s="53"/>
      <x:c r="AE552" s="53"/>
      <x:c r="AF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  <x:c r="AA553" s="53"/>
      <x:c r="AB553" s="53"/>
      <x:c r="AC553" s="53"/>
      <x:c r="AD553" s="53"/>
      <x:c r="AE553" s="53"/>
      <x:c r="AF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  <x:c r="AA554" s="53"/>
      <x:c r="AB554" s="53"/>
      <x:c r="AC554" s="53"/>
      <x:c r="AD554" s="53"/>
      <x:c r="AE554" s="53"/>
      <x:c r="AF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  <x:c r="AA555" s="53"/>
      <x:c r="AB555" s="53"/>
      <x:c r="AC555" s="53"/>
      <x:c r="AD555" s="53"/>
      <x:c r="AE555" s="53"/>
      <x:c r="AF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  <x:c r="AA556" s="53"/>
      <x:c r="AB556" s="53"/>
      <x:c r="AC556" s="53"/>
      <x:c r="AD556" s="53"/>
      <x:c r="AE556" s="53"/>
      <x:c r="AF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  <x:c r="AA557" s="53"/>
      <x:c r="AB557" s="53"/>
      <x:c r="AC557" s="53"/>
      <x:c r="AD557" s="53"/>
      <x:c r="AE557" s="53"/>
      <x:c r="AF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  <x:c r="AA558" s="53"/>
      <x:c r="AB558" s="53"/>
      <x:c r="AC558" s="53"/>
      <x:c r="AD558" s="53"/>
      <x:c r="AE558" s="53"/>
      <x:c r="AF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  <x:c r="AA559" s="53"/>
      <x:c r="AB559" s="53"/>
      <x:c r="AC559" s="53"/>
      <x:c r="AD559" s="53"/>
      <x:c r="AE559" s="53"/>
      <x:c r="AF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  <x:c r="AA560" s="53"/>
      <x:c r="AB560" s="53"/>
      <x:c r="AC560" s="53"/>
      <x:c r="AD560" s="53"/>
      <x:c r="AE560" s="53"/>
      <x:c r="AF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  <x:c r="AA561" s="53"/>
      <x:c r="AB561" s="53"/>
      <x:c r="AC561" s="53"/>
      <x:c r="AD561" s="53"/>
      <x:c r="AE561" s="53"/>
      <x:c r="AF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  <x:c r="AA562" s="53"/>
      <x:c r="AB562" s="53"/>
      <x:c r="AC562" s="53"/>
      <x:c r="AD562" s="53"/>
      <x:c r="AE562" s="53"/>
      <x:c r="AF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  <x:c r="AA563" s="53"/>
      <x:c r="AB563" s="53"/>
      <x:c r="AC563" s="53"/>
      <x:c r="AD563" s="53"/>
      <x:c r="AE563" s="53"/>
      <x:c r="AF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  <x:c r="AA564" s="53"/>
      <x:c r="AB564" s="53"/>
      <x:c r="AC564" s="53"/>
      <x:c r="AD564" s="53"/>
      <x:c r="AE564" s="53"/>
      <x:c r="AF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  <x:c r="AA565" s="53"/>
      <x:c r="AB565" s="53"/>
      <x:c r="AC565" s="53"/>
      <x:c r="AD565" s="53"/>
      <x:c r="AE565" s="53"/>
      <x:c r="AF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  <x:c r="AA566" s="53"/>
      <x:c r="AB566" s="53"/>
      <x:c r="AC566" s="53"/>
      <x:c r="AD566" s="53"/>
      <x:c r="AE566" s="53"/>
      <x:c r="AF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  <x:c r="AA567" s="53"/>
      <x:c r="AB567" s="53"/>
      <x:c r="AC567" s="53"/>
      <x:c r="AD567" s="53"/>
      <x:c r="AE567" s="53"/>
      <x:c r="AF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  <x:c r="AA568" s="53"/>
      <x:c r="AB568" s="53"/>
      <x:c r="AC568" s="53"/>
      <x:c r="AD568" s="53"/>
      <x:c r="AE568" s="53"/>
      <x:c r="AF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  <x:c r="AA569" s="53"/>
      <x:c r="AB569" s="53"/>
      <x:c r="AC569" s="53"/>
      <x:c r="AD569" s="53"/>
      <x:c r="AE569" s="53"/>
      <x:c r="AF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  <x:c r="AA570" s="53"/>
      <x:c r="AB570" s="53"/>
      <x:c r="AC570" s="53"/>
      <x:c r="AD570" s="53"/>
      <x:c r="AE570" s="53"/>
      <x:c r="AF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  <x:c r="AA571" s="53"/>
      <x:c r="AB571" s="53"/>
      <x:c r="AC571" s="53"/>
      <x:c r="AD571" s="53"/>
      <x:c r="AE571" s="53"/>
      <x:c r="AF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  <x:c r="AA572" s="53"/>
      <x:c r="AB572" s="53"/>
      <x:c r="AC572" s="53"/>
      <x:c r="AD572" s="53"/>
      <x:c r="AE572" s="53"/>
      <x:c r="AF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  <x:c r="AA573" s="53"/>
      <x:c r="AB573" s="53"/>
      <x:c r="AC573" s="53"/>
      <x:c r="AD573" s="53"/>
      <x:c r="AE573" s="53"/>
      <x:c r="AF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  <x:c r="AA574" s="53"/>
      <x:c r="AB574" s="53"/>
      <x:c r="AC574" s="53"/>
      <x:c r="AD574" s="53"/>
      <x:c r="AE574" s="53"/>
      <x:c r="AF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  <x:c r="AA575" s="53"/>
      <x:c r="AB575" s="53"/>
      <x:c r="AC575" s="53"/>
      <x:c r="AD575" s="53"/>
      <x:c r="AE575" s="53"/>
      <x:c r="AF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  <x:c r="AA576" s="53"/>
      <x:c r="AB576" s="53"/>
      <x:c r="AC576" s="53"/>
      <x:c r="AD576" s="53"/>
      <x:c r="AE576" s="53"/>
      <x:c r="AF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  <x:c r="AA577" s="53"/>
      <x:c r="AB577" s="53"/>
      <x:c r="AC577" s="53"/>
      <x:c r="AD577" s="53"/>
      <x:c r="AE577" s="53"/>
      <x:c r="AF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  <x:c r="AA578" s="53"/>
      <x:c r="AB578" s="53"/>
      <x:c r="AC578" s="53"/>
      <x:c r="AD578" s="53"/>
      <x:c r="AE578" s="53"/>
      <x:c r="AF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  <x:c r="AA579" s="53"/>
      <x:c r="AB579" s="53"/>
      <x:c r="AC579" s="53"/>
      <x:c r="AD579" s="53"/>
      <x:c r="AE579" s="53"/>
      <x:c r="AF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  <x:c r="AA580" s="53"/>
      <x:c r="AB580" s="53"/>
      <x:c r="AC580" s="53"/>
      <x:c r="AD580" s="53"/>
      <x:c r="AE580" s="53"/>
      <x:c r="AF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  <x:c r="AA581" s="53"/>
      <x:c r="AB581" s="53"/>
      <x:c r="AC581" s="53"/>
      <x:c r="AD581" s="53"/>
      <x:c r="AE581" s="53"/>
      <x:c r="AF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  <x:c r="AA582" s="53"/>
      <x:c r="AB582" s="53"/>
      <x:c r="AC582" s="53"/>
      <x:c r="AD582" s="53"/>
      <x:c r="AE582" s="53"/>
      <x:c r="AF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  <x:c r="AA583" s="53"/>
      <x:c r="AB583" s="53"/>
      <x:c r="AC583" s="53"/>
      <x:c r="AD583" s="53"/>
      <x:c r="AE583" s="53"/>
      <x:c r="AF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  <x:c r="AA584" s="53"/>
      <x:c r="AB584" s="53"/>
      <x:c r="AC584" s="53"/>
      <x:c r="AD584" s="53"/>
      <x:c r="AE584" s="53"/>
      <x:c r="AF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  <x:c r="AA585" s="53"/>
      <x:c r="AB585" s="53"/>
      <x:c r="AC585" s="53"/>
      <x:c r="AD585" s="53"/>
      <x:c r="AE585" s="53"/>
      <x:c r="AF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  <x:c r="AA586" s="53"/>
      <x:c r="AB586" s="53"/>
      <x:c r="AC586" s="53"/>
      <x:c r="AD586" s="53"/>
      <x:c r="AE586" s="53"/>
      <x:c r="AF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  <x:c r="AA587" s="53"/>
      <x:c r="AB587" s="53"/>
      <x:c r="AC587" s="53"/>
      <x:c r="AD587" s="53"/>
      <x:c r="AE587" s="53"/>
      <x:c r="AF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  <x:c r="AA588" s="53"/>
      <x:c r="AB588" s="53"/>
      <x:c r="AC588" s="53"/>
      <x:c r="AD588" s="53"/>
      <x:c r="AE588" s="53"/>
      <x:c r="AF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  <x:c r="AA589" s="53"/>
      <x:c r="AB589" s="53"/>
      <x:c r="AC589" s="53"/>
      <x:c r="AD589" s="53"/>
      <x:c r="AE589" s="53"/>
      <x:c r="AF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  <x:c r="AA590" s="53"/>
      <x:c r="AB590" s="53"/>
      <x:c r="AC590" s="53"/>
      <x:c r="AD590" s="53"/>
      <x:c r="AE590" s="53"/>
      <x:c r="AF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  <x:c r="AA591" s="53"/>
      <x:c r="AB591" s="53"/>
      <x:c r="AC591" s="53"/>
      <x:c r="AD591" s="53"/>
      <x:c r="AE591" s="53"/>
      <x:c r="AF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  <x:c r="AA592" s="53"/>
      <x:c r="AB592" s="53"/>
      <x:c r="AC592" s="53"/>
      <x:c r="AD592" s="53"/>
      <x:c r="AE592" s="53"/>
      <x:c r="AF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  <x:c r="AA593" s="53"/>
      <x:c r="AB593" s="53"/>
      <x:c r="AC593" s="53"/>
      <x:c r="AD593" s="53"/>
      <x:c r="AE593" s="53"/>
      <x:c r="AF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  <x:c r="AA594" s="53"/>
      <x:c r="AB594" s="53"/>
      <x:c r="AC594" s="53"/>
      <x:c r="AD594" s="53"/>
      <x:c r="AE594" s="53"/>
      <x:c r="AF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  <x:c r="AA595" s="53"/>
      <x:c r="AB595" s="53"/>
      <x:c r="AC595" s="53"/>
      <x:c r="AD595" s="53"/>
      <x:c r="AE595" s="53"/>
      <x:c r="AF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  <x:c r="AA596" s="53"/>
      <x:c r="AB596" s="53"/>
      <x:c r="AC596" s="53"/>
      <x:c r="AD596" s="53"/>
      <x:c r="AE596" s="53"/>
      <x:c r="AF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  <x:c r="AA597" s="53"/>
      <x:c r="AB597" s="53"/>
      <x:c r="AC597" s="53"/>
      <x:c r="AD597" s="53"/>
      <x:c r="AE597" s="53"/>
      <x:c r="AF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  <x:c r="AA598" s="53"/>
      <x:c r="AB598" s="53"/>
      <x:c r="AC598" s="53"/>
      <x:c r="AD598" s="53"/>
      <x:c r="AE598" s="53"/>
      <x:c r="AF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  <x:c r="AA599" s="53"/>
      <x:c r="AB599" s="53"/>
      <x:c r="AC599" s="53"/>
      <x:c r="AD599" s="53"/>
      <x:c r="AE599" s="53"/>
      <x:c r="AF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  <x:c r="AA600" s="53"/>
      <x:c r="AB600" s="53"/>
      <x:c r="AC600" s="53"/>
      <x:c r="AD600" s="53"/>
      <x:c r="AE600" s="53"/>
      <x:c r="AF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  <x:c r="AA601" s="53"/>
      <x:c r="AB601" s="53"/>
      <x:c r="AC601" s="53"/>
      <x:c r="AD601" s="53"/>
      <x:c r="AE601" s="53"/>
      <x:c r="AF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  <x:c r="AA602" s="53"/>
      <x:c r="AB602" s="53"/>
      <x:c r="AC602" s="53"/>
      <x:c r="AD602" s="53"/>
      <x:c r="AE602" s="53"/>
      <x:c r="AF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  <x:c r="AA603" s="53"/>
      <x:c r="AB603" s="53"/>
      <x:c r="AC603" s="53"/>
      <x:c r="AD603" s="53"/>
      <x:c r="AE603" s="53"/>
      <x:c r="AF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  <x:c r="AA604" s="53"/>
      <x:c r="AB604" s="53"/>
      <x:c r="AC604" s="53"/>
      <x:c r="AD604" s="53"/>
      <x:c r="AE604" s="53"/>
      <x:c r="AF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  <x:c r="AA605" s="53"/>
      <x:c r="AB605" s="53"/>
      <x:c r="AC605" s="53"/>
      <x:c r="AD605" s="53"/>
      <x:c r="AE605" s="53"/>
      <x:c r="AF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  <x:c r="AA606" s="53"/>
      <x:c r="AB606" s="53"/>
      <x:c r="AC606" s="53"/>
      <x:c r="AD606" s="53"/>
      <x:c r="AE606" s="53"/>
      <x:c r="AF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  <x:c r="AA607" s="53"/>
      <x:c r="AB607" s="53"/>
      <x:c r="AC607" s="53"/>
      <x:c r="AD607" s="53"/>
      <x:c r="AE607" s="53"/>
      <x:c r="AF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  <x:c r="AA608" s="53"/>
      <x:c r="AB608" s="53"/>
      <x:c r="AC608" s="53"/>
      <x:c r="AD608" s="53"/>
      <x:c r="AE608" s="53"/>
      <x:c r="AF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  <x:c r="AA609" s="53"/>
      <x:c r="AB609" s="53"/>
      <x:c r="AC609" s="53"/>
      <x:c r="AD609" s="53"/>
      <x:c r="AE609" s="53"/>
      <x:c r="AF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  <x:c r="AA610" s="53"/>
      <x:c r="AB610" s="53"/>
      <x:c r="AC610" s="53"/>
      <x:c r="AD610" s="53"/>
      <x:c r="AE610" s="53"/>
      <x:c r="AF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  <x:c r="AA611" s="53"/>
      <x:c r="AB611" s="53"/>
      <x:c r="AC611" s="53"/>
      <x:c r="AD611" s="53"/>
      <x:c r="AE611" s="53"/>
      <x:c r="AF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  <x:c r="AA612" s="53"/>
      <x:c r="AB612" s="53"/>
      <x:c r="AC612" s="53"/>
      <x:c r="AD612" s="53"/>
      <x:c r="AE612" s="53"/>
      <x:c r="AF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  <x:c r="AA613" s="53"/>
      <x:c r="AB613" s="53"/>
      <x:c r="AC613" s="53"/>
      <x:c r="AD613" s="53"/>
      <x:c r="AE613" s="53"/>
      <x:c r="AF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  <x:c r="AA614" s="53"/>
      <x:c r="AB614" s="53"/>
      <x:c r="AC614" s="53"/>
      <x:c r="AD614" s="53"/>
      <x:c r="AE614" s="53"/>
      <x:c r="AF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  <x:c r="AA615" s="53"/>
      <x:c r="AB615" s="53"/>
      <x:c r="AC615" s="53"/>
      <x:c r="AD615" s="53"/>
      <x:c r="AE615" s="53"/>
      <x:c r="AF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  <x:c r="AA616" s="53"/>
      <x:c r="AB616" s="53"/>
      <x:c r="AC616" s="53"/>
      <x:c r="AD616" s="53"/>
      <x:c r="AE616" s="53"/>
      <x:c r="AF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  <x:c r="AA617" s="53"/>
      <x:c r="AB617" s="53"/>
      <x:c r="AC617" s="53"/>
      <x:c r="AD617" s="53"/>
      <x:c r="AE617" s="53"/>
      <x:c r="AF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  <x:c r="AA618" s="53"/>
      <x:c r="AB618" s="53"/>
      <x:c r="AC618" s="53"/>
      <x:c r="AD618" s="53"/>
      <x:c r="AE618" s="53"/>
      <x:c r="AF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  <x:c r="AA619" s="53"/>
      <x:c r="AB619" s="53"/>
      <x:c r="AC619" s="53"/>
      <x:c r="AD619" s="53"/>
      <x:c r="AE619" s="53"/>
      <x:c r="AF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  <x:c r="AA620" s="53"/>
      <x:c r="AB620" s="53"/>
      <x:c r="AC620" s="53"/>
      <x:c r="AD620" s="53"/>
      <x:c r="AE620" s="53"/>
      <x:c r="AF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  <x:c r="AA621" s="53"/>
      <x:c r="AB621" s="53"/>
      <x:c r="AC621" s="53"/>
      <x:c r="AD621" s="53"/>
      <x:c r="AE621" s="53"/>
      <x:c r="AF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  <x:c r="AA622" s="53"/>
      <x:c r="AB622" s="53"/>
      <x:c r="AC622" s="53"/>
      <x:c r="AD622" s="53"/>
      <x:c r="AE622" s="53"/>
      <x:c r="AF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  <x:c r="AA623" s="53"/>
      <x:c r="AB623" s="53"/>
      <x:c r="AC623" s="53"/>
      <x:c r="AD623" s="53"/>
      <x:c r="AE623" s="53"/>
      <x:c r="AF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  <x:c r="AA624" s="53"/>
      <x:c r="AB624" s="53"/>
      <x:c r="AC624" s="53"/>
      <x:c r="AD624" s="53"/>
      <x:c r="AE624" s="53"/>
      <x:c r="AF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  <x:c r="AA625" s="53"/>
      <x:c r="AB625" s="53"/>
      <x:c r="AC625" s="53"/>
      <x:c r="AD625" s="53"/>
      <x:c r="AE625" s="53"/>
      <x:c r="AF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  <x:c r="AA626" s="53"/>
      <x:c r="AB626" s="53"/>
      <x:c r="AC626" s="53"/>
      <x:c r="AD626" s="53"/>
      <x:c r="AE626" s="53"/>
      <x:c r="AF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  <x:c r="AA627" s="53"/>
      <x:c r="AB627" s="53"/>
      <x:c r="AC627" s="53"/>
      <x:c r="AD627" s="53"/>
      <x:c r="AE627" s="53"/>
      <x:c r="AF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  <x:c r="AA628" s="53"/>
      <x:c r="AB628" s="53"/>
      <x:c r="AC628" s="53"/>
      <x:c r="AD628" s="53"/>
      <x:c r="AE628" s="53"/>
      <x:c r="AF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  <x:c r="AA629" s="53"/>
      <x:c r="AB629" s="53"/>
      <x:c r="AC629" s="53"/>
      <x:c r="AD629" s="53"/>
      <x:c r="AE629" s="53"/>
      <x:c r="AF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  <x:c r="AA630" s="53"/>
      <x:c r="AB630" s="53"/>
      <x:c r="AC630" s="53"/>
      <x:c r="AD630" s="53"/>
      <x:c r="AE630" s="53"/>
      <x:c r="AF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  <x:c r="AA631" s="53"/>
      <x:c r="AB631" s="53"/>
      <x:c r="AC631" s="53"/>
      <x:c r="AD631" s="53"/>
      <x:c r="AE631" s="53"/>
      <x:c r="AF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  <x:c r="AA632" s="53"/>
      <x:c r="AB632" s="53"/>
      <x:c r="AC632" s="53"/>
      <x:c r="AD632" s="53"/>
      <x:c r="AE632" s="53"/>
      <x:c r="AF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  <x:c r="AA633" s="53"/>
      <x:c r="AB633" s="53"/>
      <x:c r="AC633" s="53"/>
      <x:c r="AD633" s="53"/>
      <x:c r="AE633" s="53"/>
      <x:c r="AF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  <x:c r="AA634" s="53"/>
      <x:c r="AB634" s="53"/>
      <x:c r="AC634" s="53"/>
      <x:c r="AD634" s="53"/>
      <x:c r="AE634" s="53"/>
      <x:c r="AF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  <x:c r="AA635" s="53"/>
      <x:c r="AB635" s="53"/>
      <x:c r="AC635" s="53"/>
      <x:c r="AD635" s="53"/>
      <x:c r="AE635" s="53"/>
      <x:c r="AF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  <x:c r="AA636" s="53"/>
      <x:c r="AB636" s="53"/>
      <x:c r="AC636" s="53"/>
      <x:c r="AD636" s="53"/>
      <x:c r="AE636" s="53"/>
      <x:c r="AF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  <x:c r="AA637" s="53"/>
      <x:c r="AB637" s="53"/>
      <x:c r="AC637" s="53"/>
      <x:c r="AD637" s="53"/>
      <x:c r="AE637" s="53"/>
      <x:c r="AF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  <x:c r="AA638" s="53"/>
      <x:c r="AB638" s="53"/>
      <x:c r="AC638" s="53"/>
      <x:c r="AD638" s="53"/>
      <x:c r="AE638" s="53"/>
      <x:c r="AF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  <x:c r="AA639" s="53"/>
      <x:c r="AB639" s="53"/>
      <x:c r="AC639" s="53"/>
      <x:c r="AD639" s="53"/>
      <x:c r="AE639" s="53"/>
      <x:c r="AF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  <x:c r="AA640" s="53"/>
      <x:c r="AB640" s="53"/>
      <x:c r="AC640" s="53"/>
      <x:c r="AD640" s="53"/>
      <x:c r="AE640" s="53"/>
      <x:c r="AF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  <x:c r="AA641" s="53"/>
      <x:c r="AB641" s="53"/>
      <x:c r="AC641" s="53"/>
      <x:c r="AD641" s="53"/>
      <x:c r="AE641" s="53"/>
      <x:c r="AF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  <x:c r="AA642" s="53"/>
      <x:c r="AB642" s="53"/>
      <x:c r="AC642" s="53"/>
      <x:c r="AD642" s="53"/>
      <x:c r="AE642" s="53"/>
      <x:c r="AF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  <x:c r="AA643" s="53"/>
      <x:c r="AB643" s="53"/>
      <x:c r="AC643" s="53"/>
      <x:c r="AD643" s="53"/>
      <x:c r="AE643" s="53"/>
      <x:c r="AF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  <x:c r="AA644" s="53"/>
      <x:c r="AB644" s="53"/>
      <x:c r="AC644" s="53"/>
      <x:c r="AD644" s="53"/>
      <x:c r="AE644" s="53"/>
      <x:c r="AF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  <x:c r="AA645" s="53"/>
      <x:c r="AB645" s="53"/>
      <x:c r="AC645" s="53"/>
      <x:c r="AD645" s="53"/>
      <x:c r="AE645" s="53"/>
      <x:c r="AF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  <x:c r="AA646" s="53"/>
      <x:c r="AB646" s="53"/>
      <x:c r="AC646" s="53"/>
      <x:c r="AD646" s="53"/>
      <x:c r="AE646" s="53"/>
      <x:c r="AF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  <x:c r="AA647" s="53"/>
      <x:c r="AB647" s="53"/>
      <x:c r="AC647" s="53"/>
      <x:c r="AD647" s="53"/>
      <x:c r="AE647" s="53"/>
      <x:c r="AF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  <x:c r="AA648" s="53"/>
      <x:c r="AB648" s="53"/>
      <x:c r="AC648" s="53"/>
      <x:c r="AD648" s="53"/>
      <x:c r="AE648" s="53"/>
      <x:c r="AF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  <x:c r="AA649" s="53"/>
      <x:c r="AB649" s="53"/>
      <x:c r="AC649" s="53"/>
      <x:c r="AD649" s="53"/>
      <x:c r="AE649" s="53"/>
      <x:c r="AF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  <x:c r="AA650" s="53"/>
      <x:c r="AB650" s="53"/>
      <x:c r="AC650" s="53"/>
      <x:c r="AD650" s="53"/>
      <x:c r="AE650" s="53"/>
      <x:c r="AF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  <x:c r="AA651" s="53"/>
      <x:c r="AB651" s="53"/>
      <x:c r="AC651" s="53"/>
      <x:c r="AD651" s="53"/>
      <x:c r="AE651" s="53"/>
      <x:c r="AF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  <x:c r="AA652" s="53"/>
      <x:c r="AB652" s="53"/>
      <x:c r="AC652" s="53"/>
      <x:c r="AD652" s="53"/>
      <x:c r="AE652" s="53"/>
      <x:c r="AF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  <x:c r="AA653" s="53"/>
      <x:c r="AB653" s="53"/>
      <x:c r="AC653" s="53"/>
      <x:c r="AD653" s="53"/>
      <x:c r="AE653" s="53"/>
      <x:c r="AF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  <x:c r="AA654" s="53"/>
      <x:c r="AB654" s="53"/>
      <x:c r="AC654" s="53"/>
      <x:c r="AD654" s="53"/>
      <x:c r="AE654" s="53"/>
      <x:c r="AF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  <x:c r="AA655" s="53"/>
      <x:c r="AB655" s="53"/>
      <x:c r="AC655" s="53"/>
      <x:c r="AD655" s="53"/>
      <x:c r="AE655" s="53"/>
      <x:c r="AF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  <x:c r="AA656" s="53"/>
      <x:c r="AB656" s="53"/>
      <x:c r="AC656" s="53"/>
      <x:c r="AD656" s="53"/>
      <x:c r="AE656" s="53"/>
      <x:c r="AF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  <x:c r="AA657" s="53"/>
      <x:c r="AB657" s="53"/>
      <x:c r="AC657" s="53"/>
      <x:c r="AD657" s="53"/>
      <x:c r="AE657" s="53"/>
      <x:c r="AF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  <x:c r="AA658" s="53"/>
      <x:c r="AB658" s="53"/>
      <x:c r="AC658" s="53"/>
      <x:c r="AD658" s="53"/>
      <x:c r="AE658" s="53"/>
      <x:c r="AF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  <x:c r="AA659" s="53"/>
      <x:c r="AB659" s="53"/>
      <x:c r="AC659" s="53"/>
      <x:c r="AD659" s="53"/>
      <x:c r="AE659" s="53"/>
      <x:c r="AF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  <x:c r="AA660" s="53"/>
      <x:c r="AB660" s="53"/>
      <x:c r="AC660" s="53"/>
      <x:c r="AD660" s="53"/>
      <x:c r="AE660" s="53"/>
      <x:c r="AF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  <x:c r="AA661" s="53"/>
      <x:c r="AB661" s="53"/>
      <x:c r="AC661" s="53"/>
      <x:c r="AD661" s="53"/>
      <x:c r="AE661" s="53"/>
      <x:c r="AF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  <x:c r="AA662" s="53"/>
      <x:c r="AB662" s="53"/>
      <x:c r="AC662" s="53"/>
      <x:c r="AD662" s="53"/>
      <x:c r="AE662" s="53"/>
      <x:c r="AF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  <x:c r="AA663" s="53"/>
      <x:c r="AB663" s="53"/>
      <x:c r="AC663" s="53"/>
      <x:c r="AD663" s="53"/>
      <x:c r="AE663" s="53"/>
      <x:c r="AF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  <x:c r="AA664" s="53"/>
      <x:c r="AB664" s="53"/>
      <x:c r="AC664" s="53"/>
      <x:c r="AD664" s="53"/>
      <x:c r="AE664" s="53"/>
      <x:c r="AF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  <x:c r="AA665" s="53"/>
      <x:c r="AB665" s="53"/>
      <x:c r="AC665" s="53"/>
      <x:c r="AD665" s="53"/>
      <x:c r="AE665" s="53"/>
      <x:c r="AF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  <x:c r="AA666" s="53"/>
      <x:c r="AB666" s="53"/>
      <x:c r="AC666" s="53"/>
      <x:c r="AD666" s="53"/>
      <x:c r="AE666" s="53"/>
      <x:c r="AF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  <x:c r="AA667" s="53"/>
      <x:c r="AB667" s="53"/>
      <x:c r="AC667" s="53"/>
      <x:c r="AD667" s="53"/>
      <x:c r="AE667" s="53"/>
      <x:c r="AF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  <x:c r="AA668" s="53"/>
      <x:c r="AB668" s="53"/>
      <x:c r="AC668" s="53"/>
      <x:c r="AD668" s="53"/>
      <x:c r="AE668" s="53"/>
      <x:c r="AF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  <x:c r="AA669" s="53"/>
      <x:c r="AB669" s="53"/>
      <x:c r="AC669" s="53"/>
      <x:c r="AD669" s="53"/>
      <x:c r="AE669" s="53"/>
      <x:c r="AF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  <x:c r="AA670" s="53"/>
      <x:c r="AB670" s="53"/>
      <x:c r="AC670" s="53"/>
      <x:c r="AD670" s="53"/>
      <x:c r="AE670" s="53"/>
      <x:c r="AF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  <x:c r="AA671" s="53"/>
      <x:c r="AB671" s="53"/>
      <x:c r="AC671" s="53"/>
      <x:c r="AD671" s="53"/>
      <x:c r="AE671" s="53"/>
      <x:c r="AF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  <x:c r="AA672" s="53"/>
      <x:c r="AB672" s="53"/>
      <x:c r="AC672" s="53"/>
      <x:c r="AD672" s="53"/>
      <x:c r="AE672" s="53"/>
      <x:c r="AF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  <x:c r="AA673" s="53"/>
      <x:c r="AB673" s="53"/>
      <x:c r="AC673" s="53"/>
      <x:c r="AD673" s="53"/>
      <x:c r="AE673" s="53"/>
      <x:c r="AF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  <x:c r="AA674" s="53"/>
      <x:c r="AB674" s="53"/>
      <x:c r="AC674" s="53"/>
      <x:c r="AD674" s="53"/>
      <x:c r="AE674" s="53"/>
      <x:c r="AF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  <x:c r="AA675" s="53"/>
      <x:c r="AB675" s="53"/>
      <x:c r="AC675" s="53"/>
      <x:c r="AD675" s="53"/>
      <x:c r="AE675" s="53"/>
      <x:c r="AF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  <x:c r="AA676" s="53"/>
      <x:c r="AB676" s="53"/>
      <x:c r="AC676" s="53"/>
      <x:c r="AD676" s="53"/>
      <x:c r="AE676" s="53"/>
      <x:c r="AF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  <x:c r="AA677" s="53"/>
      <x:c r="AB677" s="53"/>
      <x:c r="AC677" s="53"/>
      <x:c r="AD677" s="53"/>
      <x:c r="AE677" s="53"/>
      <x:c r="AF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  <x:c r="AA678" s="53"/>
      <x:c r="AB678" s="53"/>
      <x:c r="AC678" s="53"/>
      <x:c r="AD678" s="53"/>
      <x:c r="AE678" s="53"/>
      <x:c r="AF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  <x:c r="AA679" s="53"/>
      <x:c r="AB679" s="53"/>
      <x:c r="AC679" s="53"/>
      <x:c r="AD679" s="53"/>
      <x:c r="AE679" s="53"/>
      <x:c r="AF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  <x:c r="AA680" s="53"/>
      <x:c r="AB680" s="53"/>
      <x:c r="AC680" s="53"/>
      <x:c r="AD680" s="53"/>
      <x:c r="AE680" s="53"/>
      <x:c r="AF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  <x:c r="AA681" s="53"/>
      <x:c r="AB681" s="53"/>
      <x:c r="AC681" s="53"/>
      <x:c r="AD681" s="53"/>
      <x:c r="AE681" s="53"/>
      <x:c r="AF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  <x:c r="AA682" s="53"/>
      <x:c r="AB682" s="53"/>
      <x:c r="AC682" s="53"/>
      <x:c r="AD682" s="53"/>
      <x:c r="AE682" s="53"/>
      <x:c r="AF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  <x:c r="AA683" s="53"/>
      <x:c r="AB683" s="53"/>
      <x:c r="AC683" s="53"/>
      <x:c r="AD683" s="53"/>
      <x:c r="AE683" s="53"/>
      <x:c r="AF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  <x:c r="AA684" s="53"/>
      <x:c r="AB684" s="53"/>
      <x:c r="AC684" s="53"/>
      <x:c r="AD684" s="53"/>
      <x:c r="AE684" s="53"/>
      <x:c r="AF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  <x:c r="AA685" s="53"/>
      <x:c r="AB685" s="53"/>
      <x:c r="AC685" s="53"/>
      <x:c r="AD685" s="53"/>
      <x:c r="AE685" s="53"/>
      <x:c r="AF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  <x:c r="AA686" s="53"/>
      <x:c r="AB686" s="53"/>
      <x:c r="AC686" s="53"/>
      <x:c r="AD686" s="53"/>
      <x:c r="AE686" s="53"/>
      <x:c r="AF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  <x:c r="AA687" s="53"/>
      <x:c r="AB687" s="53"/>
      <x:c r="AC687" s="53"/>
      <x:c r="AD687" s="53"/>
      <x:c r="AE687" s="53"/>
      <x:c r="AF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  <x:c r="AA688" s="53"/>
      <x:c r="AB688" s="53"/>
      <x:c r="AC688" s="53"/>
      <x:c r="AD688" s="53"/>
      <x:c r="AE688" s="53"/>
      <x:c r="AF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  <x:c r="AA689" s="53"/>
      <x:c r="AB689" s="53"/>
      <x:c r="AC689" s="53"/>
      <x:c r="AD689" s="53"/>
      <x:c r="AE689" s="53"/>
      <x:c r="AF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  <x:c r="AA690" s="53"/>
      <x:c r="AB690" s="53"/>
      <x:c r="AC690" s="53"/>
      <x:c r="AD690" s="53"/>
      <x:c r="AE690" s="53"/>
      <x:c r="AF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  <x:c r="AA691" s="53"/>
      <x:c r="AB691" s="53"/>
      <x:c r="AC691" s="53"/>
      <x:c r="AD691" s="53"/>
      <x:c r="AE691" s="53"/>
      <x:c r="AF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  <x:c r="AA692" s="53"/>
      <x:c r="AB692" s="53"/>
      <x:c r="AC692" s="53"/>
      <x:c r="AD692" s="53"/>
      <x:c r="AE692" s="53"/>
      <x:c r="AF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  <x:c r="AA693" s="53"/>
      <x:c r="AB693" s="53"/>
      <x:c r="AC693" s="53"/>
      <x:c r="AD693" s="53"/>
      <x:c r="AE693" s="53"/>
      <x:c r="AF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  <x:c r="AA694" s="53"/>
      <x:c r="AB694" s="53"/>
      <x:c r="AC694" s="53"/>
      <x:c r="AD694" s="53"/>
      <x:c r="AE694" s="53"/>
      <x:c r="AF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  <x:c r="AA695" s="53"/>
      <x:c r="AB695" s="53"/>
      <x:c r="AC695" s="53"/>
      <x:c r="AD695" s="53"/>
      <x:c r="AE695" s="53"/>
      <x:c r="AF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  <x:c r="AA696" s="53"/>
      <x:c r="AB696" s="53"/>
      <x:c r="AC696" s="53"/>
      <x:c r="AD696" s="53"/>
      <x:c r="AE696" s="53"/>
      <x:c r="AF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  <x:c r="AA697" s="53"/>
      <x:c r="AB697" s="53"/>
      <x:c r="AC697" s="53"/>
      <x:c r="AD697" s="53"/>
      <x:c r="AE697" s="53"/>
      <x:c r="AF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  <x:c r="AA698" s="53"/>
      <x:c r="AB698" s="53"/>
      <x:c r="AC698" s="53"/>
      <x:c r="AD698" s="53"/>
      <x:c r="AE698" s="53"/>
      <x:c r="AF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  <x:c r="AA699" s="53"/>
      <x:c r="AB699" s="53"/>
      <x:c r="AC699" s="53"/>
      <x:c r="AD699" s="53"/>
      <x:c r="AE699" s="53"/>
      <x:c r="AF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  <x:c r="AA700" s="53"/>
      <x:c r="AB700" s="53"/>
      <x:c r="AC700" s="53"/>
      <x:c r="AD700" s="53"/>
      <x:c r="AE700" s="53"/>
      <x:c r="AF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  <x:c r="AA701" s="53"/>
      <x:c r="AB701" s="53"/>
      <x:c r="AC701" s="53"/>
      <x:c r="AD701" s="53"/>
      <x:c r="AE701" s="53"/>
      <x:c r="AF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  <x:c r="AA702" s="53"/>
      <x:c r="AB702" s="53"/>
      <x:c r="AC702" s="53"/>
      <x:c r="AD702" s="53"/>
      <x:c r="AE702" s="53"/>
      <x:c r="AF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  <x:c r="AA703" s="53"/>
      <x:c r="AB703" s="53"/>
      <x:c r="AC703" s="53"/>
      <x:c r="AD703" s="53"/>
      <x:c r="AE703" s="53"/>
      <x:c r="AF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  <x:c r="AA704" s="53"/>
      <x:c r="AB704" s="53"/>
      <x:c r="AC704" s="53"/>
      <x:c r="AD704" s="53"/>
      <x:c r="AE704" s="53"/>
      <x:c r="AF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  <x:c r="AA705" s="53"/>
      <x:c r="AB705" s="53"/>
      <x:c r="AC705" s="53"/>
      <x:c r="AD705" s="53"/>
      <x:c r="AE705" s="53"/>
      <x:c r="AF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  <x:c r="AA706" s="53"/>
      <x:c r="AB706" s="53"/>
      <x:c r="AC706" s="53"/>
      <x:c r="AD706" s="53"/>
      <x:c r="AE706" s="53"/>
      <x:c r="AF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  <x:c r="AA707" s="53"/>
      <x:c r="AB707" s="53"/>
      <x:c r="AC707" s="53"/>
      <x:c r="AD707" s="53"/>
      <x:c r="AE707" s="53"/>
      <x:c r="AF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  <x:c r="AA708" s="53"/>
      <x:c r="AB708" s="53"/>
      <x:c r="AC708" s="53"/>
      <x:c r="AD708" s="53"/>
      <x:c r="AE708" s="53"/>
      <x:c r="AF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  <x:c r="AA709" s="53"/>
      <x:c r="AB709" s="53"/>
      <x:c r="AC709" s="53"/>
      <x:c r="AD709" s="53"/>
      <x:c r="AE709" s="53"/>
      <x:c r="AF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  <x:c r="AA710" s="53"/>
      <x:c r="AB710" s="53"/>
      <x:c r="AC710" s="53"/>
      <x:c r="AD710" s="53"/>
      <x:c r="AE710" s="53"/>
      <x:c r="AF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  <x:c r="AA711" s="53"/>
      <x:c r="AB711" s="53"/>
      <x:c r="AC711" s="53"/>
      <x:c r="AD711" s="53"/>
      <x:c r="AE711" s="53"/>
      <x:c r="AF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  <x:c r="AA712" s="53"/>
      <x:c r="AB712" s="53"/>
      <x:c r="AC712" s="53"/>
      <x:c r="AD712" s="53"/>
      <x:c r="AE712" s="53"/>
      <x:c r="AF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  <x:c r="AA713" s="53"/>
      <x:c r="AB713" s="53"/>
      <x:c r="AC713" s="53"/>
      <x:c r="AD713" s="53"/>
      <x:c r="AE713" s="53"/>
      <x:c r="AF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  <x:c r="AA714" s="53"/>
      <x:c r="AB714" s="53"/>
      <x:c r="AC714" s="53"/>
      <x:c r="AD714" s="53"/>
      <x:c r="AE714" s="53"/>
      <x:c r="AF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  <x:c r="AA715" s="53"/>
      <x:c r="AB715" s="53"/>
      <x:c r="AC715" s="53"/>
      <x:c r="AD715" s="53"/>
      <x:c r="AE715" s="53"/>
      <x:c r="AF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  <x:c r="AA716" s="53"/>
      <x:c r="AB716" s="53"/>
      <x:c r="AC716" s="53"/>
      <x:c r="AD716" s="53"/>
      <x:c r="AE716" s="53"/>
      <x:c r="AF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  <x:c r="AA717" s="53"/>
      <x:c r="AB717" s="53"/>
      <x:c r="AC717" s="53"/>
      <x:c r="AD717" s="53"/>
      <x:c r="AE717" s="53"/>
      <x:c r="AF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  <x:c r="AA718" s="53"/>
      <x:c r="AB718" s="53"/>
      <x:c r="AC718" s="53"/>
      <x:c r="AD718" s="53"/>
      <x:c r="AE718" s="53"/>
      <x:c r="AF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  <x:c r="AA719" s="53"/>
      <x:c r="AB719" s="53"/>
      <x:c r="AC719" s="53"/>
      <x:c r="AD719" s="53"/>
      <x:c r="AE719" s="53"/>
      <x:c r="AF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  <x:c r="AA720" s="53"/>
      <x:c r="AB720" s="53"/>
      <x:c r="AC720" s="53"/>
      <x:c r="AD720" s="53"/>
      <x:c r="AE720" s="53"/>
      <x:c r="AF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  <x:c r="AA721" s="53"/>
      <x:c r="AB721" s="53"/>
      <x:c r="AC721" s="53"/>
      <x:c r="AD721" s="53"/>
      <x:c r="AE721" s="53"/>
      <x:c r="AF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  <x:c r="AA722" s="53"/>
      <x:c r="AB722" s="53"/>
      <x:c r="AC722" s="53"/>
      <x:c r="AD722" s="53"/>
      <x:c r="AE722" s="53"/>
      <x:c r="AF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  <x:c r="AA723" s="53"/>
      <x:c r="AB723" s="53"/>
      <x:c r="AC723" s="53"/>
      <x:c r="AD723" s="53"/>
      <x:c r="AE723" s="53"/>
      <x:c r="AF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  <x:c r="AA724" s="53"/>
      <x:c r="AB724" s="53"/>
      <x:c r="AC724" s="53"/>
      <x:c r="AD724" s="53"/>
      <x:c r="AE724" s="53"/>
      <x:c r="AF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  <x:c r="AA725" s="53"/>
      <x:c r="AB725" s="53"/>
      <x:c r="AC725" s="53"/>
      <x:c r="AD725" s="53"/>
      <x:c r="AE725" s="53"/>
      <x:c r="AF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  <x:c r="AA726" s="53"/>
      <x:c r="AB726" s="53"/>
      <x:c r="AC726" s="53"/>
      <x:c r="AD726" s="53"/>
      <x:c r="AE726" s="53"/>
      <x:c r="AF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  <x:c r="AA727" s="53"/>
      <x:c r="AB727" s="53"/>
      <x:c r="AC727" s="53"/>
      <x:c r="AD727" s="53"/>
      <x:c r="AE727" s="53"/>
      <x:c r="AF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  <x:c r="AA728" s="53"/>
      <x:c r="AB728" s="53"/>
      <x:c r="AC728" s="53"/>
      <x:c r="AD728" s="53"/>
      <x:c r="AE728" s="53"/>
      <x:c r="AF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  <x:c r="AA729" s="53"/>
      <x:c r="AB729" s="53"/>
      <x:c r="AC729" s="53"/>
      <x:c r="AD729" s="53"/>
      <x:c r="AE729" s="53"/>
      <x:c r="AF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  <x:c r="AA730" s="53"/>
      <x:c r="AB730" s="53"/>
      <x:c r="AC730" s="53"/>
      <x:c r="AD730" s="53"/>
      <x:c r="AE730" s="53"/>
      <x:c r="AF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  <x:c r="AA731" s="53"/>
      <x:c r="AB731" s="53"/>
      <x:c r="AC731" s="53"/>
      <x:c r="AD731" s="53"/>
      <x:c r="AE731" s="53"/>
      <x:c r="AF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  <x:c r="AA732" s="53"/>
      <x:c r="AB732" s="53"/>
      <x:c r="AC732" s="53"/>
      <x:c r="AD732" s="53"/>
      <x:c r="AE732" s="53"/>
      <x:c r="AF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  <x:c r="AA733" s="53"/>
      <x:c r="AB733" s="53"/>
      <x:c r="AC733" s="53"/>
      <x:c r="AD733" s="53"/>
      <x:c r="AE733" s="53"/>
      <x:c r="AF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  <x:c r="AA734" s="53"/>
      <x:c r="AB734" s="53"/>
      <x:c r="AC734" s="53"/>
      <x:c r="AD734" s="53"/>
      <x:c r="AE734" s="53"/>
      <x:c r="AF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  <x:c r="AA735" s="53"/>
      <x:c r="AB735" s="53"/>
      <x:c r="AC735" s="53"/>
      <x:c r="AD735" s="53"/>
      <x:c r="AE735" s="53"/>
      <x:c r="AF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  <x:c r="AA736" s="53"/>
      <x:c r="AB736" s="53"/>
      <x:c r="AC736" s="53"/>
      <x:c r="AD736" s="53"/>
      <x:c r="AE736" s="53"/>
      <x:c r="AF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  <x:c r="AA737" s="53"/>
      <x:c r="AB737" s="53"/>
      <x:c r="AC737" s="53"/>
      <x:c r="AD737" s="53"/>
      <x:c r="AE737" s="53"/>
      <x:c r="AF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  <x:c r="AA738" s="53"/>
      <x:c r="AB738" s="53"/>
      <x:c r="AC738" s="53"/>
      <x:c r="AD738" s="53"/>
      <x:c r="AE738" s="53"/>
      <x:c r="AF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  <x:c r="AA739" s="53"/>
      <x:c r="AB739" s="53"/>
      <x:c r="AC739" s="53"/>
      <x:c r="AD739" s="53"/>
      <x:c r="AE739" s="53"/>
      <x:c r="AF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  <x:c r="AA740" s="53"/>
      <x:c r="AB740" s="53"/>
      <x:c r="AC740" s="53"/>
      <x:c r="AD740" s="53"/>
      <x:c r="AE740" s="53"/>
      <x:c r="AF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  <x:c r="AA741" s="53"/>
      <x:c r="AB741" s="53"/>
      <x:c r="AC741" s="53"/>
      <x:c r="AD741" s="53"/>
      <x:c r="AE741" s="53"/>
      <x:c r="AF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  <x:c r="AA742" s="53"/>
      <x:c r="AB742" s="53"/>
      <x:c r="AC742" s="53"/>
      <x:c r="AD742" s="53"/>
      <x:c r="AE742" s="53"/>
      <x:c r="AF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  <x:c r="AA743" s="53"/>
      <x:c r="AB743" s="53"/>
      <x:c r="AC743" s="53"/>
      <x:c r="AD743" s="53"/>
      <x:c r="AE743" s="53"/>
      <x:c r="AF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  <x:c r="AA744" s="53"/>
      <x:c r="AB744" s="53"/>
      <x:c r="AC744" s="53"/>
      <x:c r="AD744" s="53"/>
      <x:c r="AE744" s="53"/>
      <x:c r="AF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  <x:c r="AA745" s="53"/>
      <x:c r="AB745" s="53"/>
      <x:c r="AC745" s="53"/>
      <x:c r="AD745" s="53"/>
      <x:c r="AE745" s="53"/>
      <x:c r="AF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  <x:c r="AA746" s="53"/>
      <x:c r="AB746" s="53"/>
      <x:c r="AC746" s="53"/>
      <x:c r="AD746" s="53"/>
      <x:c r="AE746" s="53"/>
      <x:c r="AF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  <x:c r="AA747" s="53"/>
      <x:c r="AB747" s="53"/>
      <x:c r="AC747" s="53"/>
      <x:c r="AD747" s="53"/>
      <x:c r="AE747" s="53"/>
      <x:c r="AF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  <x:c r="AA748" s="53"/>
      <x:c r="AB748" s="53"/>
      <x:c r="AC748" s="53"/>
      <x:c r="AD748" s="53"/>
      <x:c r="AE748" s="53"/>
      <x:c r="AF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  <x:c r="AA749" s="53"/>
      <x:c r="AB749" s="53"/>
      <x:c r="AC749" s="53"/>
      <x:c r="AD749" s="53"/>
      <x:c r="AE749" s="53"/>
      <x:c r="AF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  <x:c r="AA750" s="53"/>
      <x:c r="AB750" s="53"/>
      <x:c r="AC750" s="53"/>
      <x:c r="AD750" s="53"/>
      <x:c r="AE750" s="53"/>
      <x:c r="AF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  <x:c r="AA751" s="53"/>
      <x:c r="AB751" s="53"/>
      <x:c r="AC751" s="53"/>
      <x:c r="AD751" s="53"/>
      <x:c r="AE751" s="53"/>
      <x:c r="AF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  <x:c r="AA752" s="53"/>
      <x:c r="AB752" s="53"/>
      <x:c r="AC752" s="53"/>
      <x:c r="AD752" s="53"/>
      <x:c r="AE752" s="53"/>
      <x:c r="AF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  <x:c r="AA753" s="53"/>
      <x:c r="AB753" s="53"/>
      <x:c r="AC753" s="53"/>
      <x:c r="AD753" s="53"/>
      <x:c r="AE753" s="53"/>
      <x:c r="AF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  <x:c r="AA754" s="53"/>
      <x:c r="AB754" s="53"/>
      <x:c r="AC754" s="53"/>
      <x:c r="AD754" s="53"/>
      <x:c r="AE754" s="53"/>
      <x:c r="AF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  <x:c r="AA755" s="53"/>
      <x:c r="AB755" s="53"/>
      <x:c r="AC755" s="53"/>
      <x:c r="AD755" s="53"/>
      <x:c r="AE755" s="53"/>
      <x:c r="AF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  <x:c r="AA756" s="53"/>
      <x:c r="AB756" s="53"/>
      <x:c r="AC756" s="53"/>
      <x:c r="AD756" s="53"/>
      <x:c r="AE756" s="53"/>
      <x:c r="AF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  <x:c r="AA757" s="53"/>
      <x:c r="AB757" s="53"/>
      <x:c r="AC757" s="53"/>
      <x:c r="AD757" s="53"/>
      <x:c r="AE757" s="53"/>
      <x:c r="AF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  <x:c r="AA758" s="53"/>
      <x:c r="AB758" s="53"/>
      <x:c r="AC758" s="53"/>
      <x:c r="AD758" s="53"/>
      <x:c r="AE758" s="53"/>
      <x:c r="AF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  <x:c r="AA759" s="53"/>
      <x:c r="AB759" s="53"/>
      <x:c r="AC759" s="53"/>
      <x:c r="AD759" s="53"/>
      <x:c r="AE759" s="53"/>
      <x:c r="AF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  <x:c r="AA760" s="53"/>
      <x:c r="AB760" s="53"/>
      <x:c r="AC760" s="53"/>
      <x:c r="AD760" s="53"/>
      <x:c r="AE760" s="53"/>
      <x:c r="AF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  <x:c r="AA761" s="53"/>
      <x:c r="AB761" s="53"/>
      <x:c r="AC761" s="53"/>
      <x:c r="AD761" s="53"/>
      <x:c r="AE761" s="53"/>
      <x:c r="AF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  <x:c r="AA762" s="53"/>
      <x:c r="AB762" s="53"/>
      <x:c r="AC762" s="53"/>
      <x:c r="AD762" s="53"/>
      <x:c r="AE762" s="53"/>
      <x:c r="AF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  <x:c r="AA763" s="53"/>
      <x:c r="AB763" s="53"/>
      <x:c r="AC763" s="53"/>
      <x:c r="AD763" s="53"/>
      <x:c r="AE763" s="53"/>
      <x:c r="AF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  <x:c r="AA764" s="53"/>
      <x:c r="AB764" s="53"/>
      <x:c r="AC764" s="53"/>
      <x:c r="AD764" s="53"/>
      <x:c r="AE764" s="53"/>
      <x:c r="AF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  <x:c r="AA765" s="53"/>
      <x:c r="AB765" s="53"/>
      <x:c r="AC765" s="53"/>
      <x:c r="AD765" s="53"/>
      <x:c r="AE765" s="53"/>
      <x:c r="AF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  <x:c r="AA766" s="53"/>
      <x:c r="AB766" s="53"/>
      <x:c r="AC766" s="53"/>
      <x:c r="AD766" s="53"/>
      <x:c r="AE766" s="53"/>
      <x:c r="AF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  <x:c r="AA767" s="53"/>
      <x:c r="AB767" s="53"/>
      <x:c r="AC767" s="53"/>
      <x:c r="AD767" s="53"/>
      <x:c r="AE767" s="53"/>
      <x:c r="AF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  <x:c r="AA768" s="53"/>
      <x:c r="AB768" s="53"/>
      <x:c r="AC768" s="53"/>
      <x:c r="AD768" s="53"/>
      <x:c r="AE768" s="53"/>
      <x:c r="AF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  <x:c r="AA769" s="53"/>
      <x:c r="AB769" s="53"/>
      <x:c r="AC769" s="53"/>
      <x:c r="AD769" s="53"/>
      <x:c r="AE769" s="53"/>
      <x:c r="AF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  <x:c r="AA770" s="53"/>
      <x:c r="AB770" s="53"/>
      <x:c r="AC770" s="53"/>
      <x:c r="AD770" s="53"/>
      <x:c r="AE770" s="53"/>
      <x:c r="AF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  <x:c r="AA771" s="53"/>
      <x:c r="AB771" s="53"/>
      <x:c r="AC771" s="53"/>
      <x:c r="AD771" s="53"/>
      <x:c r="AE771" s="53"/>
      <x:c r="AF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  <x:c r="AA772" s="53"/>
      <x:c r="AB772" s="53"/>
      <x:c r="AC772" s="53"/>
      <x:c r="AD772" s="53"/>
      <x:c r="AE772" s="53"/>
      <x:c r="AF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  <x:c r="AA773" s="53"/>
      <x:c r="AB773" s="53"/>
      <x:c r="AC773" s="53"/>
      <x:c r="AD773" s="53"/>
      <x:c r="AE773" s="53"/>
      <x:c r="AF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  <x:c r="AA774" s="53"/>
      <x:c r="AB774" s="53"/>
      <x:c r="AC774" s="53"/>
      <x:c r="AD774" s="53"/>
      <x:c r="AE774" s="53"/>
      <x:c r="AF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  <x:c r="AA775" s="53"/>
      <x:c r="AB775" s="53"/>
      <x:c r="AC775" s="53"/>
      <x:c r="AD775" s="53"/>
      <x:c r="AE775" s="53"/>
      <x:c r="AF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  <x:c r="AA776" s="53"/>
      <x:c r="AB776" s="53"/>
      <x:c r="AC776" s="53"/>
      <x:c r="AD776" s="53"/>
      <x:c r="AE776" s="53"/>
      <x:c r="AF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  <x:c r="AA777" s="53"/>
      <x:c r="AB777" s="53"/>
      <x:c r="AC777" s="53"/>
      <x:c r="AD777" s="53"/>
      <x:c r="AE777" s="53"/>
      <x:c r="AF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  <x:c r="AA778" s="53"/>
      <x:c r="AB778" s="53"/>
      <x:c r="AC778" s="53"/>
      <x:c r="AD778" s="53"/>
      <x:c r="AE778" s="53"/>
      <x:c r="AF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  <x:c r="AA779" s="53"/>
      <x:c r="AB779" s="53"/>
      <x:c r="AC779" s="53"/>
      <x:c r="AD779" s="53"/>
      <x:c r="AE779" s="53"/>
      <x:c r="AF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  <x:c r="AA780" s="53"/>
      <x:c r="AB780" s="53"/>
      <x:c r="AC780" s="53"/>
      <x:c r="AD780" s="53"/>
      <x:c r="AE780" s="53"/>
      <x:c r="AF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  <x:c r="AA781" s="53"/>
      <x:c r="AB781" s="53"/>
      <x:c r="AC781" s="53"/>
      <x:c r="AD781" s="53"/>
      <x:c r="AE781" s="53"/>
      <x:c r="AF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  <x:c r="AA782" s="53"/>
      <x:c r="AB782" s="53"/>
      <x:c r="AC782" s="53"/>
      <x:c r="AD782" s="53"/>
      <x:c r="AE782" s="53"/>
      <x:c r="AF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  <x:c r="AA783" s="53"/>
      <x:c r="AB783" s="53"/>
      <x:c r="AC783" s="53"/>
      <x:c r="AD783" s="53"/>
      <x:c r="AE783" s="53"/>
      <x:c r="AF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  <x:c r="AA784" s="53"/>
      <x:c r="AB784" s="53"/>
      <x:c r="AC784" s="53"/>
      <x:c r="AD784" s="53"/>
      <x:c r="AE784" s="53"/>
      <x:c r="AF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  <x:c r="AA785" s="53"/>
      <x:c r="AB785" s="53"/>
      <x:c r="AC785" s="53"/>
      <x:c r="AD785" s="53"/>
      <x:c r="AE785" s="53"/>
      <x:c r="AF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  <x:c r="AA786" s="53"/>
      <x:c r="AB786" s="53"/>
      <x:c r="AC786" s="53"/>
      <x:c r="AD786" s="53"/>
      <x:c r="AE786" s="53"/>
      <x:c r="AF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  <x:c r="AA787" s="53"/>
      <x:c r="AB787" s="53"/>
      <x:c r="AC787" s="53"/>
      <x:c r="AD787" s="53"/>
      <x:c r="AE787" s="53"/>
      <x:c r="AF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  <x:c r="AA788" s="53"/>
      <x:c r="AB788" s="53"/>
      <x:c r="AC788" s="53"/>
      <x:c r="AD788" s="53"/>
      <x:c r="AE788" s="53"/>
      <x:c r="AF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  <x:c r="AA789" s="53"/>
      <x:c r="AB789" s="53"/>
      <x:c r="AC789" s="53"/>
      <x:c r="AD789" s="53"/>
      <x:c r="AE789" s="53"/>
      <x:c r="AF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  <x:c r="AA790" s="53"/>
      <x:c r="AB790" s="53"/>
      <x:c r="AC790" s="53"/>
      <x:c r="AD790" s="53"/>
      <x:c r="AE790" s="53"/>
      <x:c r="AF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  <x:c r="AA791" s="53"/>
      <x:c r="AB791" s="53"/>
      <x:c r="AC791" s="53"/>
      <x:c r="AD791" s="53"/>
      <x:c r="AE791" s="53"/>
      <x:c r="AF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  <x:c r="AA792" s="53"/>
      <x:c r="AB792" s="53"/>
      <x:c r="AC792" s="53"/>
      <x:c r="AD792" s="53"/>
      <x:c r="AE792" s="53"/>
      <x:c r="AF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  <x:c r="AA793" s="53"/>
      <x:c r="AB793" s="53"/>
      <x:c r="AC793" s="53"/>
      <x:c r="AD793" s="53"/>
      <x:c r="AE793" s="53"/>
      <x:c r="AF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  <x:c r="AA794" s="53"/>
      <x:c r="AB794" s="53"/>
      <x:c r="AC794" s="53"/>
      <x:c r="AD794" s="53"/>
      <x:c r="AE794" s="53"/>
      <x:c r="AF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  <x:c r="AA795" s="53"/>
      <x:c r="AB795" s="53"/>
      <x:c r="AC795" s="53"/>
      <x:c r="AD795" s="53"/>
      <x:c r="AE795" s="53"/>
      <x:c r="AF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  <x:c r="AA796" s="53"/>
      <x:c r="AB796" s="53"/>
      <x:c r="AC796" s="53"/>
      <x:c r="AD796" s="53"/>
      <x:c r="AE796" s="53"/>
      <x:c r="AF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  <x:c r="AA797" s="53"/>
      <x:c r="AB797" s="53"/>
      <x:c r="AC797" s="53"/>
      <x:c r="AD797" s="53"/>
      <x:c r="AE797" s="53"/>
      <x:c r="AF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  <x:c r="AA798" s="53"/>
      <x:c r="AB798" s="53"/>
      <x:c r="AC798" s="53"/>
      <x:c r="AD798" s="53"/>
      <x:c r="AE798" s="53"/>
      <x:c r="AF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  <x:c r="AA799" s="53"/>
      <x:c r="AB799" s="53"/>
      <x:c r="AC799" s="53"/>
      <x:c r="AD799" s="53"/>
      <x:c r="AE799" s="53"/>
      <x:c r="AF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  <x:c r="AA800" s="53"/>
      <x:c r="AB800" s="53"/>
      <x:c r="AC800" s="53"/>
      <x:c r="AD800" s="53"/>
      <x:c r="AE800" s="53"/>
      <x:c r="AF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  <x:c r="AA801" s="53"/>
      <x:c r="AB801" s="53"/>
      <x:c r="AC801" s="53"/>
      <x:c r="AD801" s="53"/>
      <x:c r="AE801" s="53"/>
      <x:c r="AF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  <x:c r="AA802" s="53"/>
      <x:c r="AB802" s="53"/>
      <x:c r="AC802" s="53"/>
      <x:c r="AD802" s="53"/>
      <x:c r="AE802" s="53"/>
      <x:c r="AF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  <x:c r="AA803" s="53"/>
      <x:c r="AB803" s="53"/>
      <x:c r="AC803" s="53"/>
      <x:c r="AD803" s="53"/>
      <x:c r="AE803" s="53"/>
      <x:c r="AF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  <x:c r="AA804" s="53"/>
      <x:c r="AB804" s="53"/>
      <x:c r="AC804" s="53"/>
      <x:c r="AD804" s="53"/>
      <x:c r="AE804" s="53"/>
      <x:c r="AF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  <x:c r="AA805" s="53"/>
      <x:c r="AB805" s="53"/>
      <x:c r="AC805" s="53"/>
      <x:c r="AD805" s="53"/>
      <x:c r="AE805" s="53"/>
      <x:c r="AF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  <x:c r="AA806" s="53"/>
      <x:c r="AB806" s="53"/>
      <x:c r="AC806" s="53"/>
      <x:c r="AD806" s="53"/>
      <x:c r="AE806" s="53"/>
      <x:c r="AF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  <x:c r="AA807" s="53"/>
      <x:c r="AB807" s="53"/>
      <x:c r="AC807" s="53"/>
      <x:c r="AD807" s="53"/>
      <x:c r="AE807" s="53"/>
      <x:c r="AF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  <x:c r="AA808" s="53"/>
      <x:c r="AB808" s="53"/>
      <x:c r="AC808" s="53"/>
      <x:c r="AD808" s="53"/>
      <x:c r="AE808" s="53"/>
      <x:c r="AF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  <x:c r="AA809" s="53"/>
      <x:c r="AB809" s="53"/>
      <x:c r="AC809" s="53"/>
      <x:c r="AD809" s="53"/>
      <x:c r="AE809" s="53"/>
      <x:c r="AF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  <x:c r="AA810" s="53"/>
      <x:c r="AB810" s="53"/>
      <x:c r="AC810" s="53"/>
      <x:c r="AD810" s="53"/>
      <x:c r="AE810" s="53"/>
      <x:c r="AF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  <x:c r="AA811" s="53"/>
      <x:c r="AB811" s="53"/>
      <x:c r="AC811" s="53"/>
      <x:c r="AD811" s="53"/>
      <x:c r="AE811" s="53"/>
      <x:c r="AF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  <x:c r="AA812" s="53"/>
      <x:c r="AB812" s="53"/>
      <x:c r="AC812" s="53"/>
      <x:c r="AD812" s="53"/>
      <x:c r="AE812" s="53"/>
      <x:c r="AF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  <x:c r="AA813" s="53"/>
      <x:c r="AB813" s="53"/>
      <x:c r="AC813" s="53"/>
      <x:c r="AD813" s="53"/>
      <x:c r="AE813" s="53"/>
      <x:c r="AF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  <x:c r="AA814" s="53"/>
      <x:c r="AB814" s="53"/>
      <x:c r="AC814" s="53"/>
      <x:c r="AD814" s="53"/>
      <x:c r="AE814" s="53"/>
      <x:c r="AF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  <x:c r="AA815" s="53"/>
      <x:c r="AB815" s="53"/>
      <x:c r="AC815" s="53"/>
      <x:c r="AD815" s="53"/>
      <x:c r="AE815" s="53"/>
      <x:c r="AF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  <x:c r="AA816" s="53"/>
      <x:c r="AB816" s="53"/>
      <x:c r="AC816" s="53"/>
      <x:c r="AD816" s="53"/>
      <x:c r="AE816" s="53"/>
      <x:c r="AF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  <x:c r="AA817" s="53"/>
      <x:c r="AB817" s="53"/>
      <x:c r="AC817" s="53"/>
      <x:c r="AD817" s="53"/>
      <x:c r="AE817" s="53"/>
      <x:c r="AF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  <x:c r="AA818" s="53"/>
      <x:c r="AB818" s="53"/>
      <x:c r="AC818" s="53"/>
      <x:c r="AD818" s="53"/>
      <x:c r="AE818" s="53"/>
      <x:c r="AF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  <x:c r="AA819" s="53"/>
      <x:c r="AB819" s="53"/>
      <x:c r="AC819" s="53"/>
      <x:c r="AD819" s="53"/>
      <x:c r="AE819" s="53"/>
      <x:c r="AF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  <x:c r="AA820" s="53"/>
      <x:c r="AB820" s="53"/>
      <x:c r="AC820" s="53"/>
      <x:c r="AD820" s="53"/>
      <x:c r="AE820" s="53"/>
      <x:c r="AF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  <x:c r="AA821" s="53"/>
      <x:c r="AB821" s="53"/>
      <x:c r="AC821" s="53"/>
      <x:c r="AD821" s="53"/>
      <x:c r="AE821" s="53"/>
      <x:c r="AF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  <x:c r="AA822" s="53"/>
      <x:c r="AB822" s="53"/>
      <x:c r="AC822" s="53"/>
      <x:c r="AD822" s="53"/>
      <x:c r="AE822" s="53"/>
      <x:c r="AF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  <x:c r="AA823" s="53"/>
      <x:c r="AB823" s="53"/>
      <x:c r="AC823" s="53"/>
      <x:c r="AD823" s="53"/>
      <x:c r="AE823" s="53"/>
      <x:c r="AF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  <x:c r="AA824" s="53"/>
      <x:c r="AB824" s="53"/>
      <x:c r="AC824" s="53"/>
      <x:c r="AD824" s="53"/>
      <x:c r="AE824" s="53"/>
      <x:c r="AF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  <x:c r="AA825" s="53"/>
      <x:c r="AB825" s="53"/>
      <x:c r="AC825" s="53"/>
      <x:c r="AD825" s="53"/>
      <x:c r="AE825" s="53"/>
      <x:c r="AF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  <x:c r="AA826" s="53"/>
      <x:c r="AB826" s="53"/>
      <x:c r="AC826" s="53"/>
      <x:c r="AD826" s="53"/>
      <x:c r="AE826" s="53"/>
      <x:c r="AF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  <x:c r="AA827" s="53"/>
      <x:c r="AB827" s="53"/>
      <x:c r="AC827" s="53"/>
      <x:c r="AD827" s="53"/>
      <x:c r="AE827" s="53"/>
      <x:c r="AF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  <x:c r="AA828" s="53"/>
      <x:c r="AB828" s="53"/>
      <x:c r="AC828" s="53"/>
      <x:c r="AD828" s="53"/>
      <x:c r="AE828" s="53"/>
      <x:c r="AF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  <x:c r="AA829" s="53"/>
      <x:c r="AB829" s="53"/>
      <x:c r="AC829" s="53"/>
      <x:c r="AD829" s="53"/>
      <x:c r="AE829" s="53"/>
      <x:c r="AF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  <x:c r="AA830" s="53"/>
      <x:c r="AB830" s="53"/>
      <x:c r="AC830" s="53"/>
      <x:c r="AD830" s="53"/>
      <x:c r="AE830" s="53"/>
      <x:c r="AF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  <x:c r="AA831" s="53"/>
      <x:c r="AB831" s="53"/>
      <x:c r="AC831" s="53"/>
      <x:c r="AD831" s="53"/>
      <x:c r="AE831" s="53"/>
      <x:c r="AF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  <x:c r="AA832" s="53"/>
      <x:c r="AB832" s="53"/>
      <x:c r="AC832" s="53"/>
      <x:c r="AD832" s="53"/>
      <x:c r="AE832" s="53"/>
      <x:c r="AF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  <x:c r="AA833" s="53"/>
      <x:c r="AB833" s="53"/>
      <x:c r="AC833" s="53"/>
      <x:c r="AD833" s="53"/>
      <x:c r="AE833" s="53"/>
      <x:c r="AF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  <x:c r="AA834" s="53"/>
      <x:c r="AB834" s="53"/>
      <x:c r="AC834" s="53"/>
      <x:c r="AD834" s="53"/>
      <x:c r="AE834" s="53"/>
      <x:c r="AF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  <x:c r="AA835" s="53"/>
      <x:c r="AB835" s="53"/>
      <x:c r="AC835" s="53"/>
      <x:c r="AD835" s="53"/>
      <x:c r="AE835" s="53"/>
      <x:c r="AF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  <x:c r="AA836" s="53"/>
      <x:c r="AB836" s="53"/>
      <x:c r="AC836" s="53"/>
      <x:c r="AD836" s="53"/>
      <x:c r="AE836" s="53"/>
      <x:c r="AF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  <x:c r="AA837" s="53"/>
      <x:c r="AB837" s="53"/>
      <x:c r="AC837" s="53"/>
      <x:c r="AD837" s="53"/>
      <x:c r="AE837" s="53"/>
      <x:c r="AF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  <x:c r="AA838" s="53"/>
      <x:c r="AB838" s="53"/>
      <x:c r="AC838" s="53"/>
      <x:c r="AD838" s="53"/>
      <x:c r="AE838" s="53"/>
      <x:c r="AF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  <x:c r="AA839" s="53"/>
      <x:c r="AB839" s="53"/>
      <x:c r="AC839" s="53"/>
      <x:c r="AD839" s="53"/>
      <x:c r="AE839" s="53"/>
      <x:c r="AF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  <x:c r="AA840" s="53"/>
      <x:c r="AB840" s="53"/>
      <x:c r="AC840" s="53"/>
      <x:c r="AD840" s="53"/>
      <x:c r="AE840" s="53"/>
      <x:c r="AF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  <x:c r="AA841" s="53"/>
      <x:c r="AB841" s="53"/>
      <x:c r="AC841" s="53"/>
      <x:c r="AD841" s="53"/>
      <x:c r="AE841" s="53"/>
      <x:c r="AF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  <x:c r="AA842" s="53"/>
      <x:c r="AB842" s="53"/>
      <x:c r="AC842" s="53"/>
      <x:c r="AD842" s="53"/>
      <x:c r="AE842" s="53"/>
      <x:c r="AF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  <x:c r="AA843" s="53"/>
      <x:c r="AB843" s="53"/>
      <x:c r="AC843" s="53"/>
      <x:c r="AD843" s="53"/>
      <x:c r="AE843" s="53"/>
      <x:c r="AF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  <x:c r="AA844" s="53"/>
      <x:c r="AB844" s="53"/>
      <x:c r="AC844" s="53"/>
      <x:c r="AD844" s="53"/>
      <x:c r="AE844" s="53"/>
      <x:c r="AF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  <x:c r="AA845" s="53"/>
      <x:c r="AB845" s="53"/>
      <x:c r="AC845" s="53"/>
      <x:c r="AD845" s="53"/>
      <x:c r="AE845" s="53"/>
      <x:c r="AF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  <x:c r="AA846" s="53"/>
      <x:c r="AB846" s="53"/>
      <x:c r="AC846" s="53"/>
      <x:c r="AD846" s="53"/>
      <x:c r="AE846" s="53"/>
      <x:c r="AF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  <x:c r="AA847" s="53"/>
      <x:c r="AB847" s="53"/>
      <x:c r="AC847" s="53"/>
      <x:c r="AD847" s="53"/>
      <x:c r="AE847" s="53"/>
      <x:c r="AF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  <x:c r="AA848" s="53"/>
      <x:c r="AB848" s="53"/>
      <x:c r="AC848" s="53"/>
      <x:c r="AD848" s="53"/>
      <x:c r="AE848" s="53"/>
      <x:c r="AF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  <x:c r="AA849" s="53"/>
      <x:c r="AB849" s="53"/>
      <x:c r="AC849" s="53"/>
      <x:c r="AD849" s="53"/>
      <x:c r="AE849" s="53"/>
      <x:c r="AF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  <x:c r="AA850" s="53"/>
      <x:c r="AB850" s="53"/>
      <x:c r="AC850" s="53"/>
      <x:c r="AD850" s="53"/>
      <x:c r="AE850" s="53"/>
      <x:c r="AF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  <x:c r="AA851" s="53"/>
      <x:c r="AB851" s="53"/>
      <x:c r="AC851" s="53"/>
      <x:c r="AD851" s="53"/>
      <x:c r="AE851" s="53"/>
      <x:c r="AF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  <x:c r="AA852" s="53"/>
      <x:c r="AB852" s="53"/>
      <x:c r="AC852" s="53"/>
      <x:c r="AD852" s="53"/>
      <x:c r="AE852" s="53"/>
      <x:c r="AF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  <x:c r="AA853" s="53"/>
      <x:c r="AB853" s="53"/>
      <x:c r="AC853" s="53"/>
      <x:c r="AD853" s="53"/>
      <x:c r="AE853" s="53"/>
      <x:c r="AF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  <x:c r="AA854" s="53"/>
      <x:c r="AB854" s="53"/>
      <x:c r="AC854" s="53"/>
      <x:c r="AD854" s="53"/>
      <x:c r="AE854" s="53"/>
      <x:c r="AF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  <x:c r="AA855" s="53"/>
      <x:c r="AB855" s="53"/>
      <x:c r="AC855" s="53"/>
      <x:c r="AD855" s="53"/>
      <x:c r="AE855" s="53"/>
      <x:c r="AF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  <x:c r="AA856" s="53"/>
      <x:c r="AB856" s="53"/>
      <x:c r="AC856" s="53"/>
      <x:c r="AD856" s="53"/>
      <x:c r="AE856" s="53"/>
      <x:c r="AF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  <x:c r="AA857" s="53"/>
      <x:c r="AB857" s="53"/>
      <x:c r="AC857" s="53"/>
      <x:c r="AD857" s="53"/>
      <x:c r="AE857" s="53"/>
      <x:c r="AF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  <x:c r="AA858" s="53"/>
      <x:c r="AB858" s="53"/>
      <x:c r="AC858" s="53"/>
      <x:c r="AD858" s="53"/>
      <x:c r="AE858" s="53"/>
      <x:c r="AF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  <x:c r="AA859" s="53"/>
      <x:c r="AB859" s="53"/>
      <x:c r="AC859" s="53"/>
      <x:c r="AD859" s="53"/>
      <x:c r="AE859" s="53"/>
      <x:c r="AF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  <x:c r="AA860" s="53"/>
      <x:c r="AB860" s="53"/>
      <x:c r="AC860" s="53"/>
      <x:c r="AD860" s="53"/>
      <x:c r="AE860" s="53"/>
      <x:c r="AF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  <x:c r="AA861" s="53"/>
      <x:c r="AB861" s="53"/>
      <x:c r="AC861" s="53"/>
      <x:c r="AD861" s="53"/>
      <x:c r="AE861" s="53"/>
      <x:c r="AF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  <x:c r="AA862" s="53"/>
      <x:c r="AB862" s="53"/>
      <x:c r="AC862" s="53"/>
      <x:c r="AD862" s="53"/>
      <x:c r="AE862" s="53"/>
      <x:c r="AF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  <x:c r="AA863" s="53"/>
      <x:c r="AB863" s="53"/>
      <x:c r="AC863" s="53"/>
      <x:c r="AD863" s="53"/>
      <x:c r="AE863" s="53"/>
      <x:c r="AF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  <x:c r="AA864" s="53"/>
      <x:c r="AB864" s="53"/>
      <x:c r="AC864" s="53"/>
      <x:c r="AD864" s="53"/>
      <x:c r="AE864" s="53"/>
      <x:c r="AF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  <x:c r="AA865" s="53"/>
      <x:c r="AB865" s="53"/>
      <x:c r="AC865" s="53"/>
      <x:c r="AD865" s="53"/>
      <x:c r="AE865" s="53"/>
      <x:c r="AF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  <x:c r="AA866" s="53"/>
      <x:c r="AB866" s="53"/>
      <x:c r="AC866" s="53"/>
      <x:c r="AD866" s="53"/>
      <x:c r="AE866" s="53"/>
      <x:c r="AF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  <x:c r="AA867" s="53"/>
      <x:c r="AB867" s="53"/>
      <x:c r="AC867" s="53"/>
      <x:c r="AD867" s="53"/>
      <x:c r="AE867" s="53"/>
      <x:c r="AF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  <x:c r="AA868" s="53"/>
      <x:c r="AB868" s="53"/>
      <x:c r="AC868" s="53"/>
      <x:c r="AD868" s="53"/>
      <x:c r="AE868" s="53"/>
      <x:c r="AF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  <x:c r="AA869" s="53"/>
      <x:c r="AB869" s="53"/>
      <x:c r="AC869" s="53"/>
      <x:c r="AD869" s="53"/>
      <x:c r="AE869" s="53"/>
      <x:c r="AF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  <x:c r="AA870" s="53"/>
      <x:c r="AB870" s="53"/>
      <x:c r="AC870" s="53"/>
      <x:c r="AD870" s="53"/>
      <x:c r="AE870" s="53"/>
      <x:c r="AF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  <x:c r="AA871" s="53"/>
      <x:c r="AB871" s="53"/>
      <x:c r="AC871" s="53"/>
      <x:c r="AD871" s="53"/>
      <x:c r="AE871" s="53"/>
      <x:c r="AF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  <x:c r="AA872" s="53"/>
      <x:c r="AB872" s="53"/>
      <x:c r="AC872" s="53"/>
      <x:c r="AD872" s="53"/>
      <x:c r="AE872" s="53"/>
      <x:c r="AF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  <x:c r="AA873" s="53"/>
      <x:c r="AB873" s="53"/>
      <x:c r="AC873" s="53"/>
      <x:c r="AD873" s="53"/>
      <x:c r="AE873" s="53"/>
      <x:c r="AF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  <x:c r="AA874" s="53"/>
      <x:c r="AB874" s="53"/>
      <x:c r="AC874" s="53"/>
      <x:c r="AD874" s="53"/>
      <x:c r="AE874" s="53"/>
      <x:c r="AF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  <x:c r="AA875" s="53"/>
      <x:c r="AB875" s="53"/>
      <x:c r="AC875" s="53"/>
      <x:c r="AD875" s="53"/>
      <x:c r="AE875" s="53"/>
      <x:c r="AF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  <x:c r="AA876" s="53"/>
      <x:c r="AB876" s="53"/>
      <x:c r="AC876" s="53"/>
      <x:c r="AD876" s="53"/>
      <x:c r="AE876" s="53"/>
      <x:c r="AF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  <x:c r="AA877" s="53"/>
      <x:c r="AB877" s="53"/>
      <x:c r="AC877" s="53"/>
      <x:c r="AD877" s="53"/>
      <x:c r="AE877" s="53"/>
      <x:c r="AF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  <x:c r="AA878" s="53"/>
      <x:c r="AB878" s="53"/>
      <x:c r="AC878" s="53"/>
      <x:c r="AD878" s="53"/>
      <x:c r="AE878" s="53"/>
      <x:c r="AF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  <x:c r="AA879" s="53"/>
      <x:c r="AB879" s="53"/>
      <x:c r="AC879" s="53"/>
      <x:c r="AD879" s="53"/>
      <x:c r="AE879" s="53"/>
      <x:c r="AF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  <x:c r="AA880" s="53"/>
      <x:c r="AB880" s="53"/>
      <x:c r="AC880" s="53"/>
      <x:c r="AD880" s="53"/>
      <x:c r="AE880" s="53"/>
      <x:c r="AF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  <x:c r="AA881" s="53"/>
      <x:c r="AB881" s="53"/>
      <x:c r="AC881" s="53"/>
      <x:c r="AD881" s="53"/>
      <x:c r="AE881" s="53"/>
      <x:c r="AF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  <x:c r="AA882" s="53"/>
      <x:c r="AB882" s="53"/>
      <x:c r="AC882" s="53"/>
      <x:c r="AD882" s="53"/>
      <x:c r="AE882" s="53"/>
      <x:c r="AF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  <x:c r="AA883" s="53"/>
      <x:c r="AB883" s="53"/>
      <x:c r="AC883" s="53"/>
      <x:c r="AD883" s="53"/>
      <x:c r="AE883" s="53"/>
      <x:c r="AF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  <x:c r="AA884" s="53"/>
      <x:c r="AB884" s="53"/>
      <x:c r="AC884" s="53"/>
      <x:c r="AD884" s="53"/>
      <x:c r="AE884" s="53"/>
      <x:c r="AF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  <x:c r="AA885" s="53"/>
      <x:c r="AB885" s="53"/>
      <x:c r="AC885" s="53"/>
      <x:c r="AD885" s="53"/>
      <x:c r="AE885" s="53"/>
      <x:c r="AF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  <x:c r="AA886" s="53"/>
      <x:c r="AB886" s="53"/>
      <x:c r="AC886" s="53"/>
      <x:c r="AD886" s="53"/>
      <x:c r="AE886" s="53"/>
      <x:c r="AF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  <x:c r="AA887" s="53"/>
      <x:c r="AB887" s="53"/>
      <x:c r="AC887" s="53"/>
      <x:c r="AD887" s="53"/>
      <x:c r="AE887" s="53"/>
      <x:c r="AF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  <x:c r="AA888" s="53"/>
      <x:c r="AB888" s="53"/>
      <x:c r="AC888" s="53"/>
      <x:c r="AD888" s="53"/>
      <x:c r="AE888" s="53"/>
      <x:c r="AF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  <x:c r="AA889" s="53"/>
      <x:c r="AB889" s="53"/>
      <x:c r="AC889" s="53"/>
      <x:c r="AD889" s="53"/>
      <x:c r="AE889" s="53"/>
      <x:c r="AF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  <x:c r="AA890" s="53"/>
      <x:c r="AB890" s="53"/>
      <x:c r="AC890" s="53"/>
      <x:c r="AD890" s="53"/>
      <x:c r="AE890" s="53"/>
      <x:c r="AF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  <x:c r="AA891" s="53"/>
      <x:c r="AB891" s="53"/>
      <x:c r="AC891" s="53"/>
      <x:c r="AD891" s="53"/>
      <x:c r="AE891" s="53"/>
      <x:c r="AF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  <x:c r="AA892" s="53"/>
      <x:c r="AB892" s="53"/>
      <x:c r="AC892" s="53"/>
      <x:c r="AD892" s="53"/>
      <x:c r="AE892" s="53"/>
      <x:c r="AF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  <x:c r="AA893" s="53"/>
      <x:c r="AB893" s="53"/>
      <x:c r="AC893" s="53"/>
      <x:c r="AD893" s="53"/>
      <x:c r="AE893" s="53"/>
      <x:c r="AF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  <x:c r="AA894" s="53"/>
      <x:c r="AB894" s="53"/>
      <x:c r="AC894" s="53"/>
      <x:c r="AD894" s="53"/>
      <x:c r="AE894" s="53"/>
      <x:c r="AF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  <x:c r="AA895" s="53"/>
      <x:c r="AB895" s="53"/>
      <x:c r="AC895" s="53"/>
      <x:c r="AD895" s="53"/>
      <x:c r="AE895" s="53"/>
      <x:c r="AF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  <x:c r="AA896" s="53"/>
      <x:c r="AB896" s="53"/>
      <x:c r="AC896" s="53"/>
      <x:c r="AD896" s="53"/>
      <x:c r="AE896" s="53"/>
      <x:c r="AF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  <x:c r="AA897" s="53"/>
      <x:c r="AB897" s="53"/>
      <x:c r="AC897" s="53"/>
      <x:c r="AD897" s="53"/>
      <x:c r="AE897" s="53"/>
      <x:c r="AF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  <x:c r="AA898" s="53"/>
      <x:c r="AB898" s="53"/>
      <x:c r="AC898" s="53"/>
      <x:c r="AD898" s="53"/>
      <x:c r="AE898" s="53"/>
      <x:c r="AF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  <x:c r="AA899" s="53"/>
      <x:c r="AB899" s="53"/>
      <x:c r="AC899" s="53"/>
      <x:c r="AD899" s="53"/>
      <x:c r="AE899" s="53"/>
      <x:c r="AF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  <x:c r="AA900" s="53"/>
      <x:c r="AB900" s="53"/>
      <x:c r="AC900" s="53"/>
      <x:c r="AD900" s="53"/>
      <x:c r="AE900" s="53"/>
      <x:c r="AF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  <x:c r="AA901" s="53"/>
      <x:c r="AB901" s="53"/>
      <x:c r="AC901" s="53"/>
      <x:c r="AD901" s="53"/>
      <x:c r="AE901" s="53"/>
      <x:c r="AF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  <x:c r="AA902" s="53"/>
      <x:c r="AB902" s="53"/>
      <x:c r="AC902" s="53"/>
      <x:c r="AD902" s="53"/>
      <x:c r="AE902" s="53"/>
      <x:c r="AF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  <x:c r="AA903" s="53"/>
      <x:c r="AB903" s="53"/>
      <x:c r="AC903" s="53"/>
      <x:c r="AD903" s="53"/>
      <x:c r="AE903" s="53"/>
      <x:c r="AF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  <x:c r="AA904" s="53"/>
      <x:c r="AB904" s="53"/>
      <x:c r="AC904" s="53"/>
      <x:c r="AD904" s="53"/>
      <x:c r="AE904" s="53"/>
      <x:c r="AF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  <x:c r="AA905" s="53"/>
      <x:c r="AB905" s="53"/>
      <x:c r="AC905" s="53"/>
      <x:c r="AD905" s="53"/>
      <x:c r="AE905" s="53"/>
      <x:c r="AF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  <x:c r="AA906" s="53"/>
      <x:c r="AB906" s="53"/>
      <x:c r="AC906" s="53"/>
      <x:c r="AD906" s="53"/>
      <x:c r="AE906" s="53"/>
      <x:c r="AF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  <x:c r="AA907" s="53"/>
      <x:c r="AB907" s="53"/>
      <x:c r="AC907" s="53"/>
      <x:c r="AD907" s="53"/>
      <x:c r="AE907" s="53"/>
      <x:c r="AF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  <x:c r="AA908" s="53"/>
      <x:c r="AB908" s="53"/>
      <x:c r="AC908" s="53"/>
      <x:c r="AD908" s="53"/>
      <x:c r="AE908" s="53"/>
      <x:c r="AF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  <x:c r="AA909" s="53"/>
      <x:c r="AB909" s="53"/>
      <x:c r="AC909" s="53"/>
      <x:c r="AD909" s="53"/>
      <x:c r="AE909" s="53"/>
      <x:c r="AF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  <x:c r="AA910" s="53"/>
      <x:c r="AB910" s="53"/>
      <x:c r="AC910" s="53"/>
      <x:c r="AD910" s="53"/>
      <x:c r="AE910" s="53"/>
      <x:c r="AF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  <x:c r="AA911" s="53"/>
      <x:c r="AB911" s="53"/>
      <x:c r="AC911" s="53"/>
      <x:c r="AD911" s="53"/>
      <x:c r="AE911" s="53"/>
      <x:c r="AF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  <x:c r="AA912" s="53"/>
      <x:c r="AB912" s="53"/>
      <x:c r="AC912" s="53"/>
      <x:c r="AD912" s="53"/>
      <x:c r="AE912" s="53"/>
      <x:c r="AF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  <x:c r="AA913" s="53"/>
      <x:c r="AB913" s="53"/>
      <x:c r="AC913" s="53"/>
      <x:c r="AD913" s="53"/>
      <x:c r="AE913" s="53"/>
      <x:c r="AF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  <x:c r="AA914" s="53"/>
      <x:c r="AB914" s="53"/>
      <x:c r="AC914" s="53"/>
      <x:c r="AD914" s="53"/>
      <x:c r="AE914" s="53"/>
      <x:c r="AF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  <x:c r="AA915" s="53"/>
      <x:c r="AB915" s="53"/>
      <x:c r="AC915" s="53"/>
      <x:c r="AD915" s="53"/>
      <x:c r="AE915" s="53"/>
      <x:c r="AF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  <x:c r="AA916" s="53"/>
      <x:c r="AB916" s="53"/>
      <x:c r="AC916" s="53"/>
      <x:c r="AD916" s="53"/>
      <x:c r="AE916" s="53"/>
      <x:c r="AF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  <x:c r="AA917" s="53"/>
      <x:c r="AB917" s="53"/>
      <x:c r="AC917" s="53"/>
      <x:c r="AD917" s="53"/>
      <x:c r="AE917" s="53"/>
      <x:c r="AF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  <x:c r="AA918" s="53"/>
      <x:c r="AB918" s="53"/>
      <x:c r="AC918" s="53"/>
      <x:c r="AD918" s="53"/>
      <x:c r="AE918" s="53"/>
      <x:c r="AF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  <x:c r="AA919" s="53"/>
      <x:c r="AB919" s="53"/>
      <x:c r="AC919" s="53"/>
      <x:c r="AD919" s="53"/>
      <x:c r="AE919" s="53"/>
      <x:c r="AF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  <x:c r="AA920" s="53"/>
      <x:c r="AB920" s="53"/>
      <x:c r="AC920" s="53"/>
      <x:c r="AD920" s="53"/>
      <x:c r="AE920" s="53"/>
      <x:c r="AF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  <x:c r="AA921" s="53"/>
      <x:c r="AB921" s="53"/>
      <x:c r="AC921" s="53"/>
      <x:c r="AD921" s="53"/>
      <x:c r="AE921" s="53"/>
      <x:c r="AF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  <x:c r="AA922" s="53"/>
      <x:c r="AB922" s="53"/>
      <x:c r="AC922" s="53"/>
      <x:c r="AD922" s="53"/>
      <x:c r="AE922" s="53"/>
      <x:c r="AF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  <x:c r="AA923" s="53"/>
      <x:c r="AB923" s="53"/>
      <x:c r="AC923" s="53"/>
      <x:c r="AD923" s="53"/>
      <x:c r="AE923" s="53"/>
      <x:c r="AF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  <x:c r="AA924" s="53"/>
      <x:c r="AB924" s="53"/>
      <x:c r="AC924" s="53"/>
      <x:c r="AD924" s="53"/>
      <x:c r="AE924" s="53"/>
      <x:c r="AF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  <x:c r="AA925" s="53"/>
      <x:c r="AB925" s="53"/>
      <x:c r="AC925" s="53"/>
      <x:c r="AD925" s="53"/>
      <x:c r="AE925" s="53"/>
      <x:c r="AF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  <x:c r="AA926" s="53"/>
      <x:c r="AB926" s="53"/>
      <x:c r="AC926" s="53"/>
      <x:c r="AD926" s="53"/>
      <x:c r="AE926" s="53"/>
      <x:c r="AF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  <x:c r="AA927" s="53"/>
      <x:c r="AB927" s="53"/>
      <x:c r="AC927" s="53"/>
      <x:c r="AD927" s="53"/>
      <x:c r="AE927" s="53"/>
      <x:c r="AF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  <x:c r="AA928" s="53"/>
      <x:c r="AB928" s="53"/>
      <x:c r="AC928" s="53"/>
      <x:c r="AD928" s="53"/>
      <x:c r="AE928" s="53"/>
      <x:c r="AF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  <x:c r="AA929" s="53"/>
      <x:c r="AB929" s="53"/>
      <x:c r="AC929" s="53"/>
      <x:c r="AD929" s="53"/>
      <x:c r="AE929" s="53"/>
      <x:c r="AF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  <x:c r="AA930" s="53"/>
      <x:c r="AB930" s="53"/>
      <x:c r="AC930" s="53"/>
      <x:c r="AD930" s="53"/>
      <x:c r="AE930" s="53"/>
      <x:c r="AF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  <x:c r="AA931" s="53"/>
      <x:c r="AB931" s="53"/>
      <x:c r="AC931" s="53"/>
      <x:c r="AD931" s="53"/>
      <x:c r="AE931" s="53"/>
      <x:c r="AF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  <x:c r="AA932" s="53"/>
      <x:c r="AB932" s="53"/>
      <x:c r="AC932" s="53"/>
      <x:c r="AD932" s="53"/>
      <x:c r="AE932" s="53"/>
      <x:c r="AF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  <x:c r="AA933" s="53"/>
      <x:c r="AB933" s="53"/>
      <x:c r="AC933" s="53"/>
      <x:c r="AD933" s="53"/>
      <x:c r="AE933" s="53"/>
      <x:c r="AF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  <x:c r="AA934" s="53"/>
      <x:c r="AB934" s="53"/>
      <x:c r="AC934" s="53"/>
      <x:c r="AD934" s="53"/>
      <x:c r="AE934" s="53"/>
      <x:c r="AF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  <x:c r="AA935" s="53"/>
      <x:c r="AB935" s="53"/>
      <x:c r="AC935" s="53"/>
      <x:c r="AD935" s="53"/>
      <x:c r="AE935" s="53"/>
      <x:c r="AF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  <x:c r="AA936" s="53"/>
      <x:c r="AB936" s="53"/>
      <x:c r="AC936" s="53"/>
      <x:c r="AD936" s="53"/>
      <x:c r="AE936" s="53"/>
      <x:c r="AF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  <x:c r="AA937" s="53"/>
      <x:c r="AB937" s="53"/>
      <x:c r="AC937" s="53"/>
      <x:c r="AD937" s="53"/>
      <x:c r="AE937" s="53"/>
      <x:c r="AF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  <x:c r="AA938" s="53"/>
      <x:c r="AB938" s="53"/>
      <x:c r="AC938" s="53"/>
      <x:c r="AD938" s="53"/>
      <x:c r="AE938" s="53"/>
      <x:c r="AF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  <x:c r="AA939" s="53"/>
      <x:c r="AB939" s="53"/>
      <x:c r="AC939" s="53"/>
      <x:c r="AD939" s="53"/>
      <x:c r="AE939" s="53"/>
      <x:c r="AF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  <x:c r="AA940" s="53"/>
      <x:c r="AB940" s="53"/>
      <x:c r="AC940" s="53"/>
      <x:c r="AD940" s="53"/>
      <x:c r="AE940" s="53"/>
      <x:c r="AF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  <x:c r="AA941" s="53"/>
      <x:c r="AB941" s="53"/>
      <x:c r="AC941" s="53"/>
      <x:c r="AD941" s="53"/>
      <x:c r="AE941" s="53"/>
      <x:c r="AF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  <x:c r="AA942" s="53"/>
      <x:c r="AB942" s="53"/>
      <x:c r="AC942" s="53"/>
      <x:c r="AD942" s="53"/>
      <x:c r="AE942" s="53"/>
      <x:c r="AF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  <x:c r="AA943" s="53"/>
      <x:c r="AB943" s="53"/>
      <x:c r="AC943" s="53"/>
      <x:c r="AD943" s="53"/>
      <x:c r="AE943" s="53"/>
      <x:c r="AF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  <x:c r="AA944" s="53"/>
      <x:c r="AB944" s="53"/>
      <x:c r="AC944" s="53"/>
      <x:c r="AD944" s="53"/>
      <x:c r="AE944" s="53"/>
      <x:c r="AF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  <x:c r="AA945" s="53"/>
      <x:c r="AB945" s="53"/>
      <x:c r="AC945" s="53"/>
      <x:c r="AD945" s="53"/>
      <x:c r="AE945" s="53"/>
      <x:c r="AF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  <x:c r="AA946" s="53"/>
      <x:c r="AB946" s="53"/>
      <x:c r="AC946" s="53"/>
      <x:c r="AD946" s="53"/>
      <x:c r="AE946" s="53"/>
      <x:c r="AF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  <x:c r="AA947" s="53"/>
      <x:c r="AB947" s="53"/>
      <x:c r="AC947" s="53"/>
      <x:c r="AD947" s="53"/>
      <x:c r="AE947" s="53"/>
      <x:c r="AF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  <x:c r="AA948" s="53"/>
      <x:c r="AB948" s="53"/>
      <x:c r="AC948" s="53"/>
      <x:c r="AD948" s="53"/>
      <x:c r="AE948" s="53"/>
      <x:c r="AF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  <x:c r="AA949" s="53"/>
      <x:c r="AB949" s="53"/>
      <x:c r="AC949" s="53"/>
      <x:c r="AD949" s="53"/>
      <x:c r="AE949" s="53"/>
      <x:c r="AF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  <x:c r="AA950" s="53"/>
      <x:c r="AB950" s="53"/>
      <x:c r="AC950" s="53"/>
      <x:c r="AD950" s="53"/>
      <x:c r="AE950" s="53"/>
      <x:c r="AF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  <x:c r="AA951" s="53"/>
      <x:c r="AB951" s="53"/>
      <x:c r="AC951" s="53"/>
      <x:c r="AD951" s="53"/>
      <x:c r="AE951" s="53"/>
      <x:c r="AF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  <x:c r="AA952" s="53"/>
      <x:c r="AB952" s="53"/>
      <x:c r="AC952" s="53"/>
      <x:c r="AD952" s="53"/>
      <x:c r="AE952" s="53"/>
      <x:c r="AF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  <x:c r="AA953" s="53"/>
      <x:c r="AB953" s="53"/>
      <x:c r="AC953" s="53"/>
      <x:c r="AD953" s="53"/>
      <x:c r="AE953" s="53"/>
      <x:c r="AF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  <x:c r="AA954" s="53"/>
      <x:c r="AB954" s="53"/>
      <x:c r="AC954" s="53"/>
      <x:c r="AD954" s="53"/>
      <x:c r="AE954" s="53"/>
      <x:c r="AF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  <x:c r="AA955" s="53"/>
      <x:c r="AB955" s="53"/>
      <x:c r="AC955" s="53"/>
      <x:c r="AD955" s="53"/>
      <x:c r="AE955" s="53"/>
      <x:c r="AF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  <x:c r="AA956" s="53"/>
      <x:c r="AB956" s="53"/>
      <x:c r="AC956" s="53"/>
      <x:c r="AD956" s="53"/>
      <x:c r="AE956" s="53"/>
      <x:c r="AF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  <x:c r="AA957" s="53"/>
      <x:c r="AB957" s="53"/>
      <x:c r="AC957" s="53"/>
      <x:c r="AD957" s="53"/>
      <x:c r="AE957" s="53"/>
      <x:c r="AF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  <x:c r="AA958" s="53"/>
      <x:c r="AB958" s="53"/>
      <x:c r="AC958" s="53"/>
      <x:c r="AD958" s="53"/>
      <x:c r="AE958" s="53"/>
      <x:c r="AF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  <x:c r="AA959" s="53"/>
      <x:c r="AB959" s="53"/>
      <x:c r="AC959" s="53"/>
      <x:c r="AD959" s="53"/>
      <x:c r="AE959" s="53"/>
      <x:c r="AF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  <x:c r="AA960" s="53"/>
      <x:c r="AB960" s="53"/>
      <x:c r="AC960" s="53"/>
      <x:c r="AD960" s="53"/>
      <x:c r="AE960" s="53"/>
      <x:c r="AF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  <x:c r="AA961" s="53"/>
      <x:c r="AB961" s="53"/>
      <x:c r="AC961" s="53"/>
      <x:c r="AD961" s="53"/>
      <x:c r="AE961" s="53"/>
      <x:c r="AF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  <x:c r="AA962" s="53"/>
      <x:c r="AB962" s="53"/>
      <x:c r="AC962" s="53"/>
      <x:c r="AD962" s="53"/>
      <x:c r="AE962" s="53"/>
      <x:c r="AF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  <x:c r="AA963" s="53"/>
      <x:c r="AB963" s="53"/>
      <x:c r="AC963" s="53"/>
      <x:c r="AD963" s="53"/>
      <x:c r="AE963" s="53"/>
      <x:c r="AF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  <x:c r="AA964" s="53"/>
      <x:c r="AB964" s="53"/>
      <x:c r="AC964" s="53"/>
      <x:c r="AD964" s="53"/>
      <x:c r="AE964" s="53"/>
      <x:c r="AF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  <x:c r="AA965" s="53"/>
      <x:c r="AB965" s="53"/>
      <x:c r="AC965" s="53"/>
      <x:c r="AD965" s="53"/>
      <x:c r="AE965" s="53"/>
      <x:c r="AF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  <x:c r="AA966" s="53"/>
      <x:c r="AB966" s="53"/>
      <x:c r="AC966" s="53"/>
      <x:c r="AD966" s="53"/>
      <x:c r="AE966" s="53"/>
      <x:c r="AF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  <x:c r="AA967" s="53"/>
      <x:c r="AB967" s="53"/>
      <x:c r="AC967" s="53"/>
      <x:c r="AD967" s="53"/>
      <x:c r="AE967" s="53"/>
      <x:c r="AF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  <x:c r="AA968" s="53"/>
      <x:c r="AB968" s="53"/>
      <x:c r="AC968" s="53"/>
      <x:c r="AD968" s="53"/>
      <x:c r="AE968" s="53"/>
      <x:c r="AF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  <x:c r="AA969" s="53"/>
      <x:c r="AB969" s="53"/>
      <x:c r="AC969" s="53"/>
      <x:c r="AD969" s="53"/>
      <x:c r="AE969" s="53"/>
      <x:c r="AF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  <x:c r="AA970" s="53"/>
      <x:c r="AB970" s="53"/>
      <x:c r="AC970" s="53"/>
      <x:c r="AD970" s="53"/>
      <x:c r="AE970" s="53"/>
      <x:c r="AF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  <x:c r="AA971" s="53"/>
      <x:c r="AB971" s="53"/>
      <x:c r="AC971" s="53"/>
      <x:c r="AD971" s="53"/>
      <x:c r="AE971" s="53"/>
      <x:c r="AF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  <x:c r="AA972" s="53"/>
      <x:c r="AB972" s="53"/>
      <x:c r="AC972" s="53"/>
      <x:c r="AD972" s="53"/>
      <x:c r="AE972" s="53"/>
      <x:c r="AF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  <x:c r="AA973" s="53"/>
      <x:c r="AB973" s="53"/>
      <x:c r="AC973" s="53"/>
      <x:c r="AD973" s="53"/>
      <x:c r="AE973" s="53"/>
      <x:c r="AF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  <x:c r="AA974" s="53"/>
      <x:c r="AB974" s="53"/>
      <x:c r="AC974" s="53"/>
      <x:c r="AD974" s="53"/>
      <x:c r="AE974" s="53"/>
      <x:c r="AF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  <x:c r="AA975" s="53"/>
      <x:c r="AB975" s="53"/>
      <x:c r="AC975" s="53"/>
      <x:c r="AD975" s="53"/>
      <x:c r="AE975" s="53"/>
      <x:c r="AF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  <x:c r="AA976" s="53"/>
      <x:c r="AB976" s="53"/>
      <x:c r="AC976" s="53"/>
      <x:c r="AD976" s="53"/>
      <x:c r="AE976" s="53"/>
      <x:c r="AF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  <x:c r="AA977" s="53"/>
      <x:c r="AB977" s="53"/>
      <x:c r="AC977" s="53"/>
      <x:c r="AD977" s="53"/>
      <x:c r="AE977" s="53"/>
      <x:c r="AF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  <x:c r="AA978" s="53"/>
      <x:c r="AB978" s="53"/>
      <x:c r="AC978" s="53"/>
      <x:c r="AD978" s="53"/>
      <x:c r="AE978" s="53"/>
      <x:c r="AF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  <x:c r="AA979" s="53"/>
      <x:c r="AB979" s="53"/>
      <x:c r="AC979" s="53"/>
      <x:c r="AD979" s="53"/>
      <x:c r="AE979" s="53"/>
      <x:c r="AF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  <x:c r="AA980" s="53"/>
      <x:c r="AB980" s="53"/>
      <x:c r="AC980" s="53"/>
      <x:c r="AD980" s="53"/>
      <x:c r="AE980" s="53"/>
      <x:c r="AF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  <x:c r="AA981" s="53"/>
      <x:c r="AB981" s="53"/>
      <x:c r="AC981" s="53"/>
      <x:c r="AD981" s="53"/>
      <x:c r="AE981" s="53"/>
      <x:c r="AF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  <x:c r="AA982" s="53"/>
      <x:c r="AB982" s="53"/>
      <x:c r="AC982" s="53"/>
      <x:c r="AD982" s="53"/>
      <x:c r="AE982" s="53"/>
      <x:c r="AF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  <x:c r="AA983" s="53"/>
      <x:c r="AB983" s="53"/>
      <x:c r="AC983" s="53"/>
      <x:c r="AD983" s="53"/>
      <x:c r="AE983" s="53"/>
      <x:c r="AF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  <x:c r="AA984" s="53"/>
      <x:c r="AB984" s="53"/>
      <x:c r="AC984" s="53"/>
      <x:c r="AD984" s="53"/>
      <x:c r="AE984" s="53"/>
      <x:c r="AF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  <x:c r="AA985" s="53"/>
      <x:c r="AB985" s="53"/>
      <x:c r="AC985" s="53"/>
      <x:c r="AD985" s="53"/>
      <x:c r="AE985" s="53"/>
      <x:c r="AF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  <x:c r="AA986" s="53"/>
      <x:c r="AB986" s="53"/>
      <x:c r="AC986" s="53"/>
      <x:c r="AD986" s="53"/>
      <x:c r="AE986" s="53"/>
      <x:c r="AF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  <x:c r="AA987" s="53"/>
      <x:c r="AB987" s="53"/>
      <x:c r="AC987" s="53"/>
      <x:c r="AD987" s="53"/>
      <x:c r="AE987" s="53"/>
      <x:c r="AF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  <x:c r="AA988" s="53"/>
      <x:c r="AB988" s="53"/>
      <x:c r="AC988" s="53"/>
      <x:c r="AD988" s="53"/>
      <x:c r="AE988" s="53"/>
      <x:c r="AF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  <x:c r="AA989" s="53"/>
      <x:c r="AB989" s="53"/>
      <x:c r="AC989" s="53"/>
      <x:c r="AD989" s="53"/>
      <x:c r="AE989" s="53"/>
      <x:c r="AF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  <x:c r="AA990" s="53"/>
      <x:c r="AB990" s="53"/>
      <x:c r="AC990" s="53"/>
      <x:c r="AD990" s="53"/>
      <x:c r="AE990" s="53"/>
      <x:c r="AF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  <x:c r="AA991" s="53"/>
      <x:c r="AB991" s="53"/>
      <x:c r="AC991" s="53"/>
      <x:c r="AD991" s="53"/>
      <x:c r="AE991" s="53"/>
      <x:c r="AF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  <x:c r="AA992" s="53"/>
      <x:c r="AB992" s="53"/>
      <x:c r="AC992" s="53"/>
      <x:c r="AD992" s="53"/>
      <x:c r="AE992" s="53"/>
      <x:c r="AF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  <x:c r="AA993" s="53"/>
      <x:c r="AB993" s="53"/>
      <x:c r="AC993" s="53"/>
      <x:c r="AD993" s="53"/>
      <x:c r="AE993" s="53"/>
      <x:c r="AF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  <x:c r="AA994" s="53"/>
      <x:c r="AB994" s="53"/>
      <x:c r="AC994" s="53"/>
      <x:c r="AD994" s="53"/>
      <x:c r="AE994" s="53"/>
      <x:c r="AF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  <x:c r="AA995" s="53"/>
      <x:c r="AB995" s="53"/>
      <x:c r="AC995" s="53"/>
      <x:c r="AD995" s="53"/>
      <x:c r="AE995" s="53"/>
      <x:c r="AF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  <x:c r="AA996" s="53"/>
      <x:c r="AB996" s="53"/>
      <x:c r="AC996" s="53"/>
      <x:c r="AD996" s="53"/>
      <x:c r="AE996" s="53"/>
      <x:c r="AF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  <x:c r="AA997" s="53"/>
      <x:c r="AB997" s="53"/>
      <x:c r="AC997" s="53"/>
      <x:c r="AD997" s="53"/>
      <x:c r="AE997" s="53"/>
      <x:c r="AF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  <x:c r="AA998" s="53"/>
      <x:c r="AB998" s="53"/>
      <x:c r="AC998" s="53"/>
      <x:c r="AD998" s="53"/>
      <x:c r="AE998" s="53"/>
      <x:c r="AF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  <x:c r="AA999" s="53"/>
      <x:c r="AB999" s="53"/>
      <x:c r="AC999" s="53"/>
      <x:c r="AD999" s="53"/>
      <x:c r="AE999" s="53"/>
      <x:c r="AF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  <x:c r="AA1000" s="53"/>
      <x:c r="AB1000" s="53"/>
      <x:c r="AC1000" s="53"/>
      <x:c r="AD1000" s="53"/>
      <x:c r="AE1000" s="53"/>
      <x:c r="AF1000" s="53"/>
    </x:row>
    <x:row r="1001">
      <x:c r="A1001" s="53"/>
      <x:c r="B1001" s="53"/>
      <x:c r="C1001" s="53"/>
      <x:c r="D1001" s="53"/>
      <x:c r="E1001" s="53"/>
      <x:c r="F1001" s="53"/>
      <x:c r="G1001" s="53"/>
      <x:c r="H1001" s="53"/>
      <x:c r="I1001" s="53"/>
      <x:c r="J1001" s="53"/>
      <x:c r="K1001" s="53"/>
      <x:c r="L1001" s="53"/>
      <x:c r="M1001" s="53"/>
      <x:c r="N1001" s="53"/>
      <x:c r="O1001" s="53"/>
      <x:c r="P1001" s="53"/>
      <x:c r="Q1001" s="53"/>
      <x:c r="R1001" s="53"/>
      <x:c r="S1001" s="53"/>
      <x:c r="T1001" s="53"/>
      <x:c r="U1001" s="53"/>
      <x:c r="V1001" s="53"/>
      <x:c r="W1001" s="53"/>
      <x:c r="X1001" s="53"/>
      <x:c r="Y1001" s="53"/>
      <x:c r="Z1001" s="53"/>
      <x:c r="AA1001" s="53"/>
      <x:c r="AB1001" s="53"/>
      <x:c r="AC1001" s="53"/>
      <x:c r="AD1001" s="53"/>
      <x:c r="AE1001" s="53"/>
      <x:c r="AF1001" s="53"/>
    </x:row>
    <x:row r="1002">
      <x:c r="A1002" s="53"/>
      <x:c r="B1002" s="53"/>
      <x:c r="C1002" s="53"/>
      <x:c r="D1002" s="53"/>
      <x:c r="E1002" s="53"/>
      <x:c r="F1002" s="53"/>
      <x:c r="G1002" s="53"/>
      <x:c r="H1002" s="53"/>
      <x:c r="I1002" s="53"/>
      <x:c r="J1002" s="53"/>
      <x:c r="K1002" s="53"/>
      <x:c r="L1002" s="53"/>
      <x:c r="M1002" s="53"/>
      <x:c r="N1002" s="53"/>
      <x:c r="O1002" s="53"/>
      <x:c r="P1002" s="53"/>
      <x:c r="Q1002" s="53"/>
      <x:c r="R1002" s="53"/>
      <x:c r="S1002" s="53"/>
      <x:c r="T1002" s="53"/>
      <x:c r="U1002" s="53"/>
      <x:c r="V1002" s="53"/>
      <x:c r="W1002" s="53"/>
      <x:c r="X1002" s="53"/>
      <x:c r="Y1002" s="53"/>
      <x:c r="Z1002" s="53"/>
      <x:c r="AA1002" s="53"/>
      <x:c r="AB1002" s="53"/>
      <x:c r="AC1002" s="53"/>
      <x:c r="AD1002" s="53"/>
      <x:c r="AE1002" s="53"/>
      <x:c r="AF1002" s="53"/>
    </x:row>
    <x:row r="1003">
      <x:c r="A1003" s="53"/>
      <x:c r="B1003" s="53"/>
      <x:c r="C1003" s="53"/>
      <x:c r="D1003" s="53"/>
      <x:c r="E1003" s="53"/>
      <x:c r="F1003" s="53"/>
      <x:c r="G1003" s="53"/>
      <x:c r="H1003" s="53"/>
      <x:c r="I1003" s="53"/>
      <x:c r="J1003" s="53"/>
      <x:c r="K1003" s="53"/>
      <x:c r="L1003" s="53"/>
      <x:c r="M1003" s="53"/>
      <x:c r="N1003" s="53"/>
      <x:c r="O1003" s="53"/>
      <x:c r="P1003" s="53"/>
      <x:c r="Q1003" s="53"/>
      <x:c r="R1003" s="53"/>
      <x:c r="S1003" s="53"/>
      <x:c r="T1003" s="53"/>
      <x:c r="U1003" s="53"/>
      <x:c r="V1003" s="53"/>
      <x:c r="W1003" s="53"/>
      <x:c r="X1003" s="53"/>
      <x:c r="Y1003" s="53"/>
      <x:c r="Z1003" s="53"/>
      <x:c r="AA1003" s="53"/>
      <x:c r="AB1003" s="53"/>
      <x:c r="AC1003" s="53"/>
      <x:c r="AD1003" s="53"/>
      <x:c r="AE1003" s="53"/>
      <x:c r="AF1003" s="53"/>
    </x:row>
    <x:row r="1004">
      <x:c r="A1004" s="53"/>
      <x:c r="B1004" s="53"/>
      <x:c r="C1004" s="53"/>
      <x:c r="D1004" s="53"/>
      <x:c r="E1004" s="53"/>
      <x:c r="F1004" s="53"/>
      <x:c r="G1004" s="53"/>
      <x:c r="H1004" s="53"/>
      <x:c r="I1004" s="53"/>
      <x:c r="J1004" s="53"/>
      <x:c r="K1004" s="53"/>
      <x:c r="L1004" s="53"/>
      <x:c r="M1004" s="53"/>
      <x:c r="N1004" s="53"/>
      <x:c r="O1004" s="53"/>
      <x:c r="P1004" s="53"/>
      <x:c r="Q1004" s="53"/>
      <x:c r="R1004" s="53"/>
      <x:c r="S1004" s="53"/>
      <x:c r="T1004" s="53"/>
      <x:c r="U1004" s="53"/>
      <x:c r="V1004" s="53"/>
      <x:c r="W1004" s="53"/>
      <x:c r="X1004" s="53"/>
      <x:c r="Y1004" s="53"/>
      <x:c r="Z1004" s="53"/>
      <x:c r="AA1004" s="53"/>
      <x:c r="AB1004" s="53"/>
      <x:c r="AC1004" s="53"/>
      <x:c r="AD1004" s="53"/>
      <x:c r="AE1004" s="53"/>
      <x:c r="AF1004" s="53"/>
    </x:row>
    <x:row r="1005">
      <x:c r="A1005" s="53"/>
      <x:c r="B1005" s="53"/>
      <x:c r="C1005" s="53"/>
      <x:c r="D1005" s="53"/>
      <x:c r="E1005" s="53"/>
      <x:c r="F1005" s="53"/>
      <x:c r="G1005" s="53"/>
      <x:c r="H1005" s="53"/>
      <x:c r="I1005" s="53"/>
      <x:c r="J1005" s="53"/>
      <x:c r="K1005" s="53"/>
      <x:c r="L1005" s="53"/>
      <x:c r="M1005" s="53"/>
      <x:c r="N1005" s="53"/>
      <x:c r="O1005" s="53"/>
      <x:c r="P1005" s="53"/>
      <x:c r="Q1005" s="53"/>
      <x:c r="R1005" s="53"/>
      <x:c r="S1005" s="53"/>
      <x:c r="T1005" s="53"/>
      <x:c r="U1005" s="53"/>
      <x:c r="V1005" s="53"/>
      <x:c r="W1005" s="53"/>
      <x:c r="X1005" s="53"/>
      <x:c r="Y1005" s="53"/>
      <x:c r="Z1005" s="53"/>
      <x:c r="AA1005" s="53"/>
      <x:c r="AB1005" s="53"/>
      <x:c r="AC1005" s="53"/>
      <x:c r="AD1005" s="53"/>
      <x:c r="AE1005" s="53"/>
      <x:c r="AF1005" s="53"/>
    </x:row>
    <x:row r="1006">
      <x:c r="A1006" s="53"/>
      <x:c r="B1006" s="53"/>
      <x:c r="C1006" s="53"/>
      <x:c r="D1006" s="53"/>
      <x:c r="E1006" s="53"/>
      <x:c r="F1006" s="53"/>
      <x:c r="G1006" s="53"/>
      <x:c r="H1006" s="53"/>
      <x:c r="I1006" s="53"/>
      <x:c r="J1006" s="53"/>
      <x:c r="K1006" s="53"/>
      <x:c r="L1006" s="53"/>
      <x:c r="M1006" s="53"/>
      <x:c r="N1006" s="53"/>
      <x:c r="O1006" s="53"/>
      <x:c r="P1006" s="53"/>
      <x:c r="Q1006" s="53"/>
      <x:c r="R1006" s="53"/>
      <x:c r="S1006" s="53"/>
      <x:c r="T1006" s="53"/>
      <x:c r="U1006" s="53"/>
      <x:c r="V1006" s="53"/>
      <x:c r="W1006" s="53"/>
      <x:c r="X1006" s="53"/>
      <x:c r="Y1006" s="53"/>
      <x:c r="Z1006" s="53"/>
      <x:c r="AA1006" s="53"/>
      <x:c r="AB1006" s="53"/>
      <x:c r="AC1006" s="53"/>
      <x:c r="AD1006" s="53"/>
      <x:c r="AE1006" s="53"/>
      <x:c r="AF1006" s="53"/>
    </x:row>
    <x:row r="1007">
      <x:c r="A1007" s="53"/>
      <x:c r="B1007" s="53"/>
      <x:c r="C1007" s="53"/>
      <x:c r="D1007" s="53"/>
      <x:c r="E1007" s="53"/>
      <x:c r="F1007" s="53"/>
      <x:c r="G1007" s="53"/>
      <x:c r="H1007" s="53"/>
      <x:c r="I1007" s="53"/>
      <x:c r="J1007" s="53"/>
      <x:c r="K1007" s="53"/>
      <x:c r="L1007" s="53"/>
      <x:c r="M1007" s="53"/>
      <x:c r="N1007" s="53"/>
      <x:c r="O1007" s="53"/>
      <x:c r="P1007" s="53"/>
      <x:c r="Q1007" s="53"/>
      <x:c r="R1007" s="53"/>
      <x:c r="S1007" s="53"/>
      <x:c r="T1007" s="53"/>
      <x:c r="U1007" s="53"/>
      <x:c r="V1007" s="53"/>
      <x:c r="W1007" s="53"/>
      <x:c r="X1007" s="53"/>
      <x:c r="Y1007" s="53"/>
      <x:c r="Z1007" s="53"/>
      <x:c r="AA1007" s="53"/>
      <x:c r="AB1007" s="53"/>
      <x:c r="AC1007" s="53"/>
      <x:c r="AD1007" s="53"/>
      <x:c r="AE1007" s="53"/>
      <x:c r="AF1007" s="53"/>
    </x:row>
    <x:row r="1008">
      <x:c r="A1008" s="53"/>
      <x:c r="B1008" s="53"/>
      <x:c r="C1008" s="53"/>
      <x:c r="D1008" s="53"/>
      <x:c r="E1008" s="53"/>
      <x:c r="F1008" s="53"/>
      <x:c r="G1008" s="53"/>
      <x:c r="H1008" s="53"/>
      <x:c r="I1008" s="53"/>
      <x:c r="J1008" s="53"/>
      <x:c r="K1008" s="53"/>
      <x:c r="L1008" s="53"/>
      <x:c r="M1008" s="53"/>
      <x:c r="N1008" s="53"/>
      <x:c r="O1008" s="53"/>
      <x:c r="P1008" s="53"/>
      <x:c r="Q1008" s="53"/>
      <x:c r="R1008" s="53"/>
      <x:c r="S1008" s="53"/>
      <x:c r="T1008" s="53"/>
      <x:c r="U1008" s="53"/>
      <x:c r="V1008" s="53"/>
      <x:c r="W1008" s="53"/>
      <x:c r="X1008" s="53"/>
      <x:c r="Y1008" s="53"/>
      <x:c r="Z1008" s="53"/>
      <x:c r="AA1008" s="53"/>
      <x:c r="AB1008" s="53"/>
      <x:c r="AC1008" s="53"/>
      <x:c r="AD1008" s="53"/>
      <x:c r="AE1008" s="53"/>
      <x:c r="AF1008" s="53"/>
    </x:row>
    <x:row r="1009">
      <x:c r="A1009" s="53"/>
      <x:c r="B1009" s="53"/>
      <x:c r="C1009" s="53"/>
      <x:c r="D1009" s="53"/>
      <x:c r="E1009" s="53"/>
      <x:c r="F1009" s="53"/>
      <x:c r="G1009" s="53"/>
      <x:c r="H1009" s="53"/>
      <x:c r="I1009" s="53"/>
      <x:c r="J1009" s="53"/>
      <x:c r="K1009" s="53"/>
      <x:c r="L1009" s="53"/>
      <x:c r="M1009" s="53"/>
      <x:c r="N1009" s="53"/>
      <x:c r="O1009" s="53"/>
      <x:c r="P1009" s="53"/>
      <x:c r="Q1009" s="53"/>
      <x:c r="R1009" s="53"/>
      <x:c r="S1009" s="53"/>
      <x:c r="T1009" s="53"/>
      <x:c r="U1009" s="53"/>
      <x:c r="V1009" s="53"/>
      <x:c r="W1009" s="53"/>
      <x:c r="X1009" s="53"/>
      <x:c r="Y1009" s="53"/>
      <x:c r="Z1009" s="53"/>
      <x:c r="AA1009" s="53"/>
      <x:c r="AB1009" s="53"/>
      <x:c r="AC1009" s="53"/>
      <x:c r="AD1009" s="53"/>
      <x:c r="AE1009" s="53"/>
      <x:c r="AF1009" s="53"/>
    </x:row>
    <x:row r="1010">
      <x:c r="A1010" s="53"/>
      <x:c r="B1010" s="53"/>
      <x:c r="C1010" s="53"/>
      <x:c r="D1010" s="53"/>
      <x:c r="E1010" s="53"/>
      <x:c r="F1010" s="53"/>
      <x:c r="G1010" s="53"/>
      <x:c r="H1010" s="53"/>
      <x:c r="I1010" s="53"/>
      <x:c r="J1010" s="53"/>
      <x:c r="K1010" s="53"/>
      <x:c r="L1010" s="53"/>
      <x:c r="M1010" s="53"/>
      <x:c r="N1010" s="53"/>
      <x:c r="O1010" s="53"/>
      <x:c r="P1010" s="53"/>
      <x:c r="Q1010" s="53"/>
      <x:c r="R1010" s="53"/>
      <x:c r="S1010" s="53"/>
      <x:c r="T1010" s="53"/>
      <x:c r="U1010" s="53"/>
      <x:c r="V1010" s="53"/>
      <x:c r="W1010" s="53"/>
      <x:c r="X1010" s="53"/>
      <x:c r="Y1010" s="53"/>
      <x:c r="Z1010" s="53"/>
      <x:c r="AA1010" s="53"/>
      <x:c r="AB1010" s="53"/>
      <x:c r="AC1010" s="53"/>
      <x:c r="AD1010" s="53"/>
      <x:c r="AE1010" s="53"/>
      <x:c r="AF1010" s="53"/>
    </x:row>
    <x:row r="1011">
      <x:c r="A1011" s="53"/>
      <x:c r="B1011" s="53"/>
      <x:c r="C1011" s="53"/>
      <x:c r="D1011" s="53"/>
      <x:c r="E1011" s="53"/>
      <x:c r="F1011" s="53"/>
      <x:c r="G1011" s="53"/>
      <x:c r="H1011" s="53"/>
      <x:c r="I1011" s="53"/>
      <x:c r="J1011" s="53"/>
      <x:c r="K1011" s="53"/>
      <x:c r="L1011" s="53"/>
      <x:c r="M1011" s="53"/>
      <x:c r="N1011" s="53"/>
      <x:c r="O1011" s="53"/>
      <x:c r="P1011" s="53"/>
      <x:c r="Q1011" s="53"/>
      <x:c r="R1011" s="53"/>
      <x:c r="S1011" s="53"/>
      <x:c r="T1011" s="53"/>
      <x:c r="U1011" s="53"/>
      <x:c r="V1011" s="53"/>
      <x:c r="W1011" s="53"/>
      <x:c r="X1011" s="53"/>
      <x:c r="Y1011" s="53"/>
      <x:c r="Z1011" s="53"/>
      <x:c r="AA1011" s="53"/>
      <x:c r="AB1011" s="53"/>
      <x:c r="AC1011" s="53"/>
      <x:c r="AD1011" s="53"/>
      <x:c r="AE1011" s="53"/>
      <x:c r="AF1011" s="53"/>
    </x:row>
    <x:row r="1012">
      <x:c r="A1012" s="53"/>
      <x:c r="B1012" s="53"/>
      <x:c r="C1012" s="53"/>
      <x:c r="D1012" s="53"/>
      <x:c r="E1012" s="53"/>
      <x:c r="F1012" s="53"/>
      <x:c r="G1012" s="53"/>
      <x:c r="H1012" s="53"/>
      <x:c r="I1012" s="53"/>
      <x:c r="J1012" s="53"/>
      <x:c r="K1012" s="53"/>
      <x:c r="L1012" s="53"/>
      <x:c r="M1012" s="53"/>
      <x:c r="N1012" s="53"/>
      <x:c r="O1012" s="53"/>
      <x:c r="P1012" s="53"/>
      <x:c r="Q1012" s="53"/>
      <x:c r="R1012" s="53"/>
      <x:c r="S1012" s="53"/>
      <x:c r="T1012" s="53"/>
      <x:c r="U1012" s="53"/>
      <x:c r="V1012" s="53"/>
      <x:c r="W1012" s="53"/>
      <x:c r="X1012" s="53"/>
      <x:c r="Y1012" s="53"/>
      <x:c r="Z1012" s="53"/>
      <x:c r="AA1012" s="53"/>
      <x:c r="AB1012" s="53"/>
      <x:c r="AC1012" s="53"/>
      <x:c r="AD1012" s="53"/>
      <x:c r="AE1012" s="53"/>
      <x:c r="AF1012" s="53"/>
    </x:row>
    <x:row r="1013">
      <x:c r="A1013" s="53"/>
      <x:c r="B1013" s="53"/>
      <x:c r="C1013" s="53"/>
      <x:c r="D1013" s="53"/>
      <x:c r="E1013" s="53"/>
      <x:c r="F1013" s="53"/>
      <x:c r="G1013" s="53"/>
      <x:c r="H1013" s="53"/>
      <x:c r="I1013" s="53"/>
      <x:c r="J1013" s="53"/>
      <x:c r="K1013" s="53"/>
      <x:c r="L1013" s="53"/>
      <x:c r="M1013" s="53"/>
      <x:c r="N1013" s="53"/>
      <x:c r="O1013" s="53"/>
      <x:c r="P1013" s="53"/>
      <x:c r="Q1013" s="53"/>
      <x:c r="R1013" s="53"/>
      <x:c r="S1013" s="53"/>
      <x:c r="T1013" s="53"/>
      <x:c r="U1013" s="53"/>
      <x:c r="V1013" s="53"/>
      <x:c r="W1013" s="53"/>
      <x:c r="X1013" s="53"/>
      <x:c r="Y1013" s="53"/>
      <x:c r="Z1013" s="53"/>
      <x:c r="AA1013" s="53"/>
      <x:c r="AB1013" s="53"/>
      <x:c r="AC1013" s="53"/>
      <x:c r="AD1013" s="53"/>
      <x:c r="AE1013" s="53"/>
      <x:c r="AF1013" s="53"/>
    </x:row>
    <x:row r="1014">
      <x:c r="A1014" s="53"/>
      <x:c r="B1014" s="53"/>
      <x:c r="C1014" s="53"/>
      <x:c r="D1014" s="53"/>
      <x:c r="E1014" s="53"/>
      <x:c r="F1014" s="53"/>
      <x:c r="G1014" s="53"/>
      <x:c r="H1014" s="53"/>
      <x:c r="I1014" s="53"/>
      <x:c r="J1014" s="53"/>
      <x:c r="K1014" s="53"/>
      <x:c r="L1014" s="53"/>
      <x:c r="M1014" s="53"/>
      <x:c r="N1014" s="53"/>
      <x:c r="O1014" s="53"/>
      <x:c r="P1014" s="53"/>
      <x:c r="Q1014" s="53"/>
      <x:c r="R1014" s="53"/>
      <x:c r="S1014" s="53"/>
      <x:c r="T1014" s="53"/>
      <x:c r="U1014" s="53"/>
      <x:c r="V1014" s="53"/>
      <x:c r="W1014" s="53"/>
      <x:c r="X1014" s="53"/>
      <x:c r="Y1014" s="53"/>
      <x:c r="Z1014" s="53"/>
      <x:c r="AA1014" s="53"/>
      <x:c r="AB1014" s="53"/>
      <x:c r="AC1014" s="53"/>
      <x:c r="AD1014" s="53"/>
      <x:c r="AE1014" s="53"/>
      <x:c r="AF1014" s="53"/>
    </x:row>
    <x:row r="1015">
      <x:c r="A1015" s="53"/>
      <x:c r="B1015" s="53"/>
      <x:c r="C1015" s="53"/>
      <x:c r="D1015" s="53"/>
      <x:c r="E1015" s="53"/>
      <x:c r="F1015" s="53"/>
      <x:c r="G1015" s="53"/>
      <x:c r="H1015" s="53"/>
      <x:c r="I1015" s="53"/>
      <x:c r="J1015" s="53"/>
      <x:c r="K1015" s="53"/>
      <x:c r="L1015" s="53"/>
      <x:c r="M1015" s="53"/>
      <x:c r="N1015" s="53"/>
      <x:c r="O1015" s="53"/>
      <x:c r="P1015" s="53"/>
      <x:c r="Q1015" s="53"/>
      <x:c r="R1015" s="53"/>
      <x:c r="S1015" s="53"/>
      <x:c r="T1015" s="53"/>
      <x:c r="U1015" s="53"/>
      <x:c r="V1015" s="53"/>
      <x:c r="W1015" s="53"/>
      <x:c r="X1015" s="53"/>
      <x:c r="Y1015" s="53"/>
      <x:c r="Z1015" s="53"/>
      <x:c r="AA1015" s="53"/>
      <x:c r="AB1015" s="53"/>
      <x:c r="AC1015" s="53"/>
      <x:c r="AD1015" s="53"/>
      <x:c r="AE1015" s="53"/>
      <x:c r="AF1015" s="53"/>
    </x:row>
    <x:row r="1016">
      <x:c r="A1016" s="53"/>
      <x:c r="B1016" s="53"/>
      <x:c r="C1016" s="53"/>
      <x:c r="D1016" s="53"/>
      <x:c r="E1016" s="53"/>
      <x:c r="F1016" s="53"/>
      <x:c r="G1016" s="53"/>
      <x:c r="H1016" s="53"/>
      <x:c r="I1016" s="53"/>
      <x:c r="J1016" s="53"/>
      <x:c r="K1016" s="53"/>
      <x:c r="L1016" s="53"/>
      <x:c r="M1016" s="53"/>
      <x:c r="N1016" s="53"/>
      <x:c r="O1016" s="53"/>
      <x:c r="P1016" s="53"/>
      <x:c r="Q1016" s="53"/>
      <x:c r="R1016" s="53"/>
      <x:c r="S1016" s="53"/>
      <x:c r="T1016" s="53"/>
      <x:c r="U1016" s="53"/>
      <x:c r="V1016" s="53"/>
      <x:c r="W1016" s="53"/>
      <x:c r="X1016" s="53"/>
      <x:c r="Y1016" s="53"/>
      <x:c r="Z1016" s="53"/>
      <x:c r="AA1016" s="53"/>
      <x:c r="AB1016" s="53"/>
      <x:c r="AC1016" s="53"/>
      <x:c r="AD1016" s="53"/>
      <x:c r="AE1016" s="53"/>
      <x:c r="AF1016" s="53"/>
    </x:row>
    <x:row r="1017">
      <x:c r="A1017" s="53"/>
      <x:c r="B1017" s="53"/>
      <x:c r="C1017" s="53"/>
      <x:c r="D1017" s="53"/>
      <x:c r="E1017" s="53"/>
      <x:c r="F1017" s="53"/>
      <x:c r="G1017" s="53"/>
      <x:c r="H1017" s="53"/>
      <x:c r="I1017" s="53"/>
      <x:c r="J1017" s="53"/>
      <x:c r="K1017" s="53"/>
      <x:c r="L1017" s="53"/>
      <x:c r="M1017" s="53"/>
      <x:c r="N1017" s="53"/>
      <x:c r="O1017" s="53"/>
      <x:c r="P1017" s="53"/>
      <x:c r="Q1017" s="53"/>
      <x:c r="R1017" s="53"/>
      <x:c r="S1017" s="53"/>
      <x:c r="T1017" s="53"/>
      <x:c r="U1017" s="53"/>
      <x:c r="V1017" s="53"/>
      <x:c r="W1017" s="53"/>
      <x:c r="X1017" s="53"/>
      <x:c r="Y1017" s="53"/>
      <x:c r="Z1017" s="53"/>
      <x:c r="AA1017" s="53"/>
      <x:c r="AB1017" s="53"/>
      <x:c r="AC1017" s="53"/>
      <x:c r="AD1017" s="53"/>
      <x:c r="AE1017" s="53"/>
      <x:c r="AF1017" s="53"/>
    </x:row>
    <x:row r="1018">
      <x:c r="A1018" s="53"/>
      <x:c r="B1018" s="53"/>
      <x:c r="C1018" s="53"/>
      <x:c r="D1018" s="53"/>
      <x:c r="E1018" s="53"/>
      <x:c r="F1018" s="53"/>
      <x:c r="G1018" s="53"/>
      <x:c r="H1018" s="53"/>
      <x:c r="I1018" s="53"/>
      <x:c r="J1018" s="53"/>
      <x:c r="K1018" s="53"/>
      <x:c r="L1018" s="53"/>
      <x:c r="M1018" s="53"/>
      <x:c r="N1018" s="53"/>
      <x:c r="O1018" s="53"/>
      <x:c r="P1018" s="53"/>
      <x:c r="Q1018" s="53"/>
      <x:c r="R1018" s="53"/>
      <x:c r="S1018" s="53"/>
      <x:c r="T1018" s="53"/>
      <x:c r="U1018" s="53"/>
      <x:c r="V1018" s="53"/>
      <x:c r="W1018" s="53"/>
      <x:c r="X1018" s="53"/>
      <x:c r="Y1018" s="53"/>
      <x:c r="Z1018" s="53"/>
      <x:c r="AA1018" s="53"/>
      <x:c r="AB1018" s="53"/>
      <x:c r="AC1018" s="53"/>
      <x:c r="AD1018" s="53"/>
      <x:c r="AE1018" s="53"/>
      <x:c r="AF1018" s="53"/>
    </x:row>
    <x:row r="1019">
      <x:c r="A1019" s="53"/>
      <x:c r="B1019" s="53"/>
      <x:c r="C1019" s="53"/>
      <x:c r="D1019" s="53"/>
      <x:c r="E1019" s="53"/>
      <x:c r="F1019" s="53"/>
      <x:c r="G1019" s="53"/>
      <x:c r="H1019" s="53"/>
      <x:c r="I1019" s="53"/>
      <x:c r="J1019" s="53"/>
      <x:c r="K1019" s="53"/>
      <x:c r="L1019" s="53"/>
      <x:c r="M1019" s="53"/>
      <x:c r="N1019" s="53"/>
      <x:c r="O1019" s="53"/>
      <x:c r="P1019" s="53"/>
      <x:c r="Q1019" s="53"/>
      <x:c r="R1019" s="53"/>
      <x:c r="S1019" s="53"/>
      <x:c r="T1019" s="53"/>
      <x:c r="U1019" s="53"/>
      <x:c r="V1019" s="53"/>
      <x:c r="W1019" s="53"/>
      <x:c r="X1019" s="53"/>
      <x:c r="Y1019" s="53"/>
      <x:c r="Z1019" s="53"/>
      <x:c r="AA1019" s="53"/>
      <x:c r="AB1019" s="53"/>
      <x:c r="AC1019" s="53"/>
      <x:c r="AD1019" s="53"/>
      <x:c r="AE1019" s="53"/>
      <x:c r="AF1019" s="53"/>
    </x:row>
    <x:row r="1020">
      <x:c r="A1020" s="53"/>
      <x:c r="B1020" s="53"/>
      <x:c r="C1020" s="53"/>
      <x:c r="D1020" s="53"/>
      <x:c r="E1020" s="53"/>
      <x:c r="F1020" s="53"/>
      <x:c r="G1020" s="53"/>
      <x:c r="H1020" s="53"/>
      <x:c r="I1020" s="53"/>
      <x:c r="J1020" s="53"/>
      <x:c r="K1020" s="53"/>
      <x:c r="L1020" s="53"/>
      <x:c r="M1020" s="53"/>
      <x:c r="N1020" s="53"/>
      <x:c r="O1020" s="53"/>
      <x:c r="P1020" s="53"/>
      <x:c r="Q1020" s="53"/>
      <x:c r="R1020" s="53"/>
      <x:c r="S1020" s="53"/>
      <x:c r="T1020" s="53"/>
      <x:c r="U1020" s="53"/>
      <x:c r="V1020" s="53"/>
      <x:c r="W1020" s="53"/>
      <x:c r="X1020" s="53"/>
      <x:c r="Y1020" s="53"/>
      <x:c r="Z1020" s="53"/>
      <x:c r="AA1020" s="53"/>
      <x:c r="AB1020" s="53"/>
      <x:c r="AC1020" s="53"/>
      <x:c r="AD1020" s="53"/>
      <x:c r="AE1020" s="53"/>
      <x:c r="AF1020" s="53"/>
    </x:row>
    <x:row r="1021">
      <x:c r="A1021" s="53"/>
      <x:c r="B1021" s="53"/>
      <x:c r="C1021" s="53"/>
      <x:c r="D1021" s="53"/>
      <x:c r="E1021" s="53"/>
      <x:c r="F1021" s="53"/>
      <x:c r="G1021" s="53"/>
      <x:c r="H1021" s="53"/>
      <x:c r="I1021" s="53"/>
      <x:c r="J1021" s="53"/>
      <x:c r="K1021" s="53"/>
      <x:c r="L1021" s="53"/>
      <x:c r="M1021" s="53"/>
      <x:c r="N1021" s="53"/>
      <x:c r="O1021" s="53"/>
      <x:c r="P1021" s="53"/>
      <x:c r="Q1021" s="53"/>
      <x:c r="R1021" s="53"/>
      <x:c r="S1021" s="53"/>
      <x:c r="T1021" s="53"/>
      <x:c r="U1021" s="53"/>
      <x:c r="V1021" s="53"/>
      <x:c r="W1021" s="53"/>
      <x:c r="X1021" s="53"/>
      <x:c r="Y1021" s="53"/>
      <x:c r="Z1021" s="53"/>
      <x:c r="AA1021" s="53"/>
      <x:c r="AB1021" s="53"/>
      <x:c r="AC1021" s="53"/>
      <x:c r="AD1021" s="53"/>
      <x:c r="AE1021" s="53"/>
      <x:c r="AF1021" s="53"/>
    </x:row>
    <x:row r="1022">
      <x:c r="A1022" s="53"/>
      <x:c r="B1022" s="53"/>
      <x:c r="C1022" s="53"/>
      <x:c r="D1022" s="53"/>
      <x:c r="E1022" s="53"/>
      <x:c r="F1022" s="53"/>
      <x:c r="G1022" s="53"/>
      <x:c r="H1022" s="53"/>
      <x:c r="I1022" s="53"/>
      <x:c r="J1022" s="53"/>
      <x:c r="K1022" s="53"/>
      <x:c r="L1022" s="53"/>
      <x:c r="M1022" s="53"/>
      <x:c r="N1022" s="53"/>
      <x:c r="O1022" s="53"/>
      <x:c r="P1022" s="53"/>
      <x:c r="Q1022" s="53"/>
      <x:c r="R1022" s="53"/>
      <x:c r="S1022" s="53"/>
      <x:c r="T1022" s="53"/>
      <x:c r="U1022" s="53"/>
      <x:c r="V1022" s="53"/>
      <x:c r="W1022" s="53"/>
      <x:c r="X1022" s="53"/>
      <x:c r="Y1022" s="53"/>
      <x:c r="Z1022" s="53"/>
      <x:c r="AA1022" s="53"/>
      <x:c r="AB1022" s="53"/>
      <x:c r="AC1022" s="53"/>
      <x:c r="AD1022" s="53"/>
      <x:c r="AE1022" s="53"/>
      <x:c r="AF1022" s="53"/>
    </x:row>
    <x:row r="1023">
      <x:c r="A1023" s="53"/>
      <x:c r="B1023" s="53"/>
      <x:c r="C1023" s="53"/>
      <x:c r="D1023" s="53"/>
      <x:c r="E1023" s="53"/>
      <x:c r="F1023" s="53"/>
      <x:c r="G1023" s="53"/>
      <x:c r="H1023" s="53"/>
      <x:c r="I1023" s="53"/>
      <x:c r="J1023" s="53"/>
      <x:c r="K1023" s="53"/>
      <x:c r="L1023" s="53"/>
      <x:c r="M1023" s="53"/>
      <x:c r="N1023" s="53"/>
      <x:c r="O1023" s="53"/>
      <x:c r="P1023" s="53"/>
      <x:c r="Q1023" s="53"/>
      <x:c r="R1023" s="53"/>
      <x:c r="S1023" s="53"/>
      <x:c r="T1023" s="53"/>
      <x:c r="U1023" s="53"/>
      <x:c r="V1023" s="53"/>
      <x:c r="W1023" s="53"/>
      <x:c r="X1023" s="53"/>
      <x:c r="Y1023" s="53"/>
      <x:c r="Z1023" s="53"/>
      <x:c r="AA1023" s="53"/>
      <x:c r="AB1023" s="53"/>
      <x:c r="AC1023" s="53"/>
      <x:c r="AD1023" s="53"/>
      <x:c r="AE1023" s="53"/>
      <x:c r="AF1023" s="53"/>
    </x:row>
    <x:row r="1024">
      <x:c r="A1024" s="53"/>
      <x:c r="B1024" s="53"/>
      <x:c r="C1024" s="53"/>
      <x:c r="D1024" s="53"/>
      <x:c r="E1024" s="53"/>
      <x:c r="F1024" s="53"/>
      <x:c r="G1024" s="53"/>
      <x:c r="H1024" s="53"/>
      <x:c r="I1024" s="53"/>
      <x:c r="J1024" s="53"/>
      <x:c r="K1024" s="53"/>
      <x:c r="L1024" s="53"/>
      <x:c r="M1024" s="53"/>
      <x:c r="N1024" s="53"/>
      <x:c r="O1024" s="53"/>
      <x:c r="P1024" s="53"/>
      <x:c r="Q1024" s="53"/>
      <x:c r="R1024" s="53"/>
      <x:c r="S1024" s="53"/>
      <x:c r="T1024" s="53"/>
      <x:c r="U1024" s="53"/>
      <x:c r="V1024" s="53"/>
      <x:c r="W1024" s="53"/>
      <x:c r="X1024" s="53"/>
      <x:c r="Y1024" s="53"/>
      <x:c r="Z1024" s="53"/>
      <x:c r="AA1024" s="53"/>
      <x:c r="AB1024" s="53"/>
      <x:c r="AC1024" s="53"/>
      <x:c r="AD1024" s="53"/>
      <x:c r="AE1024" s="53"/>
      <x:c r="AF1024" s="53"/>
    </x:row>
    <x:row r="1025">
      <x:c r="A1025" s="53"/>
      <x:c r="B1025" s="53"/>
      <x:c r="C1025" s="53"/>
      <x:c r="D1025" s="53"/>
      <x:c r="E1025" s="53"/>
      <x:c r="F1025" s="53"/>
      <x:c r="G1025" s="53"/>
      <x:c r="H1025" s="53"/>
      <x:c r="I1025" s="53"/>
      <x:c r="J1025" s="53"/>
      <x:c r="K1025" s="53"/>
      <x:c r="L1025" s="53"/>
      <x:c r="M1025" s="53"/>
      <x:c r="N1025" s="53"/>
      <x:c r="O1025" s="53"/>
      <x:c r="P1025" s="53"/>
      <x:c r="Q1025" s="53"/>
      <x:c r="R1025" s="53"/>
      <x:c r="S1025" s="53"/>
      <x:c r="T1025" s="53"/>
      <x:c r="U1025" s="53"/>
      <x:c r="V1025" s="53"/>
      <x:c r="W1025" s="53"/>
      <x:c r="X1025" s="53"/>
      <x:c r="Y1025" s="53"/>
      <x:c r="Z1025" s="53"/>
      <x:c r="AA1025" s="53"/>
      <x:c r="AB1025" s="53"/>
      <x:c r="AC1025" s="53"/>
      <x:c r="AD1025" s="53"/>
      <x:c r="AE1025" s="53"/>
      <x:c r="AF1025" s="53"/>
    </x:row>
    <x:row r="1026">
      <x:c r="A1026" s="53"/>
      <x:c r="B1026" s="53"/>
      <x:c r="C1026" s="53"/>
      <x:c r="D1026" s="53"/>
      <x:c r="E1026" s="53"/>
      <x:c r="F1026" s="53"/>
      <x:c r="G1026" s="53"/>
      <x:c r="H1026" s="53"/>
      <x:c r="I1026" s="53"/>
      <x:c r="J1026" s="53"/>
      <x:c r="K1026" s="53"/>
      <x:c r="L1026" s="53"/>
      <x:c r="M1026" s="53"/>
      <x:c r="N1026" s="53"/>
      <x:c r="O1026" s="53"/>
      <x:c r="P1026" s="53"/>
      <x:c r="Q1026" s="53"/>
      <x:c r="R1026" s="53"/>
      <x:c r="S1026" s="53"/>
      <x:c r="T1026" s="53"/>
      <x:c r="U1026" s="53"/>
      <x:c r="V1026" s="53"/>
      <x:c r="W1026" s="53"/>
      <x:c r="X1026" s="53"/>
      <x:c r="Y1026" s="53"/>
      <x:c r="Z1026" s="53"/>
      <x:c r="AA1026" s="53"/>
      <x:c r="AB1026" s="53"/>
      <x:c r="AC1026" s="53"/>
      <x:c r="AD1026" s="53"/>
      <x:c r="AE1026" s="53"/>
      <x:c r="AF1026" s="53"/>
    </x:row>
    <x:row r="1027">
      <x:c r="A1027" s="53"/>
      <x:c r="B1027" s="53"/>
      <x:c r="C1027" s="53"/>
      <x:c r="D1027" s="53"/>
      <x:c r="E1027" s="53"/>
      <x:c r="F1027" s="53"/>
      <x:c r="G1027" s="53"/>
      <x:c r="H1027" s="53"/>
      <x:c r="I1027" s="53"/>
      <x:c r="J1027" s="53"/>
      <x:c r="K1027" s="53"/>
      <x:c r="L1027" s="53"/>
      <x:c r="M1027" s="53"/>
      <x:c r="N1027" s="53"/>
      <x:c r="O1027" s="53"/>
      <x:c r="P1027" s="53"/>
      <x:c r="Q1027" s="53"/>
      <x:c r="R1027" s="53"/>
      <x:c r="S1027" s="53"/>
      <x:c r="T1027" s="53"/>
      <x:c r="U1027" s="53"/>
      <x:c r="V1027" s="53"/>
      <x:c r="W1027" s="53"/>
      <x:c r="X1027" s="53"/>
      <x:c r="Y1027" s="53"/>
      <x:c r="Z1027" s="53"/>
      <x:c r="AA1027" s="53"/>
      <x:c r="AB1027" s="53"/>
      <x:c r="AC1027" s="53"/>
      <x:c r="AD1027" s="53"/>
      <x:c r="AE1027" s="53"/>
      <x:c r="AF1027" s="53"/>
    </x:row>
    <x:row r="1028">
      <x:c r="A1028" s="53"/>
      <x:c r="B1028" s="53"/>
      <x:c r="C1028" s="53"/>
      <x:c r="D1028" s="53"/>
      <x:c r="E1028" s="53"/>
      <x:c r="F1028" s="53"/>
      <x:c r="G1028" s="53"/>
      <x:c r="H1028" s="53"/>
      <x:c r="I1028" s="53"/>
      <x:c r="J1028" s="53"/>
      <x:c r="K1028" s="53"/>
      <x:c r="L1028" s="53"/>
      <x:c r="M1028" s="53"/>
      <x:c r="N1028" s="53"/>
      <x:c r="O1028" s="53"/>
      <x:c r="P1028" s="53"/>
      <x:c r="Q1028" s="53"/>
      <x:c r="R1028" s="53"/>
      <x:c r="S1028" s="53"/>
      <x:c r="T1028" s="53"/>
      <x:c r="U1028" s="53"/>
      <x:c r="V1028" s="53"/>
      <x:c r="W1028" s="53"/>
      <x:c r="X1028" s="53"/>
      <x:c r="Y1028" s="53"/>
      <x:c r="Z1028" s="53"/>
      <x:c r="AA1028" s="53"/>
      <x:c r="AB1028" s="53"/>
      <x:c r="AC1028" s="53"/>
      <x:c r="AD1028" s="53"/>
      <x:c r="AE1028" s="53"/>
      <x:c r="AF1028" s="53"/>
    </x:row>
    <x:row r="1029">
      <x:c r="A1029" s="53"/>
      <x:c r="B1029" s="53"/>
      <x:c r="C1029" s="53"/>
      <x:c r="D1029" s="53"/>
      <x:c r="E1029" s="53"/>
      <x:c r="F1029" s="53"/>
      <x:c r="G1029" s="53"/>
      <x:c r="H1029" s="53"/>
      <x:c r="I1029" s="53"/>
      <x:c r="J1029" s="53"/>
      <x:c r="K1029" s="53"/>
      <x:c r="L1029" s="53"/>
      <x:c r="M1029" s="53"/>
      <x:c r="N1029" s="53"/>
      <x:c r="O1029" s="53"/>
      <x:c r="P1029" s="53"/>
      <x:c r="Q1029" s="53"/>
      <x:c r="R1029" s="53"/>
      <x:c r="S1029" s="53"/>
      <x:c r="T1029" s="53"/>
      <x:c r="U1029" s="53"/>
      <x:c r="V1029" s="53"/>
      <x:c r="W1029" s="53"/>
      <x:c r="X1029" s="53"/>
      <x:c r="Y1029" s="53"/>
      <x:c r="Z1029" s="53"/>
      <x:c r="AA1029" s="53"/>
      <x:c r="AB1029" s="53"/>
      <x:c r="AC1029" s="53"/>
      <x:c r="AD1029" s="53"/>
      <x:c r="AE1029" s="53"/>
      <x:c r="AF1029" s="53"/>
    </x:row>
    <x:row r="1030">
      <x:c r="A1030" s="53"/>
      <x:c r="B1030" s="53"/>
      <x:c r="C1030" s="53"/>
      <x:c r="D1030" s="53"/>
      <x:c r="E1030" s="53"/>
      <x:c r="F1030" s="53"/>
      <x:c r="G1030" s="53"/>
      <x:c r="H1030" s="53"/>
      <x:c r="I1030" s="53"/>
      <x:c r="J1030" s="53"/>
      <x:c r="K1030" s="53"/>
      <x:c r="L1030" s="53"/>
      <x:c r="M1030" s="53"/>
      <x:c r="N1030" s="53"/>
      <x:c r="O1030" s="53"/>
      <x:c r="P1030" s="53"/>
      <x:c r="Q1030" s="53"/>
      <x:c r="R1030" s="53"/>
      <x:c r="S1030" s="53"/>
      <x:c r="T1030" s="53"/>
      <x:c r="U1030" s="53"/>
      <x:c r="V1030" s="53"/>
      <x:c r="W1030" s="53"/>
      <x:c r="X1030" s="53"/>
      <x:c r="Y1030" s="53"/>
      <x:c r="Z1030" s="53"/>
      <x:c r="AA1030" s="53"/>
      <x:c r="AB1030" s="53"/>
      <x:c r="AC1030" s="53"/>
      <x:c r="AD1030" s="53"/>
      <x:c r="AE1030" s="53"/>
      <x:c r="AF1030" s="53"/>
    </x:row>
    <x:row r="1031">
      <x:c r="A1031" s="53"/>
      <x:c r="B1031" s="53"/>
      <x:c r="C1031" s="53"/>
      <x:c r="D1031" s="53"/>
      <x:c r="E1031" s="53"/>
      <x:c r="F1031" s="53"/>
      <x:c r="G1031" s="53"/>
      <x:c r="H1031" s="53"/>
      <x:c r="I1031" s="53"/>
      <x:c r="J1031" s="53"/>
      <x:c r="K1031" s="53"/>
      <x:c r="L1031" s="53"/>
      <x:c r="M1031" s="53"/>
      <x:c r="N1031" s="53"/>
      <x:c r="O1031" s="53"/>
      <x:c r="P1031" s="53"/>
      <x:c r="Q1031" s="53"/>
      <x:c r="R1031" s="53"/>
      <x:c r="S1031" s="53"/>
      <x:c r="T1031" s="53"/>
      <x:c r="U1031" s="53"/>
      <x:c r="V1031" s="53"/>
      <x:c r="W1031" s="53"/>
      <x:c r="X1031" s="53"/>
      <x:c r="Y1031" s="53"/>
      <x:c r="Z1031" s="53"/>
      <x:c r="AA1031" s="53"/>
      <x:c r="AB1031" s="53"/>
      <x:c r="AC1031" s="53"/>
      <x:c r="AD1031" s="53"/>
      <x:c r="AE1031" s="53"/>
      <x:c r="AF1031" s="53"/>
    </x:row>
    <x:row r="1032">
      <x:c r="A1032" s="53"/>
      <x:c r="B1032" s="53"/>
      <x:c r="C1032" s="53"/>
      <x:c r="D1032" s="53"/>
      <x:c r="E1032" s="53"/>
      <x:c r="F1032" s="53"/>
      <x:c r="G1032" s="53"/>
      <x:c r="H1032" s="53"/>
      <x:c r="I1032" s="53"/>
      <x:c r="J1032" s="53"/>
      <x:c r="K1032" s="53"/>
      <x:c r="L1032" s="53"/>
      <x:c r="M1032" s="53"/>
      <x:c r="N1032" s="53"/>
      <x:c r="O1032" s="53"/>
      <x:c r="P1032" s="53"/>
      <x:c r="Q1032" s="53"/>
      <x:c r="R1032" s="53"/>
      <x:c r="S1032" s="53"/>
      <x:c r="T1032" s="53"/>
      <x:c r="U1032" s="53"/>
      <x:c r="V1032" s="53"/>
      <x:c r="W1032" s="53"/>
      <x:c r="X1032" s="53"/>
      <x:c r="Y1032" s="53"/>
      <x:c r="Z1032" s="53"/>
      <x:c r="AA1032" s="53"/>
      <x:c r="AB1032" s="53"/>
      <x:c r="AC1032" s="53"/>
      <x:c r="AD1032" s="53"/>
      <x:c r="AE1032" s="53"/>
      <x:c r="AF1032" s="53"/>
    </x:row>
    <x:row r="1033">
      <x:c r="A1033" s="53"/>
      <x:c r="B1033" s="53"/>
      <x:c r="C1033" s="53"/>
      <x:c r="D1033" s="53"/>
      <x:c r="E1033" s="53"/>
      <x:c r="F1033" s="53"/>
      <x:c r="G1033" s="53"/>
      <x:c r="H1033" s="53"/>
      <x:c r="I1033" s="53"/>
      <x:c r="J1033" s="53"/>
      <x:c r="K1033" s="53"/>
      <x:c r="L1033" s="53"/>
      <x:c r="M1033" s="53"/>
      <x:c r="N1033" s="53"/>
      <x:c r="O1033" s="53"/>
      <x:c r="P1033" s="53"/>
      <x:c r="Q1033" s="53"/>
      <x:c r="R1033" s="53"/>
      <x:c r="S1033" s="53"/>
      <x:c r="T1033" s="53"/>
      <x:c r="U1033" s="53"/>
      <x:c r="V1033" s="53"/>
      <x:c r="W1033" s="53"/>
      <x:c r="X1033" s="53"/>
      <x:c r="Y1033" s="53"/>
      <x:c r="Z1033" s="53"/>
      <x:c r="AA1033" s="53"/>
      <x:c r="AB1033" s="53"/>
      <x:c r="AC1033" s="53"/>
      <x:c r="AD1033" s="53"/>
      <x:c r="AE1033" s="53"/>
      <x:c r="AF1033" s="53"/>
    </x:row>
    <x:row r="1034">
      <x:c r="A1034" s="53"/>
      <x:c r="B1034" s="53"/>
      <x:c r="C1034" s="53"/>
      <x:c r="D1034" s="53"/>
      <x:c r="E1034" s="53"/>
      <x:c r="F1034" s="53"/>
      <x:c r="G1034" s="53"/>
      <x:c r="H1034" s="53"/>
      <x:c r="I1034" s="53"/>
      <x:c r="J1034" s="53"/>
      <x:c r="K1034" s="53"/>
      <x:c r="L1034" s="53"/>
      <x:c r="M1034" s="53"/>
      <x:c r="N1034" s="53"/>
      <x:c r="O1034" s="53"/>
      <x:c r="P1034" s="53"/>
      <x:c r="Q1034" s="53"/>
      <x:c r="R1034" s="53"/>
      <x:c r="S1034" s="53"/>
      <x:c r="T1034" s="53"/>
      <x:c r="U1034" s="53"/>
      <x:c r="V1034" s="53"/>
      <x:c r="W1034" s="53"/>
      <x:c r="X1034" s="53"/>
      <x:c r="Y1034" s="53"/>
      <x:c r="Z1034" s="53"/>
      <x:c r="AA1034" s="53"/>
      <x:c r="AB1034" s="53"/>
      <x:c r="AC1034" s="53"/>
      <x:c r="AD1034" s="53"/>
      <x:c r="AE1034" s="53"/>
      <x:c r="AF1034" s="53"/>
    </x:row>
    <x:row r="1035">
      <x:c r="A1035" s="53"/>
      <x:c r="B1035" s="53"/>
      <x:c r="C1035" s="53"/>
      <x:c r="D1035" s="53"/>
      <x:c r="E1035" s="53"/>
      <x:c r="F1035" s="53"/>
      <x:c r="G1035" s="53"/>
      <x:c r="H1035" s="53"/>
      <x:c r="I1035" s="53"/>
      <x:c r="J1035" s="53"/>
      <x:c r="K1035" s="53"/>
      <x:c r="L1035" s="53"/>
      <x:c r="M1035" s="53"/>
      <x:c r="N1035" s="53"/>
      <x:c r="O1035" s="53"/>
      <x:c r="P1035" s="53"/>
      <x:c r="Q1035" s="53"/>
      <x:c r="R1035" s="53"/>
      <x:c r="S1035" s="53"/>
      <x:c r="T1035" s="53"/>
      <x:c r="U1035" s="53"/>
      <x:c r="V1035" s="53"/>
      <x:c r="W1035" s="53"/>
      <x:c r="X1035" s="53"/>
      <x:c r="Y1035" s="53"/>
      <x:c r="Z1035" s="53"/>
      <x:c r="AA1035" s="53"/>
      <x:c r="AB1035" s="53"/>
      <x:c r="AC1035" s="53"/>
      <x:c r="AD1035" s="53"/>
      <x:c r="AE1035" s="53"/>
      <x:c r="AF1035" s="53"/>
    </x:row>
    <x:row r="1036">
      <x:c r="A1036" s="53"/>
      <x:c r="B1036" s="53"/>
      <x:c r="C1036" s="53"/>
      <x:c r="D1036" s="53"/>
      <x:c r="E1036" s="53"/>
      <x:c r="F1036" s="53"/>
      <x:c r="G1036" s="53"/>
      <x:c r="H1036" s="53"/>
      <x:c r="I1036" s="53"/>
      <x:c r="J1036" s="53"/>
      <x:c r="K1036" s="53"/>
      <x:c r="L1036" s="53"/>
      <x:c r="M1036" s="53"/>
      <x:c r="N1036" s="53"/>
      <x:c r="O1036" s="53"/>
      <x:c r="P1036" s="53"/>
      <x:c r="Q1036" s="53"/>
      <x:c r="R1036" s="53"/>
      <x:c r="S1036" s="53"/>
      <x:c r="T1036" s="53"/>
      <x:c r="U1036" s="53"/>
      <x:c r="V1036" s="53"/>
      <x:c r="W1036" s="53"/>
      <x:c r="X1036" s="53"/>
      <x:c r="Y1036" s="53"/>
      <x:c r="Z1036" s="53"/>
      <x:c r="AA1036" s="53"/>
      <x:c r="AB1036" s="53"/>
      <x:c r="AC1036" s="53"/>
      <x:c r="AD1036" s="53"/>
      <x:c r="AE1036" s="53"/>
      <x:c r="AF1036" s="53"/>
    </x:row>
    <x:row r="1037">
      <x:c r="A1037" s="53"/>
      <x:c r="B1037" s="53"/>
      <x:c r="C1037" s="53"/>
      <x:c r="D1037" s="53"/>
      <x:c r="E1037" s="53"/>
      <x:c r="F1037" s="53"/>
      <x:c r="G1037" s="53"/>
      <x:c r="H1037" s="53"/>
      <x:c r="I1037" s="53"/>
      <x:c r="J1037" s="53"/>
      <x:c r="K1037" s="53"/>
      <x:c r="L1037" s="53"/>
      <x:c r="M1037" s="53"/>
      <x:c r="N1037" s="53"/>
      <x:c r="O1037" s="53"/>
      <x:c r="P1037" s="53"/>
      <x:c r="Q1037" s="53"/>
      <x:c r="R1037" s="53"/>
      <x:c r="S1037" s="53"/>
      <x:c r="T1037" s="53"/>
      <x:c r="U1037" s="53"/>
      <x:c r="V1037" s="53"/>
      <x:c r="W1037" s="53"/>
      <x:c r="X1037" s="53"/>
      <x:c r="Y1037" s="53"/>
      <x:c r="Z1037" s="53"/>
      <x:c r="AA1037" s="53"/>
      <x:c r="AB1037" s="53"/>
      <x:c r="AC1037" s="53"/>
      <x:c r="AD1037" s="53"/>
      <x:c r="AE1037" s="53"/>
      <x:c r="AF1037" s="53"/>
    </x:row>
    <x:row r="1038">
      <x:c r="A1038" s="53"/>
      <x:c r="B1038" s="53"/>
      <x:c r="C1038" s="53"/>
      <x:c r="D1038" s="53"/>
      <x:c r="E1038" s="53"/>
      <x:c r="F1038" s="53"/>
      <x:c r="G1038" s="53"/>
      <x:c r="H1038" s="53"/>
      <x:c r="I1038" s="53"/>
      <x:c r="J1038" s="53"/>
      <x:c r="K1038" s="53"/>
      <x:c r="L1038" s="53"/>
      <x:c r="M1038" s="53"/>
      <x:c r="N1038" s="53"/>
      <x:c r="O1038" s="53"/>
      <x:c r="P1038" s="53"/>
      <x:c r="Q1038" s="53"/>
      <x:c r="R1038" s="53"/>
      <x:c r="S1038" s="53"/>
      <x:c r="T1038" s="53"/>
      <x:c r="U1038" s="53"/>
      <x:c r="V1038" s="53"/>
      <x:c r="W1038" s="53"/>
      <x:c r="X1038" s="53"/>
      <x:c r="Y1038" s="53"/>
      <x:c r="Z1038" s="53"/>
      <x:c r="AA1038" s="53"/>
      <x:c r="AB1038" s="53"/>
      <x:c r="AC1038" s="53"/>
      <x:c r="AD1038" s="53"/>
      <x:c r="AE1038" s="53"/>
      <x:c r="AF1038" s="53"/>
    </x:row>
    <x:row r="1039">
      <x:c r="A1039" s="53"/>
      <x:c r="B1039" s="53"/>
      <x:c r="C1039" s="53"/>
      <x:c r="D1039" s="53"/>
      <x:c r="E1039" s="53"/>
      <x:c r="F1039" s="53"/>
      <x:c r="G1039" s="53"/>
      <x:c r="H1039" s="53"/>
      <x:c r="I1039" s="53"/>
      <x:c r="J1039" s="53"/>
      <x:c r="K1039" s="53"/>
      <x:c r="L1039" s="53"/>
      <x:c r="M1039" s="53"/>
      <x:c r="N1039" s="53"/>
      <x:c r="O1039" s="53"/>
      <x:c r="P1039" s="53"/>
      <x:c r="Q1039" s="53"/>
      <x:c r="R1039" s="53"/>
      <x:c r="S1039" s="53"/>
      <x:c r="T1039" s="53"/>
      <x:c r="U1039" s="53"/>
      <x:c r="V1039" s="53"/>
      <x:c r="W1039" s="53"/>
      <x:c r="X1039" s="53"/>
      <x:c r="Y1039" s="53"/>
      <x:c r="Z1039" s="53"/>
      <x:c r="AA1039" s="53"/>
      <x:c r="AB1039" s="53"/>
      <x:c r="AC1039" s="53"/>
      <x:c r="AD1039" s="53"/>
      <x:c r="AE1039" s="53"/>
      <x:c r="AF1039" s="53"/>
    </x:row>
    <x:row r="1040">
      <x:c r="A1040" s="53"/>
      <x:c r="B1040" s="53"/>
      <x:c r="C1040" s="53"/>
      <x:c r="D1040" s="53"/>
      <x:c r="E1040" s="53"/>
      <x:c r="F1040" s="53"/>
      <x:c r="G1040" s="53"/>
      <x:c r="H1040" s="53"/>
      <x:c r="I1040" s="53"/>
      <x:c r="J1040" s="53"/>
      <x:c r="K1040" s="53"/>
      <x:c r="L1040" s="53"/>
      <x:c r="M1040" s="53"/>
      <x:c r="N1040" s="53"/>
      <x:c r="O1040" s="53"/>
      <x:c r="P1040" s="53"/>
      <x:c r="Q1040" s="53"/>
      <x:c r="R1040" s="53"/>
      <x:c r="S1040" s="53"/>
      <x:c r="T1040" s="53"/>
      <x:c r="U1040" s="53"/>
      <x:c r="V1040" s="53"/>
      <x:c r="W1040" s="53"/>
      <x:c r="X1040" s="53"/>
      <x:c r="Y1040" s="53"/>
      <x:c r="Z1040" s="53"/>
      <x:c r="AA1040" s="53"/>
      <x:c r="AB1040" s="53"/>
      <x:c r="AC1040" s="53"/>
      <x:c r="AD1040" s="53"/>
      <x:c r="AE1040" s="53"/>
      <x:c r="AF1040" s="53"/>
    </x:row>
    <x:row r="1041">
      <x:c r="A1041" s="53"/>
      <x:c r="B1041" s="53"/>
      <x:c r="C1041" s="53"/>
      <x:c r="D1041" s="53"/>
      <x:c r="E1041" s="53"/>
      <x:c r="F1041" s="53"/>
      <x:c r="G1041" s="53"/>
      <x:c r="H1041" s="53"/>
      <x:c r="I1041" s="53"/>
      <x:c r="J1041" s="53"/>
      <x:c r="K1041" s="53"/>
      <x:c r="L1041" s="53"/>
      <x:c r="M1041" s="53"/>
      <x:c r="N1041" s="53"/>
      <x:c r="O1041" s="53"/>
      <x:c r="P1041" s="53"/>
      <x:c r="Q1041" s="53"/>
      <x:c r="R1041" s="53"/>
      <x:c r="S1041" s="53"/>
      <x:c r="T1041" s="53"/>
      <x:c r="U1041" s="53"/>
      <x:c r="V1041" s="53"/>
      <x:c r="W1041" s="53"/>
      <x:c r="X1041" s="53"/>
      <x:c r="Y1041" s="53"/>
      <x:c r="Z1041" s="53"/>
      <x:c r="AA1041" s="53"/>
      <x:c r="AB1041" s="53"/>
      <x:c r="AC1041" s="53"/>
      <x:c r="AD1041" s="53"/>
      <x:c r="AE1041" s="53"/>
      <x:c r="AF1041" s="53"/>
    </x:row>
    <x:row r="1042">
      <x:c r="A1042" s="53"/>
      <x:c r="B1042" s="53"/>
      <x:c r="C1042" s="53"/>
      <x:c r="D1042" s="53"/>
      <x:c r="E1042" s="53"/>
      <x:c r="F1042" s="53"/>
      <x:c r="G1042" s="53"/>
      <x:c r="H1042" s="53"/>
      <x:c r="I1042" s="53"/>
      <x:c r="J1042" s="53"/>
      <x:c r="K1042" s="53"/>
      <x:c r="L1042" s="53"/>
      <x:c r="M1042" s="53"/>
      <x:c r="N1042" s="53"/>
      <x:c r="O1042" s="53"/>
      <x:c r="P1042" s="53"/>
      <x:c r="Q1042" s="53"/>
      <x:c r="R1042" s="53"/>
      <x:c r="S1042" s="53"/>
      <x:c r="T1042" s="53"/>
      <x:c r="U1042" s="53"/>
      <x:c r="V1042" s="53"/>
      <x:c r="W1042" s="53"/>
      <x:c r="X1042" s="53"/>
      <x:c r="Y1042" s="53"/>
      <x:c r="Z1042" s="53"/>
      <x:c r="AA1042" s="53"/>
      <x:c r="AB1042" s="53"/>
      <x:c r="AC1042" s="53"/>
      <x:c r="AD1042" s="53"/>
      <x:c r="AE1042" s="53"/>
      <x:c r="AF1042" s="53"/>
    </x:row>
    <x:row r="1043">
      <x:c r="A1043" s="53"/>
      <x:c r="B1043" s="53"/>
      <x:c r="C1043" s="53"/>
      <x:c r="D1043" s="53"/>
      <x:c r="E1043" s="53"/>
      <x:c r="F1043" s="53"/>
      <x:c r="G1043" s="53"/>
      <x:c r="H1043" s="53"/>
      <x:c r="I1043" s="53"/>
      <x:c r="J1043" s="53"/>
      <x:c r="K1043" s="53"/>
      <x:c r="L1043" s="53"/>
      <x:c r="M1043" s="53"/>
      <x:c r="N1043" s="53"/>
      <x:c r="O1043" s="53"/>
      <x:c r="P1043" s="53"/>
      <x:c r="Q1043" s="53"/>
      <x:c r="R1043" s="53"/>
      <x:c r="S1043" s="53"/>
      <x:c r="T1043" s="53"/>
      <x:c r="U1043" s="53"/>
      <x:c r="V1043" s="53"/>
      <x:c r="W1043" s="53"/>
      <x:c r="X1043" s="53"/>
      <x:c r="Y1043" s="53"/>
      <x:c r="Z1043" s="53"/>
      <x:c r="AA1043" s="53"/>
      <x:c r="AB1043" s="53"/>
      <x:c r="AC1043" s="53"/>
      <x:c r="AD1043" s="53"/>
      <x:c r="AE1043" s="53"/>
      <x:c r="AF1043" s="53"/>
    </x:row>
    <x:row r="1044">
      <x:c r="A1044" s="53"/>
      <x:c r="B1044" s="53"/>
      <x:c r="C1044" s="53"/>
      <x:c r="D1044" s="53"/>
      <x:c r="E1044" s="53"/>
      <x:c r="F1044" s="53"/>
      <x:c r="G1044" s="53"/>
      <x:c r="H1044" s="53"/>
      <x:c r="I1044" s="53"/>
      <x:c r="J1044" s="53"/>
      <x:c r="K1044" s="53"/>
      <x:c r="L1044" s="53"/>
      <x:c r="M1044" s="53"/>
      <x:c r="N1044" s="53"/>
      <x:c r="O1044" s="53"/>
      <x:c r="P1044" s="53"/>
      <x:c r="Q1044" s="53"/>
      <x:c r="R1044" s="53"/>
      <x:c r="S1044" s="53"/>
      <x:c r="T1044" s="53"/>
      <x:c r="U1044" s="53"/>
      <x:c r="V1044" s="53"/>
      <x:c r="W1044" s="53"/>
      <x:c r="X1044" s="53"/>
      <x:c r="Y1044" s="53"/>
      <x:c r="Z1044" s="53"/>
      <x:c r="AA1044" s="53"/>
      <x:c r="AB1044" s="53"/>
      <x:c r="AC1044" s="53"/>
      <x:c r="AD1044" s="53"/>
      <x:c r="AE1044" s="53"/>
      <x:c r="AF1044" s="53"/>
    </x:row>
    <x:row r="1045">
      <x:c r="A1045" s="53"/>
      <x:c r="B1045" s="53"/>
      <x:c r="C1045" s="53"/>
      <x:c r="D1045" s="53"/>
      <x:c r="E1045" s="53"/>
      <x:c r="F1045" s="53"/>
      <x:c r="G1045" s="53"/>
      <x:c r="H1045" s="53"/>
      <x:c r="I1045" s="53"/>
      <x:c r="J1045" s="53"/>
      <x:c r="K1045" s="53"/>
      <x:c r="L1045" s="53"/>
      <x:c r="M1045" s="53"/>
      <x:c r="N1045" s="53"/>
      <x:c r="O1045" s="53"/>
      <x:c r="P1045" s="53"/>
      <x:c r="Q1045" s="53"/>
      <x:c r="R1045" s="53"/>
      <x:c r="S1045" s="53"/>
      <x:c r="T1045" s="53"/>
      <x:c r="U1045" s="53"/>
      <x:c r="V1045" s="53"/>
      <x:c r="W1045" s="53"/>
      <x:c r="X1045" s="53"/>
      <x:c r="Y1045" s="53"/>
      <x:c r="Z1045" s="53"/>
      <x:c r="AA1045" s="53"/>
      <x:c r="AB1045" s="53"/>
      <x:c r="AC1045" s="53"/>
      <x:c r="AD1045" s="53"/>
      <x:c r="AE1045" s="53"/>
      <x:c r="AF1045" s="53"/>
    </x:row>
    <x:row r="1046">
      <x:c r="A1046" s="53"/>
      <x:c r="B1046" s="53"/>
      <x:c r="C1046" s="53"/>
      <x:c r="D1046" s="53"/>
      <x:c r="E1046" s="53"/>
      <x:c r="F1046" s="53"/>
      <x:c r="G1046" s="53"/>
      <x:c r="H1046" s="53"/>
      <x:c r="I1046" s="53"/>
      <x:c r="J1046" s="53"/>
      <x:c r="K1046" s="53"/>
      <x:c r="L1046" s="53"/>
      <x:c r="M1046" s="53"/>
      <x:c r="N1046" s="53"/>
      <x:c r="O1046" s="53"/>
      <x:c r="P1046" s="53"/>
      <x:c r="Q1046" s="53"/>
      <x:c r="R1046" s="53"/>
      <x:c r="S1046" s="53"/>
      <x:c r="T1046" s="53"/>
      <x:c r="U1046" s="53"/>
      <x:c r="V1046" s="53"/>
      <x:c r="W1046" s="53"/>
      <x:c r="X1046" s="53"/>
      <x:c r="Y1046" s="53"/>
      <x:c r="Z1046" s="53"/>
      <x:c r="AA1046" s="53"/>
      <x:c r="AB1046" s="53"/>
      <x:c r="AC1046" s="53"/>
      <x:c r="AD1046" s="53"/>
      <x:c r="AE1046" s="53"/>
      <x:c r="AF1046" s="53"/>
    </x:row>
    <x:row r="1047">
      <x:c r="A1047" s="53"/>
      <x:c r="B1047" s="53"/>
      <x:c r="C1047" s="53"/>
      <x:c r="D1047" s="53"/>
      <x:c r="E1047" s="53"/>
      <x:c r="F1047" s="53"/>
      <x:c r="G1047" s="53"/>
      <x:c r="H1047" s="53"/>
      <x:c r="I1047" s="53"/>
      <x:c r="J1047" s="53"/>
      <x:c r="K1047" s="53"/>
      <x:c r="L1047" s="53"/>
      <x:c r="M1047" s="53"/>
      <x:c r="N1047" s="53"/>
      <x:c r="O1047" s="53"/>
      <x:c r="P1047" s="53"/>
      <x:c r="Q1047" s="53"/>
      <x:c r="R1047" s="53"/>
      <x:c r="S1047" s="53"/>
      <x:c r="T1047" s="53"/>
      <x:c r="U1047" s="53"/>
      <x:c r="V1047" s="53"/>
      <x:c r="W1047" s="53"/>
      <x:c r="X1047" s="53"/>
      <x:c r="Y1047" s="53"/>
      <x:c r="Z1047" s="53"/>
      <x:c r="AA1047" s="53"/>
      <x:c r="AB1047" s="53"/>
      <x:c r="AC1047" s="53"/>
      <x:c r="AD1047" s="53"/>
      <x:c r="AE1047" s="53"/>
      <x:c r="AF1047" s="53"/>
    </x:row>
    <x:row r="1048">
      <x:c r="A1048" s="53"/>
      <x:c r="B1048" s="53"/>
      <x:c r="C1048" s="53"/>
      <x:c r="D1048" s="53"/>
      <x:c r="E1048" s="53"/>
      <x:c r="F1048" s="53"/>
      <x:c r="G1048" s="53"/>
      <x:c r="H1048" s="53"/>
      <x:c r="I1048" s="53"/>
      <x:c r="J1048" s="53"/>
      <x:c r="K1048" s="53"/>
      <x:c r="L1048" s="53"/>
      <x:c r="M1048" s="53"/>
      <x:c r="N1048" s="53"/>
      <x:c r="O1048" s="53"/>
      <x:c r="P1048" s="53"/>
      <x:c r="Q1048" s="53"/>
      <x:c r="R1048" s="53"/>
      <x:c r="S1048" s="53"/>
      <x:c r="T1048" s="53"/>
      <x:c r="U1048" s="53"/>
      <x:c r="V1048" s="53"/>
      <x:c r="W1048" s="53"/>
      <x:c r="X1048" s="53"/>
      <x:c r="Y1048" s="53"/>
      <x:c r="Z1048" s="53"/>
      <x:c r="AA1048" s="53"/>
      <x:c r="AB1048" s="53"/>
      <x:c r="AC1048" s="53"/>
      <x:c r="AD1048" s="53"/>
      <x:c r="AE1048" s="53"/>
      <x:c r="AF1048" s="53"/>
    </x:row>
    <x:row r="1049">
      <x:c r="A1049" s="53"/>
      <x:c r="B1049" s="53"/>
      <x:c r="C1049" s="53"/>
      <x:c r="D1049" s="53"/>
      <x:c r="E1049" s="53"/>
      <x:c r="F1049" s="53"/>
      <x:c r="G1049" s="53"/>
      <x:c r="H1049" s="53"/>
      <x:c r="I1049" s="53"/>
      <x:c r="J1049" s="53"/>
      <x:c r="K1049" s="53"/>
      <x:c r="L1049" s="53"/>
      <x:c r="M1049" s="53"/>
      <x:c r="N1049" s="53"/>
      <x:c r="O1049" s="53"/>
      <x:c r="P1049" s="53"/>
      <x:c r="Q1049" s="53"/>
      <x:c r="R1049" s="53"/>
      <x:c r="S1049" s="53"/>
      <x:c r="T1049" s="53"/>
      <x:c r="U1049" s="53"/>
      <x:c r="V1049" s="53"/>
      <x:c r="W1049" s="53"/>
      <x:c r="X1049" s="53"/>
      <x:c r="Y1049" s="53"/>
      <x:c r="Z1049" s="53"/>
      <x:c r="AA1049" s="53"/>
      <x:c r="AB1049" s="53"/>
      <x:c r="AC1049" s="53"/>
      <x:c r="AD1049" s="53"/>
      <x:c r="AE1049" s="53"/>
      <x:c r="AF1049" s="53"/>
    </x:row>
    <x:row r="1050">
      <x:c r="A1050" s="53"/>
      <x:c r="B1050" s="53"/>
      <x:c r="C1050" s="53"/>
      <x:c r="D1050" s="53"/>
      <x:c r="E1050" s="53"/>
      <x:c r="F1050" s="53"/>
      <x:c r="G1050" s="53"/>
      <x:c r="H1050" s="53"/>
      <x:c r="I1050" s="53"/>
      <x:c r="J1050" s="53"/>
      <x:c r="K1050" s="53"/>
      <x:c r="L1050" s="53"/>
      <x:c r="M1050" s="53"/>
      <x:c r="N1050" s="53"/>
      <x:c r="O1050" s="53"/>
      <x:c r="P1050" s="53"/>
      <x:c r="Q1050" s="53"/>
      <x:c r="R1050" s="53"/>
      <x:c r="S1050" s="53"/>
      <x:c r="T1050" s="53"/>
      <x:c r="U1050" s="53"/>
      <x:c r="V1050" s="53"/>
      <x:c r="W1050" s="53"/>
      <x:c r="X1050" s="53"/>
      <x:c r="Y1050" s="53"/>
      <x:c r="Z1050" s="53"/>
      <x:c r="AA1050" s="53"/>
      <x:c r="AB1050" s="53"/>
      <x:c r="AC1050" s="53"/>
      <x:c r="AD1050" s="53"/>
      <x:c r="AE1050" s="53"/>
      <x:c r="AF1050" s="53"/>
    </x:row>
    <x:row r="1051">
      <x:c r="A1051" s="53"/>
      <x:c r="B1051" s="53"/>
      <x:c r="C1051" s="53"/>
      <x:c r="D1051" s="53"/>
      <x:c r="E1051" s="53"/>
      <x:c r="F1051" s="53"/>
      <x:c r="G1051" s="53"/>
      <x:c r="H1051" s="53"/>
      <x:c r="I1051" s="53"/>
      <x:c r="J1051" s="53"/>
      <x:c r="K1051" s="53"/>
      <x:c r="L1051" s="53"/>
      <x:c r="M1051" s="53"/>
      <x:c r="N1051" s="53"/>
      <x:c r="O1051" s="53"/>
      <x:c r="P1051" s="53"/>
      <x:c r="Q1051" s="53"/>
      <x:c r="R1051" s="53"/>
      <x:c r="S1051" s="53"/>
      <x:c r="T1051" s="53"/>
      <x:c r="U1051" s="53"/>
      <x:c r="V1051" s="53"/>
      <x:c r="W1051" s="53"/>
      <x:c r="X1051" s="53"/>
      <x:c r="Y1051" s="53"/>
      <x:c r="Z1051" s="53"/>
      <x:c r="AA1051" s="53"/>
      <x:c r="AB1051" s="53"/>
      <x:c r="AC1051" s="53"/>
      <x:c r="AD1051" s="53"/>
      <x:c r="AE1051" s="53"/>
      <x:c r="AF1051" s="53"/>
    </x:row>
    <x:row r="1052">
      <x:c r="A1052" s="53"/>
      <x:c r="B1052" s="53"/>
      <x:c r="C1052" s="53"/>
      <x:c r="D1052" s="53"/>
      <x:c r="E1052" s="53"/>
      <x:c r="F1052" s="53"/>
      <x:c r="G1052" s="53"/>
      <x:c r="H1052" s="53"/>
      <x:c r="I1052" s="53"/>
      <x:c r="J1052" s="53"/>
      <x:c r="K1052" s="53"/>
      <x:c r="L1052" s="53"/>
      <x:c r="M1052" s="53"/>
      <x:c r="N1052" s="53"/>
      <x:c r="O1052" s="53"/>
      <x:c r="P1052" s="53"/>
      <x:c r="Q1052" s="53"/>
      <x:c r="R1052" s="53"/>
      <x:c r="S1052" s="53"/>
      <x:c r="T1052" s="53"/>
      <x:c r="U1052" s="53"/>
      <x:c r="V1052" s="53"/>
      <x:c r="W1052" s="53"/>
      <x:c r="X1052" s="53"/>
      <x:c r="Y1052" s="53"/>
      <x:c r="Z1052" s="53"/>
      <x:c r="AA1052" s="53"/>
      <x:c r="AB1052" s="53"/>
      <x:c r="AC1052" s="53"/>
      <x:c r="AD1052" s="53"/>
      <x:c r="AE1052" s="53"/>
      <x:c r="AF1052" s="53"/>
    </x:row>
    <x:row r="1053">
      <x:c r="A1053" s="53"/>
      <x:c r="B1053" s="53"/>
      <x:c r="C1053" s="53"/>
      <x:c r="D1053" s="53"/>
      <x:c r="E1053" s="53"/>
      <x:c r="F1053" s="53"/>
      <x:c r="G1053" s="53"/>
      <x:c r="H1053" s="53"/>
      <x:c r="I1053" s="53"/>
      <x:c r="J1053" s="53"/>
      <x:c r="K1053" s="53"/>
      <x:c r="L1053" s="53"/>
      <x:c r="M1053" s="53"/>
      <x:c r="N1053" s="53"/>
      <x:c r="O1053" s="53"/>
      <x:c r="P1053" s="53"/>
      <x:c r="Q1053" s="53"/>
      <x:c r="R1053" s="53"/>
      <x:c r="S1053" s="53"/>
      <x:c r="T1053" s="53"/>
      <x:c r="U1053" s="53"/>
      <x:c r="V1053" s="53"/>
      <x:c r="W1053" s="53"/>
      <x:c r="X1053" s="53"/>
      <x:c r="Y1053" s="53"/>
      <x:c r="Z1053" s="53"/>
      <x:c r="AA1053" s="53"/>
      <x:c r="AB1053" s="53"/>
      <x:c r="AC1053" s="53"/>
      <x:c r="AD1053" s="53"/>
      <x:c r="AE1053" s="53"/>
      <x:c r="AF1053" s="53"/>
    </x:row>
    <x:row r="1054">
      <x:c r="A1054" s="53"/>
      <x:c r="B1054" s="53"/>
      <x:c r="C1054" s="53"/>
      <x:c r="D1054" s="53"/>
      <x:c r="E1054" s="53"/>
      <x:c r="F1054" s="53"/>
      <x:c r="G1054" s="53"/>
      <x:c r="H1054" s="53"/>
      <x:c r="I1054" s="53"/>
      <x:c r="J1054" s="53"/>
      <x:c r="K1054" s="53"/>
      <x:c r="L1054" s="53"/>
      <x:c r="M1054" s="53"/>
      <x:c r="N1054" s="53"/>
      <x:c r="O1054" s="53"/>
      <x:c r="P1054" s="53"/>
      <x:c r="Q1054" s="53"/>
      <x:c r="R1054" s="53"/>
      <x:c r="S1054" s="53"/>
      <x:c r="T1054" s="53"/>
      <x:c r="U1054" s="53"/>
      <x:c r="V1054" s="53"/>
      <x:c r="W1054" s="53"/>
      <x:c r="X1054" s="53"/>
      <x:c r="Y1054" s="53"/>
      <x:c r="Z1054" s="53"/>
      <x:c r="AA1054" s="53"/>
      <x:c r="AB1054" s="53"/>
      <x:c r="AC1054" s="53"/>
      <x:c r="AD1054" s="53"/>
      <x:c r="AE1054" s="53"/>
      <x:c r="AF1054" s="53"/>
    </x:row>
    <x:row r="1055">
      <x:c r="A1055" s="53"/>
      <x:c r="B1055" s="53"/>
      <x:c r="C1055" s="53"/>
      <x:c r="D1055" s="53"/>
      <x:c r="E1055" s="53"/>
      <x:c r="F1055" s="53"/>
      <x:c r="G1055" s="53"/>
      <x:c r="H1055" s="53"/>
      <x:c r="I1055" s="53"/>
      <x:c r="J1055" s="53"/>
      <x:c r="K1055" s="53"/>
      <x:c r="L1055" s="53"/>
      <x:c r="M1055" s="53"/>
      <x:c r="N1055" s="53"/>
      <x:c r="O1055" s="53"/>
      <x:c r="P1055" s="53"/>
      <x:c r="Q1055" s="53"/>
      <x:c r="R1055" s="53"/>
      <x:c r="S1055" s="53"/>
      <x:c r="T1055" s="53"/>
      <x:c r="U1055" s="53"/>
      <x:c r="V1055" s="53"/>
      <x:c r="W1055" s="53"/>
      <x:c r="X1055" s="53"/>
      <x:c r="Y1055" s="53"/>
      <x:c r="Z1055" s="53"/>
      <x:c r="AA1055" s="53"/>
      <x:c r="AB1055" s="53"/>
      <x:c r="AC1055" s="53"/>
      <x:c r="AD1055" s="53"/>
      <x:c r="AE1055" s="53"/>
      <x:c r="AF1055" s="53"/>
    </x:row>
    <x:row r="1056">
      <x:c r="A1056" s="53"/>
      <x:c r="B1056" s="53"/>
      <x:c r="C1056" s="53"/>
      <x:c r="D1056" s="53"/>
      <x:c r="E1056" s="53"/>
      <x:c r="F1056" s="53"/>
      <x:c r="G1056" s="53"/>
      <x:c r="H1056" s="53"/>
      <x:c r="I1056" s="53"/>
      <x:c r="J1056" s="53"/>
      <x:c r="K1056" s="53"/>
      <x:c r="L1056" s="53"/>
      <x:c r="M1056" s="53"/>
      <x:c r="N1056" s="53"/>
      <x:c r="O1056" s="53"/>
      <x:c r="P1056" s="53"/>
      <x:c r="Q1056" s="53"/>
      <x:c r="R1056" s="53"/>
      <x:c r="S1056" s="53"/>
      <x:c r="T1056" s="53"/>
      <x:c r="U1056" s="53"/>
      <x:c r="V1056" s="53"/>
      <x:c r="W1056" s="53"/>
      <x:c r="X1056" s="53"/>
      <x:c r="Y1056" s="53"/>
      <x:c r="Z1056" s="53"/>
      <x:c r="AA1056" s="53"/>
      <x:c r="AB1056" s="53"/>
      <x:c r="AC1056" s="53"/>
      <x:c r="AD1056" s="53"/>
      <x:c r="AE1056" s="53"/>
      <x:c r="AF1056" s="53"/>
    </x:row>
    <x:row r="1057">
      <x:c r="A1057" s="53"/>
      <x:c r="B1057" s="53"/>
      <x:c r="C1057" s="53"/>
      <x:c r="D1057" s="53"/>
      <x:c r="E1057" s="53"/>
      <x:c r="F1057" s="53"/>
      <x:c r="G1057" s="53"/>
      <x:c r="H1057" s="53"/>
      <x:c r="I1057" s="53"/>
      <x:c r="J1057" s="53"/>
      <x:c r="K1057" s="53"/>
      <x:c r="L1057" s="53"/>
      <x:c r="M1057" s="53"/>
      <x:c r="N1057" s="53"/>
      <x:c r="O1057" s="53"/>
      <x:c r="P1057" s="53"/>
      <x:c r="Q1057" s="53"/>
      <x:c r="R1057" s="53"/>
      <x:c r="S1057" s="53"/>
      <x:c r="T1057" s="53"/>
      <x:c r="U1057" s="53"/>
      <x:c r="V1057" s="53"/>
      <x:c r="W1057" s="53"/>
      <x:c r="X1057" s="53"/>
      <x:c r="Y1057" s="53"/>
      <x:c r="Z1057" s="53"/>
      <x:c r="AA1057" s="53"/>
      <x:c r="AB1057" s="53"/>
      <x:c r="AC1057" s="53"/>
      <x:c r="AD1057" s="53"/>
      <x:c r="AE1057" s="53"/>
      <x:c r="AF1057" s="53"/>
    </x:row>
    <x:row r="1058">
      <x:c r="A1058" s="53"/>
      <x:c r="B1058" s="53"/>
      <x:c r="C1058" s="53"/>
      <x:c r="D1058" s="53"/>
      <x:c r="E1058" s="53"/>
      <x:c r="F1058" s="53"/>
      <x:c r="G1058" s="53"/>
      <x:c r="H1058" s="53"/>
      <x:c r="I1058" s="53"/>
      <x:c r="J1058" s="53"/>
      <x:c r="K1058" s="53"/>
      <x:c r="L1058" s="53"/>
      <x:c r="M1058" s="53"/>
      <x:c r="N1058" s="53"/>
      <x:c r="O1058" s="53"/>
      <x:c r="P1058" s="53"/>
      <x:c r="Q1058" s="53"/>
      <x:c r="R1058" s="53"/>
      <x:c r="S1058" s="53"/>
      <x:c r="T1058" s="53"/>
      <x:c r="U1058" s="53"/>
      <x:c r="V1058" s="53"/>
      <x:c r="W1058" s="53"/>
      <x:c r="X1058" s="53"/>
      <x:c r="Y1058" s="53"/>
      <x:c r="Z1058" s="53"/>
      <x:c r="AA1058" s="53"/>
      <x:c r="AB1058" s="53"/>
      <x:c r="AC1058" s="53"/>
      <x:c r="AD1058" s="53"/>
      <x:c r="AE1058" s="53"/>
      <x:c r="AF1058" s="53"/>
    </x:row>
    <x:row r="1059">
      <x:c r="A1059" s="53"/>
      <x:c r="B1059" s="53"/>
      <x:c r="C1059" s="53"/>
      <x:c r="D1059" s="53"/>
      <x:c r="E1059" s="53"/>
      <x:c r="F1059" s="53"/>
      <x:c r="G1059" s="53"/>
      <x:c r="H1059" s="53"/>
      <x:c r="I1059" s="53"/>
      <x:c r="J1059" s="53"/>
      <x:c r="K1059" s="53"/>
      <x:c r="L1059" s="53"/>
      <x:c r="M1059" s="53"/>
      <x:c r="N1059" s="53"/>
      <x:c r="O1059" s="53"/>
      <x:c r="P1059" s="53"/>
      <x:c r="Q1059" s="53"/>
      <x:c r="R1059" s="53"/>
      <x:c r="S1059" s="53"/>
      <x:c r="T1059" s="53"/>
      <x:c r="U1059" s="53"/>
      <x:c r="V1059" s="53"/>
      <x:c r="W1059" s="53"/>
      <x:c r="X1059" s="53"/>
      <x:c r="Y1059" s="53"/>
      <x:c r="Z1059" s="53"/>
      <x:c r="AA1059" s="53"/>
      <x:c r="AB1059" s="53"/>
      <x:c r="AC1059" s="53"/>
      <x:c r="AD1059" s="53"/>
      <x:c r="AE1059" s="53"/>
      <x:c r="AF1059" s="53"/>
    </x:row>
    <x:row r="1060">
      <x:c r="A1060" s="53"/>
      <x:c r="B1060" s="53"/>
      <x:c r="C1060" s="53"/>
      <x:c r="D1060" s="53"/>
      <x:c r="E1060" s="53"/>
      <x:c r="F1060" s="53"/>
      <x:c r="G1060" s="53"/>
      <x:c r="H1060" s="53"/>
      <x:c r="I1060" s="53"/>
      <x:c r="J1060" s="53"/>
      <x:c r="K1060" s="53"/>
      <x:c r="L1060" s="53"/>
      <x:c r="M1060" s="53"/>
      <x:c r="N1060" s="53"/>
      <x:c r="O1060" s="53"/>
      <x:c r="P1060" s="53"/>
      <x:c r="Q1060" s="53"/>
      <x:c r="R1060" s="53"/>
      <x:c r="S1060" s="53"/>
      <x:c r="T1060" s="53"/>
      <x:c r="U1060" s="53"/>
      <x:c r="V1060" s="53"/>
      <x:c r="W1060" s="53"/>
      <x:c r="X1060" s="53"/>
      <x:c r="Y1060" s="53"/>
      <x:c r="Z1060" s="53"/>
      <x:c r="AA1060" s="53"/>
      <x:c r="AB1060" s="53"/>
      <x:c r="AC1060" s="53"/>
      <x:c r="AD1060" s="53"/>
      <x:c r="AE1060" s="53"/>
      <x:c r="AF1060" s="53"/>
    </x:row>
    <x:row r="1061">
      <x:c r="A1061" s="53"/>
      <x:c r="B1061" s="53"/>
      <x:c r="C1061" s="53"/>
      <x:c r="D1061" s="53"/>
      <x:c r="E1061" s="53"/>
      <x:c r="F1061" s="53"/>
      <x:c r="G1061" s="53"/>
      <x:c r="H1061" s="53"/>
      <x:c r="I1061" s="53"/>
      <x:c r="J1061" s="53"/>
      <x:c r="K1061" s="53"/>
      <x:c r="L1061" s="53"/>
      <x:c r="M1061" s="53"/>
      <x:c r="N1061" s="53"/>
      <x:c r="O1061" s="53"/>
      <x:c r="P1061" s="53"/>
      <x:c r="Q1061" s="53"/>
      <x:c r="R1061" s="53"/>
      <x:c r="S1061" s="53"/>
      <x:c r="T1061" s="53"/>
      <x:c r="U1061" s="53"/>
      <x:c r="V1061" s="53"/>
      <x:c r="W1061" s="53"/>
      <x:c r="X1061" s="53"/>
      <x:c r="Y1061" s="53"/>
      <x:c r="Z1061" s="53"/>
      <x:c r="AA1061" s="53"/>
      <x:c r="AB1061" s="53"/>
      <x:c r="AC1061" s="53"/>
      <x:c r="AD1061" s="53"/>
      <x:c r="AE1061" s="53"/>
      <x:c r="AF1061" s="53"/>
    </x:row>
    <x:row r="1062">
      <x:c r="A1062" s="53"/>
      <x:c r="B1062" s="53"/>
      <x:c r="C1062" s="53"/>
      <x:c r="D1062" s="53"/>
      <x:c r="E1062" s="53"/>
      <x:c r="F1062" s="53"/>
      <x:c r="G1062" s="53"/>
      <x:c r="H1062" s="53"/>
      <x:c r="I1062" s="53"/>
      <x:c r="J1062" s="53"/>
      <x:c r="K1062" s="53"/>
      <x:c r="L1062" s="53"/>
      <x:c r="M1062" s="53"/>
      <x:c r="N1062" s="53"/>
      <x:c r="O1062" s="53"/>
      <x:c r="P1062" s="53"/>
      <x:c r="Q1062" s="53"/>
      <x:c r="R1062" s="53"/>
      <x:c r="S1062" s="53"/>
      <x:c r="T1062" s="53"/>
      <x:c r="U1062" s="53"/>
      <x:c r="V1062" s="53"/>
      <x:c r="W1062" s="53"/>
      <x:c r="X1062" s="53"/>
      <x:c r="Y1062" s="53"/>
      <x:c r="Z1062" s="53"/>
      <x:c r="AA1062" s="53"/>
      <x:c r="AB1062" s="53"/>
      <x:c r="AC1062" s="53"/>
      <x:c r="AD1062" s="53"/>
      <x:c r="AE1062" s="53"/>
      <x:c r="AF1062" s="53"/>
    </x:row>
    <x:row r="1063">
      <x:c r="A1063" s="53"/>
      <x:c r="B1063" s="53"/>
      <x:c r="C1063" s="53"/>
      <x:c r="D1063" s="53"/>
      <x:c r="E1063" s="53"/>
      <x:c r="F1063" s="53"/>
      <x:c r="G1063" s="53"/>
      <x:c r="H1063" s="53"/>
      <x:c r="I1063" s="53"/>
      <x:c r="J1063" s="53"/>
      <x:c r="K1063" s="53"/>
      <x:c r="L1063" s="53"/>
      <x:c r="M1063" s="53"/>
      <x:c r="N1063" s="53"/>
      <x:c r="O1063" s="53"/>
      <x:c r="P1063" s="53"/>
      <x:c r="Q1063" s="53"/>
      <x:c r="R1063" s="53"/>
      <x:c r="S1063" s="53"/>
      <x:c r="T1063" s="53"/>
      <x:c r="U1063" s="53"/>
      <x:c r="V1063" s="53"/>
      <x:c r="W1063" s="53"/>
      <x:c r="X1063" s="53"/>
      <x:c r="Y1063" s="53"/>
      <x:c r="Z1063" s="53"/>
      <x:c r="AA1063" s="53"/>
      <x:c r="AB1063" s="53"/>
      <x:c r="AC1063" s="53"/>
      <x:c r="AD1063" s="53"/>
      <x:c r="AE1063" s="53"/>
      <x:c r="AF1063" s="53"/>
    </x:row>
    <x:row r="1064">
      <x:c r="A1064" s="53"/>
      <x:c r="B1064" s="53"/>
      <x:c r="C1064" s="53"/>
      <x:c r="D1064" s="53"/>
      <x:c r="E1064" s="53"/>
      <x:c r="F1064" s="53"/>
      <x:c r="G1064" s="53"/>
      <x:c r="H1064" s="53"/>
      <x:c r="I1064" s="53"/>
      <x:c r="J1064" s="53"/>
      <x:c r="K1064" s="53"/>
      <x:c r="L1064" s="53"/>
      <x:c r="M1064" s="53"/>
      <x:c r="N1064" s="53"/>
      <x:c r="O1064" s="53"/>
      <x:c r="P1064" s="53"/>
      <x:c r="Q1064" s="53"/>
      <x:c r="R1064" s="53"/>
      <x:c r="S1064" s="53"/>
      <x:c r="T1064" s="53"/>
      <x:c r="U1064" s="53"/>
      <x:c r="V1064" s="53"/>
      <x:c r="W1064" s="53"/>
      <x:c r="X1064" s="53"/>
      <x:c r="Y1064" s="53"/>
      <x:c r="Z1064" s="53"/>
      <x:c r="AA1064" s="53"/>
      <x:c r="AB1064" s="53"/>
      <x:c r="AC1064" s="53"/>
      <x:c r="AD1064" s="53"/>
      <x:c r="AE1064" s="53"/>
      <x:c r="AF1064" s="53"/>
    </x:row>
    <x:row r="1065">
      <x:c r="A1065" s="53"/>
      <x:c r="B1065" s="53"/>
      <x:c r="C1065" s="53"/>
      <x:c r="D1065" s="53"/>
      <x:c r="E1065" s="53"/>
      <x:c r="F1065" s="53"/>
      <x:c r="G1065" s="53"/>
      <x:c r="H1065" s="53"/>
      <x:c r="I1065" s="53"/>
      <x:c r="J1065" s="53"/>
      <x:c r="K1065" s="53"/>
      <x:c r="L1065" s="53"/>
      <x:c r="M1065" s="53"/>
      <x:c r="N1065" s="53"/>
      <x:c r="O1065" s="53"/>
      <x:c r="P1065" s="53"/>
      <x:c r="Q1065" s="53"/>
      <x:c r="R1065" s="53"/>
      <x:c r="S1065" s="53"/>
      <x:c r="T1065" s="53"/>
      <x:c r="U1065" s="53"/>
      <x:c r="V1065" s="53"/>
      <x:c r="W1065" s="53"/>
      <x:c r="X1065" s="53"/>
      <x:c r="Y1065" s="53"/>
      <x:c r="Z1065" s="53"/>
      <x:c r="AA1065" s="53"/>
      <x:c r="AB1065" s="53"/>
      <x:c r="AC1065" s="53"/>
      <x:c r="AD1065" s="53"/>
      <x:c r="AE1065" s="53"/>
      <x:c r="AF1065" s="53"/>
    </x:row>
    <x:row r="1066">
      <x:c r="A1066" s="53"/>
      <x:c r="B1066" s="53"/>
      <x:c r="C1066" s="53"/>
      <x:c r="D1066" s="53"/>
      <x:c r="E1066" s="53"/>
      <x:c r="F1066" s="53"/>
      <x:c r="G1066" s="53"/>
      <x:c r="H1066" s="53"/>
      <x:c r="I1066" s="53"/>
      <x:c r="J1066" s="53"/>
      <x:c r="K1066" s="53"/>
      <x:c r="L1066" s="53"/>
      <x:c r="M1066" s="53"/>
      <x:c r="N1066" s="53"/>
      <x:c r="O1066" s="53"/>
      <x:c r="P1066" s="53"/>
      <x:c r="Q1066" s="53"/>
      <x:c r="R1066" s="53"/>
      <x:c r="S1066" s="53"/>
      <x:c r="T1066" s="53"/>
      <x:c r="U1066" s="53"/>
      <x:c r="V1066" s="53"/>
      <x:c r="W1066" s="53"/>
      <x:c r="X1066" s="53"/>
      <x:c r="Y1066" s="53"/>
      <x:c r="Z1066" s="53"/>
      <x:c r="AA1066" s="53"/>
      <x:c r="AB1066" s="53"/>
      <x:c r="AC1066" s="53"/>
      <x:c r="AD1066" s="53"/>
      <x:c r="AE1066" s="53"/>
      <x:c r="AF1066" s="53"/>
    </x:row>
    <x:row r="1067">
      <x:c r="A1067" s="53"/>
      <x:c r="B1067" s="53"/>
      <x:c r="C1067" s="53"/>
      <x:c r="D1067" s="53"/>
      <x:c r="E1067" s="53"/>
      <x:c r="F1067" s="53"/>
      <x:c r="G1067" s="53"/>
      <x:c r="H1067" s="53"/>
      <x:c r="I1067" s="53"/>
      <x:c r="J1067" s="53"/>
      <x:c r="K1067" s="53"/>
      <x:c r="L1067" s="53"/>
      <x:c r="M1067" s="53"/>
      <x:c r="N1067" s="53"/>
      <x:c r="O1067" s="53"/>
      <x:c r="P1067" s="53"/>
      <x:c r="Q1067" s="53"/>
      <x:c r="R1067" s="53"/>
      <x:c r="S1067" s="53"/>
      <x:c r="T1067" s="53"/>
      <x:c r="U1067" s="53"/>
      <x:c r="V1067" s="53"/>
      <x:c r="W1067" s="53"/>
      <x:c r="X1067" s="53"/>
      <x:c r="Y1067" s="53"/>
      <x:c r="Z1067" s="53"/>
      <x:c r="AA1067" s="53"/>
      <x:c r="AB1067" s="53"/>
      <x:c r="AC1067" s="53"/>
      <x:c r="AD1067" s="53"/>
      <x:c r="AE1067" s="53"/>
      <x:c r="AF1067" s="53"/>
    </x:row>
    <x:row r="1068">
      <x:c r="A1068" s="53"/>
      <x:c r="B1068" s="53"/>
      <x:c r="C1068" s="53"/>
      <x:c r="D1068" s="53"/>
      <x:c r="E1068" s="53"/>
      <x:c r="F1068" s="53"/>
      <x:c r="G1068" s="53"/>
      <x:c r="H1068" s="53"/>
      <x:c r="I1068" s="53"/>
      <x:c r="J1068" s="53"/>
      <x:c r="K1068" s="53"/>
      <x:c r="L1068" s="53"/>
      <x:c r="M1068" s="53"/>
      <x:c r="N1068" s="53"/>
      <x:c r="O1068" s="53"/>
      <x:c r="P1068" s="53"/>
      <x:c r="Q1068" s="53"/>
      <x:c r="R1068" s="53"/>
      <x:c r="S1068" s="53"/>
      <x:c r="T1068" s="53"/>
      <x:c r="U1068" s="53"/>
      <x:c r="V1068" s="53"/>
      <x:c r="W1068" s="53"/>
      <x:c r="X1068" s="53"/>
      <x:c r="Y1068" s="53"/>
      <x:c r="Z1068" s="53"/>
      <x:c r="AA1068" s="53"/>
      <x:c r="AB1068" s="53"/>
      <x:c r="AC1068" s="53"/>
      <x:c r="AD1068" s="53"/>
      <x:c r="AE1068" s="53"/>
      <x:c r="AF1068" s="53"/>
    </x:row>
    <x:row r="1069">
      <x:c r="A1069" s="53"/>
      <x:c r="B1069" s="53"/>
      <x:c r="C1069" s="53"/>
      <x:c r="D1069" s="53"/>
      <x:c r="E1069" s="53"/>
      <x:c r="F1069" s="53"/>
      <x:c r="G1069" s="53"/>
      <x:c r="H1069" s="53"/>
      <x:c r="I1069" s="53"/>
      <x:c r="J1069" s="53"/>
      <x:c r="K1069" s="53"/>
      <x:c r="L1069" s="53"/>
      <x:c r="M1069" s="53"/>
      <x:c r="N1069" s="53"/>
      <x:c r="O1069" s="53"/>
      <x:c r="P1069" s="53"/>
      <x:c r="Q1069" s="53"/>
      <x:c r="R1069" s="53"/>
      <x:c r="S1069" s="53"/>
      <x:c r="T1069" s="53"/>
      <x:c r="U1069" s="53"/>
      <x:c r="V1069" s="53"/>
      <x:c r="W1069" s="53"/>
      <x:c r="X1069" s="53"/>
      <x:c r="Y1069" s="53"/>
      <x:c r="Z1069" s="53"/>
      <x:c r="AA1069" s="53"/>
      <x:c r="AB1069" s="53"/>
      <x:c r="AC1069" s="53"/>
      <x:c r="AD1069" s="53"/>
      <x:c r="AE1069" s="53"/>
      <x:c r="AF1069" s="53"/>
    </x:row>
    <x:row r="1070">
      <x:c r="A1070" s="53"/>
      <x:c r="B1070" s="53"/>
      <x:c r="C1070" s="53"/>
      <x:c r="D1070" s="53"/>
      <x:c r="E1070" s="53"/>
      <x:c r="F1070" s="53"/>
      <x:c r="G1070" s="53"/>
      <x:c r="H1070" s="53"/>
      <x:c r="I1070" s="53"/>
      <x:c r="J1070" s="53"/>
      <x:c r="K1070" s="53"/>
      <x:c r="L1070" s="53"/>
      <x:c r="M1070" s="53"/>
      <x:c r="N1070" s="53"/>
      <x:c r="O1070" s="53"/>
      <x:c r="P1070" s="53"/>
      <x:c r="Q1070" s="53"/>
      <x:c r="R1070" s="53"/>
      <x:c r="S1070" s="53"/>
      <x:c r="T1070" s="53"/>
      <x:c r="U1070" s="53"/>
      <x:c r="V1070" s="53"/>
      <x:c r="W1070" s="53"/>
      <x:c r="X1070" s="53"/>
      <x:c r="Y1070" s="53"/>
      <x:c r="Z1070" s="53"/>
      <x:c r="AA1070" s="53"/>
      <x:c r="AB1070" s="53"/>
      <x:c r="AC1070" s="53"/>
      <x:c r="AD1070" s="53"/>
      <x:c r="AE1070" s="53"/>
      <x:c r="AF1070" s="53"/>
    </x:row>
    <x:row r="1071">
      <x:c r="A1071" s="53"/>
      <x:c r="B1071" s="53"/>
      <x:c r="C1071" s="53"/>
      <x:c r="D1071" s="53"/>
      <x:c r="E1071" s="53"/>
      <x:c r="F1071" s="53"/>
      <x:c r="G1071" s="53"/>
      <x:c r="H1071" s="53"/>
      <x:c r="I1071" s="53"/>
      <x:c r="J1071" s="53"/>
      <x:c r="K1071" s="53"/>
      <x:c r="L1071" s="53"/>
      <x:c r="M1071" s="53"/>
      <x:c r="N1071" s="53"/>
      <x:c r="O1071" s="53"/>
      <x:c r="P1071" s="53"/>
      <x:c r="Q1071" s="53"/>
      <x:c r="R1071" s="53"/>
      <x:c r="S1071" s="53"/>
      <x:c r="T1071" s="53"/>
      <x:c r="U1071" s="53"/>
      <x:c r="V1071" s="53"/>
      <x:c r="W1071" s="53"/>
      <x:c r="X1071" s="53"/>
      <x:c r="Y1071" s="53"/>
      <x:c r="Z1071" s="53"/>
      <x:c r="AA1071" s="53"/>
      <x:c r="AB1071" s="53"/>
      <x:c r="AC1071" s="53"/>
      <x:c r="AD1071" s="53"/>
      <x:c r="AE1071" s="53"/>
      <x:c r="AF1071" s="53"/>
    </x:row>
    <x:row r="1072">
      <x:c r="A1072" s="53"/>
      <x:c r="B1072" s="53"/>
      <x:c r="C1072" s="53"/>
      <x:c r="D1072" s="53"/>
      <x:c r="E1072" s="53"/>
      <x:c r="F1072" s="53"/>
      <x:c r="G1072" s="53"/>
      <x:c r="H1072" s="53"/>
      <x:c r="I1072" s="53"/>
      <x:c r="J1072" s="53"/>
      <x:c r="K1072" s="53"/>
      <x:c r="L1072" s="53"/>
      <x:c r="M1072" s="53"/>
      <x:c r="N1072" s="53"/>
      <x:c r="O1072" s="53"/>
      <x:c r="P1072" s="53"/>
      <x:c r="Q1072" s="53"/>
      <x:c r="R1072" s="53"/>
      <x:c r="S1072" s="53"/>
      <x:c r="T1072" s="53"/>
      <x:c r="U1072" s="53"/>
      <x:c r="V1072" s="53"/>
      <x:c r="W1072" s="53"/>
      <x:c r="X1072" s="53"/>
      <x:c r="Y1072" s="53"/>
      <x:c r="Z1072" s="53"/>
      <x:c r="AA1072" s="53"/>
      <x:c r="AB1072" s="53"/>
      <x:c r="AC1072" s="53"/>
      <x:c r="AD1072" s="53"/>
      <x:c r="AE1072" s="53"/>
      <x:c r="AF1072" s="53"/>
    </x:row>
    <x:row r="1073">
      <x:c r="A1073" s="53"/>
      <x:c r="B1073" s="53"/>
      <x:c r="C1073" s="53"/>
      <x:c r="D1073" s="53"/>
      <x:c r="E1073" s="53"/>
      <x:c r="F1073" s="53"/>
      <x:c r="G1073" s="53"/>
      <x:c r="H1073" s="53"/>
      <x:c r="I1073" s="53"/>
      <x:c r="J1073" s="53"/>
      <x:c r="K1073" s="53"/>
      <x:c r="L1073" s="53"/>
      <x:c r="M1073" s="53"/>
      <x:c r="N1073" s="53"/>
      <x:c r="O1073" s="53"/>
      <x:c r="P1073" s="53"/>
      <x:c r="Q1073" s="53"/>
      <x:c r="R1073" s="53"/>
      <x:c r="S1073" s="53"/>
      <x:c r="T1073" s="53"/>
      <x:c r="U1073" s="53"/>
      <x:c r="V1073" s="53"/>
      <x:c r="W1073" s="53"/>
      <x:c r="X1073" s="53"/>
      <x:c r="Y1073" s="53"/>
      <x:c r="Z1073" s="53"/>
      <x:c r="AA1073" s="53"/>
      <x:c r="AB1073" s="53"/>
      <x:c r="AC1073" s="53"/>
      <x:c r="AD1073" s="53"/>
      <x:c r="AE1073" s="53"/>
      <x:c r="AF1073" s="53"/>
    </x:row>
    <x:row r="1074">
      <x:c r="A1074" s="53"/>
      <x:c r="B1074" s="53"/>
      <x:c r="C1074" s="53"/>
      <x:c r="D1074" s="53"/>
      <x:c r="E1074" s="53"/>
      <x:c r="F1074" s="53"/>
      <x:c r="G1074" s="53"/>
      <x:c r="H1074" s="53"/>
      <x:c r="I1074" s="53"/>
      <x:c r="J1074" s="53"/>
      <x:c r="K1074" s="53"/>
      <x:c r="L1074" s="53"/>
      <x:c r="M1074" s="53"/>
      <x:c r="N1074" s="53"/>
      <x:c r="O1074" s="53"/>
      <x:c r="P1074" s="53"/>
      <x:c r="Q1074" s="53"/>
      <x:c r="R1074" s="53"/>
      <x:c r="S1074" s="53"/>
      <x:c r="T1074" s="53"/>
      <x:c r="U1074" s="53"/>
      <x:c r="V1074" s="53"/>
      <x:c r="W1074" s="53"/>
      <x:c r="X1074" s="53"/>
      <x:c r="Y1074" s="53"/>
      <x:c r="Z1074" s="53"/>
      <x:c r="AA1074" s="53"/>
      <x:c r="AB1074" s="53"/>
      <x:c r="AC1074" s="53"/>
      <x:c r="AD1074" s="53"/>
      <x:c r="AE1074" s="53"/>
      <x:c r="AF1074" s="53"/>
    </x:row>
    <x:row r="1075">
      <x:c r="A1075" s="53"/>
      <x:c r="B1075" s="53"/>
      <x:c r="C1075" s="53"/>
      <x:c r="D1075" s="53"/>
      <x:c r="E1075" s="53"/>
      <x:c r="F1075" s="53"/>
      <x:c r="G1075" s="53"/>
      <x:c r="H1075" s="53"/>
      <x:c r="I1075" s="53"/>
      <x:c r="J1075" s="53"/>
      <x:c r="K1075" s="53"/>
      <x:c r="L1075" s="53"/>
      <x:c r="M1075" s="53"/>
      <x:c r="N1075" s="53"/>
      <x:c r="O1075" s="53"/>
      <x:c r="P1075" s="53"/>
      <x:c r="Q1075" s="53"/>
      <x:c r="R1075" s="53"/>
      <x:c r="S1075" s="53"/>
      <x:c r="T1075" s="53"/>
      <x:c r="U1075" s="53"/>
      <x:c r="V1075" s="53"/>
      <x:c r="W1075" s="53"/>
      <x:c r="X1075" s="53"/>
      <x:c r="Y1075" s="53"/>
      <x:c r="Z1075" s="53"/>
      <x:c r="AA1075" s="53"/>
      <x:c r="AB1075" s="53"/>
      <x:c r="AC1075" s="53"/>
      <x:c r="AD1075" s="53"/>
      <x:c r="AE1075" s="53"/>
      <x:c r="AF1075" s="53"/>
    </x:row>
    <x:row r="1076">
      <x:c r="A1076" s="53"/>
      <x:c r="B1076" s="53"/>
      <x:c r="C1076" s="53"/>
      <x:c r="D1076" s="53"/>
      <x:c r="E1076" s="53"/>
      <x:c r="F1076" s="53"/>
      <x:c r="G1076" s="53"/>
      <x:c r="H1076" s="53"/>
      <x:c r="I1076" s="53"/>
      <x:c r="J1076" s="53"/>
      <x:c r="K1076" s="53"/>
      <x:c r="L1076" s="53"/>
      <x:c r="M1076" s="53"/>
      <x:c r="N1076" s="53"/>
      <x:c r="O1076" s="53"/>
      <x:c r="P1076" s="53"/>
      <x:c r="Q1076" s="53"/>
      <x:c r="R1076" s="53"/>
      <x:c r="S1076" s="53"/>
      <x:c r="T1076" s="53"/>
      <x:c r="U1076" s="53"/>
      <x:c r="V1076" s="53"/>
      <x:c r="W1076" s="53"/>
      <x:c r="X1076" s="53"/>
      <x:c r="Y1076" s="53"/>
      <x:c r="Z1076" s="53"/>
      <x:c r="AA1076" s="53"/>
      <x:c r="AB1076" s="53"/>
      <x:c r="AC1076" s="53"/>
      <x:c r="AD1076" s="53"/>
      <x:c r="AE1076" s="53"/>
      <x:c r="AF1076" s="53"/>
    </x:row>
    <x:row r="1077">
      <x:c r="A1077" s="53"/>
      <x:c r="B1077" s="53"/>
      <x:c r="C1077" s="53"/>
      <x:c r="D1077" s="53"/>
      <x:c r="E1077" s="53"/>
      <x:c r="F1077" s="53"/>
      <x:c r="G1077" s="53"/>
      <x:c r="H1077" s="53"/>
      <x:c r="I1077" s="53"/>
      <x:c r="J1077" s="53"/>
      <x:c r="K1077" s="53"/>
      <x:c r="L1077" s="53"/>
      <x:c r="M1077" s="53"/>
      <x:c r="N1077" s="53"/>
      <x:c r="O1077" s="53"/>
      <x:c r="P1077" s="53"/>
      <x:c r="Q1077" s="53"/>
      <x:c r="R1077" s="53"/>
      <x:c r="S1077" s="53"/>
      <x:c r="T1077" s="53"/>
      <x:c r="U1077" s="53"/>
      <x:c r="V1077" s="53"/>
      <x:c r="W1077" s="53"/>
      <x:c r="X1077" s="53"/>
      <x:c r="Y1077" s="53"/>
      <x:c r="Z1077" s="53"/>
      <x:c r="AA1077" s="53"/>
      <x:c r="AB1077" s="53"/>
      <x:c r="AC1077" s="53"/>
      <x:c r="AD1077" s="53"/>
      <x:c r="AE1077" s="53"/>
      <x:c r="AF1077" s="53"/>
    </x:row>
    <x:row r="1078">
      <x:c r="A1078" s="53"/>
      <x:c r="B1078" s="53"/>
      <x:c r="C1078" s="53"/>
      <x:c r="D1078" s="53"/>
      <x:c r="E1078" s="53"/>
      <x:c r="F1078" s="53"/>
      <x:c r="G1078" s="53"/>
      <x:c r="H1078" s="53"/>
      <x:c r="I1078" s="53"/>
      <x:c r="J1078" s="53"/>
      <x:c r="K1078" s="53"/>
      <x:c r="L1078" s="53"/>
      <x:c r="M1078" s="53"/>
      <x:c r="N1078" s="53"/>
      <x:c r="O1078" s="53"/>
      <x:c r="P1078" s="53"/>
      <x:c r="Q1078" s="53"/>
      <x:c r="R1078" s="53"/>
      <x:c r="S1078" s="53"/>
      <x:c r="T1078" s="53"/>
      <x:c r="U1078" s="53"/>
      <x:c r="V1078" s="53"/>
      <x:c r="W1078" s="53"/>
      <x:c r="X1078" s="53"/>
      <x:c r="Y1078" s="53"/>
      <x:c r="Z1078" s="53"/>
      <x:c r="AA1078" s="53"/>
      <x:c r="AB1078" s="53"/>
      <x:c r="AC1078" s="53"/>
      <x:c r="AD1078" s="53"/>
      <x:c r="AE1078" s="53"/>
      <x:c r="AF1078" s="53"/>
    </x:row>
    <x:row r="1079">
      <x:c r="A1079" s="53"/>
      <x:c r="B1079" s="53"/>
      <x:c r="C1079" s="53"/>
      <x:c r="D1079" s="53"/>
      <x:c r="E1079" s="53"/>
      <x:c r="F1079" s="53"/>
      <x:c r="G1079" s="53"/>
      <x:c r="H1079" s="53"/>
      <x:c r="I1079" s="53"/>
      <x:c r="J1079" s="53"/>
      <x:c r="K1079" s="53"/>
      <x:c r="L1079" s="53"/>
      <x:c r="M1079" s="53"/>
      <x:c r="N1079" s="53"/>
      <x:c r="O1079" s="53"/>
      <x:c r="P1079" s="53"/>
      <x:c r="Q1079" s="53"/>
      <x:c r="R1079" s="53"/>
      <x:c r="S1079" s="53"/>
      <x:c r="T1079" s="53"/>
      <x:c r="U1079" s="53"/>
      <x:c r="V1079" s="53"/>
      <x:c r="W1079" s="53"/>
      <x:c r="X1079" s="53"/>
      <x:c r="Y1079" s="53"/>
      <x:c r="Z1079" s="53"/>
      <x:c r="AA1079" s="53"/>
      <x:c r="AB1079" s="53"/>
      <x:c r="AC1079" s="53"/>
      <x:c r="AD1079" s="53"/>
      <x:c r="AE1079" s="53"/>
      <x:c r="AF1079" s="53"/>
    </x:row>
    <x:row r="1080">
      <x:c r="A1080" s="53"/>
      <x:c r="B1080" s="53"/>
      <x:c r="C1080" s="53"/>
      <x:c r="D1080" s="53"/>
      <x:c r="E1080" s="53"/>
      <x:c r="F1080" s="53"/>
      <x:c r="G1080" s="53"/>
      <x:c r="H1080" s="53"/>
      <x:c r="I1080" s="53"/>
      <x:c r="J1080" s="53"/>
      <x:c r="K1080" s="53"/>
      <x:c r="L1080" s="53"/>
      <x:c r="M1080" s="53"/>
      <x:c r="N1080" s="53"/>
      <x:c r="O1080" s="53"/>
      <x:c r="P1080" s="53"/>
      <x:c r="Q1080" s="53"/>
      <x:c r="R1080" s="53"/>
      <x:c r="S1080" s="53"/>
      <x:c r="T1080" s="53"/>
      <x:c r="U1080" s="53"/>
      <x:c r="V1080" s="53"/>
      <x:c r="W1080" s="53"/>
      <x:c r="X1080" s="53"/>
      <x:c r="Y1080" s="53"/>
      <x:c r="Z1080" s="53"/>
      <x:c r="AA1080" s="53"/>
      <x:c r="AB1080" s="53"/>
      <x:c r="AC1080" s="53"/>
      <x:c r="AD1080" s="53"/>
      <x:c r="AE1080" s="53"/>
      <x:c r="AF1080" s="53"/>
    </x:row>
    <x:row r="1081">
      <x:c r="A1081" s="53"/>
      <x:c r="B1081" s="53"/>
      <x:c r="C1081" s="53"/>
      <x:c r="D1081" s="53"/>
      <x:c r="E1081" s="53"/>
      <x:c r="F1081" s="53"/>
      <x:c r="G1081" s="53"/>
      <x:c r="H1081" s="53"/>
      <x:c r="I1081" s="53"/>
      <x:c r="J1081" s="53"/>
      <x:c r="K1081" s="53"/>
      <x:c r="L1081" s="53"/>
      <x:c r="M1081" s="53"/>
      <x:c r="N1081" s="53"/>
      <x:c r="O1081" s="53"/>
      <x:c r="P1081" s="53"/>
      <x:c r="Q1081" s="53"/>
      <x:c r="R1081" s="53"/>
      <x:c r="S1081" s="53"/>
      <x:c r="T1081" s="53"/>
      <x:c r="U1081" s="53"/>
      <x:c r="V1081" s="53"/>
      <x:c r="W1081" s="53"/>
      <x:c r="X1081" s="53"/>
      <x:c r="Y1081" s="53"/>
      <x:c r="Z1081" s="53"/>
      <x:c r="AA1081" s="53"/>
      <x:c r="AB1081" s="53"/>
      <x:c r="AC1081" s="53"/>
      <x:c r="AD1081" s="53"/>
      <x:c r="AE1081" s="53"/>
      <x:c r="AF1081" s="53"/>
    </x:row>
    <x:row r="1082">
      <x:c r="A1082" s="53"/>
      <x:c r="B1082" s="53"/>
      <x:c r="C1082" s="53"/>
      <x:c r="D1082" s="53"/>
      <x:c r="E1082" s="53"/>
      <x:c r="F1082" s="53"/>
      <x:c r="G1082" s="53"/>
      <x:c r="H1082" s="53"/>
      <x:c r="I1082" s="53"/>
      <x:c r="J1082" s="53"/>
      <x:c r="K1082" s="53"/>
      <x:c r="L1082" s="53"/>
      <x:c r="M1082" s="53"/>
      <x:c r="N1082" s="53"/>
      <x:c r="O1082" s="53"/>
      <x:c r="P1082" s="53"/>
      <x:c r="Q1082" s="53"/>
      <x:c r="R1082" s="53"/>
      <x:c r="S1082" s="53"/>
      <x:c r="T1082" s="53"/>
      <x:c r="U1082" s="53"/>
      <x:c r="V1082" s="53"/>
      <x:c r="W1082" s="53"/>
      <x:c r="X1082" s="53"/>
      <x:c r="Y1082" s="53"/>
      <x:c r="Z1082" s="53"/>
      <x:c r="AA1082" s="53"/>
      <x:c r="AB1082" s="53"/>
      <x:c r="AC1082" s="53"/>
      <x:c r="AD1082" s="53"/>
      <x:c r="AE1082" s="53"/>
      <x:c r="AF1082" s="53"/>
    </x:row>
    <x:row r="1083">
      <x:c r="A1083" s="53"/>
      <x:c r="B1083" s="53"/>
      <x:c r="C1083" s="53"/>
      <x:c r="D1083" s="53"/>
      <x:c r="E1083" s="53"/>
      <x:c r="F1083" s="53"/>
      <x:c r="G1083" s="53"/>
      <x:c r="H1083" s="53"/>
      <x:c r="I1083" s="53"/>
      <x:c r="J1083" s="53"/>
      <x:c r="K1083" s="53"/>
      <x:c r="L1083" s="53"/>
      <x:c r="M1083" s="53"/>
      <x:c r="N1083" s="53"/>
      <x:c r="O1083" s="53"/>
      <x:c r="P1083" s="53"/>
      <x:c r="Q1083" s="53"/>
      <x:c r="R1083" s="53"/>
      <x:c r="S1083" s="53"/>
      <x:c r="T1083" s="53"/>
      <x:c r="U1083" s="53"/>
      <x:c r="V1083" s="53"/>
      <x:c r="W1083" s="53"/>
      <x:c r="X1083" s="53"/>
      <x:c r="Y1083" s="53"/>
      <x:c r="Z1083" s="53"/>
      <x:c r="AA1083" s="53"/>
      <x:c r="AB1083" s="53"/>
      <x:c r="AC1083" s="53"/>
      <x:c r="AD1083" s="53"/>
      <x:c r="AE1083" s="53"/>
      <x:c r="AF1083" s="53"/>
    </x:row>
    <x:row r="1084">
      <x:c r="A1084" s="53"/>
      <x:c r="B1084" s="53"/>
      <x:c r="C1084" s="53"/>
      <x:c r="D1084" s="53"/>
      <x:c r="E1084" s="53"/>
      <x:c r="F1084" s="53"/>
      <x:c r="G1084" s="53"/>
      <x:c r="H1084" s="53"/>
      <x:c r="I1084" s="53"/>
      <x:c r="J1084" s="53"/>
      <x:c r="K1084" s="53"/>
      <x:c r="L1084" s="53"/>
      <x:c r="M1084" s="53"/>
      <x:c r="N1084" s="53"/>
      <x:c r="O1084" s="53"/>
      <x:c r="P1084" s="53"/>
      <x:c r="Q1084" s="53"/>
      <x:c r="R1084" s="53"/>
      <x:c r="S1084" s="53"/>
      <x:c r="T1084" s="53"/>
      <x:c r="U1084" s="53"/>
      <x:c r="V1084" s="53"/>
      <x:c r="W1084" s="53"/>
      <x:c r="X1084" s="53"/>
      <x:c r="Y1084" s="53"/>
      <x:c r="Z1084" s="53"/>
      <x:c r="AA1084" s="53"/>
      <x:c r="AB1084" s="53"/>
      <x:c r="AC1084" s="53"/>
      <x:c r="AD1084" s="53"/>
      <x:c r="AE1084" s="53"/>
      <x:c r="AF1084" s="53"/>
    </x:row>
    <x:row r="1085">
      <x:c r="A1085" s="53"/>
      <x:c r="B1085" s="53"/>
      <x:c r="C1085" s="53"/>
      <x:c r="D1085" s="53"/>
      <x:c r="E1085" s="53"/>
      <x:c r="F1085" s="53"/>
      <x:c r="G1085" s="53"/>
      <x:c r="H1085" s="53"/>
      <x:c r="I1085" s="53"/>
      <x:c r="J1085" s="53"/>
      <x:c r="K1085" s="53"/>
      <x:c r="L1085" s="53"/>
      <x:c r="M1085" s="53"/>
      <x:c r="N1085" s="53"/>
      <x:c r="O1085" s="53"/>
      <x:c r="P1085" s="53"/>
      <x:c r="Q1085" s="53"/>
      <x:c r="R1085" s="53"/>
      <x:c r="S1085" s="53"/>
      <x:c r="T1085" s="53"/>
      <x:c r="U1085" s="53"/>
      <x:c r="V1085" s="53"/>
      <x:c r="W1085" s="53"/>
      <x:c r="X1085" s="53"/>
      <x:c r="Y1085" s="53"/>
      <x:c r="Z1085" s="53"/>
      <x:c r="AA1085" s="53"/>
      <x:c r="AB1085" s="53"/>
      <x:c r="AC1085" s="53"/>
      <x:c r="AD1085" s="53"/>
      <x:c r="AE1085" s="53"/>
      <x:c r="AF1085" s="53"/>
    </x:row>
    <x:row r="1086">
      <x:c r="A1086" s="53"/>
      <x:c r="B1086" s="53"/>
      <x:c r="C1086" s="53"/>
      <x:c r="D1086" s="53"/>
      <x:c r="E1086" s="53"/>
      <x:c r="F1086" s="53"/>
      <x:c r="G1086" s="53"/>
      <x:c r="H1086" s="53"/>
      <x:c r="I1086" s="53"/>
      <x:c r="J1086" s="53"/>
      <x:c r="K1086" s="53"/>
      <x:c r="L1086" s="53"/>
      <x:c r="M1086" s="53"/>
      <x:c r="N1086" s="53"/>
      <x:c r="O1086" s="53"/>
      <x:c r="P1086" s="53"/>
      <x:c r="Q1086" s="53"/>
      <x:c r="R1086" s="53"/>
      <x:c r="S1086" s="53"/>
      <x:c r="T1086" s="53"/>
      <x:c r="U1086" s="53"/>
      <x:c r="V1086" s="53"/>
      <x:c r="W1086" s="53"/>
      <x:c r="X1086" s="53"/>
      <x:c r="Y1086" s="53"/>
      <x:c r="Z1086" s="53"/>
      <x:c r="AA1086" s="53"/>
      <x:c r="AB1086" s="53"/>
      <x:c r="AC1086" s="53"/>
      <x:c r="AD1086" s="53"/>
      <x:c r="AE1086" s="53"/>
      <x:c r="AF1086" s="53"/>
    </x:row>
    <x:row r="1087">
      <x:c r="A1087" s="53"/>
      <x:c r="B1087" s="53"/>
      <x:c r="C1087" s="53"/>
      <x:c r="D1087" s="53"/>
      <x:c r="E1087" s="53"/>
      <x:c r="F1087" s="53"/>
      <x:c r="G1087" s="53"/>
      <x:c r="H1087" s="53"/>
      <x:c r="I1087" s="53"/>
      <x:c r="J1087" s="53"/>
      <x:c r="K1087" s="53"/>
      <x:c r="L1087" s="53"/>
      <x:c r="M1087" s="53"/>
      <x:c r="N1087" s="53"/>
      <x:c r="O1087" s="53"/>
      <x:c r="P1087" s="53"/>
      <x:c r="Q1087" s="53"/>
      <x:c r="R1087" s="53"/>
      <x:c r="S1087" s="53"/>
      <x:c r="T1087" s="53"/>
      <x:c r="U1087" s="53"/>
      <x:c r="V1087" s="53"/>
      <x:c r="W1087" s="53"/>
      <x:c r="X1087" s="53"/>
      <x:c r="Y1087" s="53"/>
      <x:c r="Z1087" s="53"/>
      <x:c r="AA1087" s="53"/>
      <x:c r="AB1087" s="53"/>
      <x:c r="AC1087" s="53"/>
      <x:c r="AD1087" s="53"/>
      <x:c r="AE1087" s="53"/>
      <x:c r="AF1087" s="53"/>
    </x:row>
    <x:row r="1088">
      <x:c r="A1088" s="53"/>
      <x:c r="B1088" s="53"/>
      <x:c r="C1088" s="53"/>
      <x:c r="D1088" s="53"/>
      <x:c r="E1088" s="53"/>
      <x:c r="F1088" s="53"/>
      <x:c r="G1088" s="53"/>
      <x:c r="H1088" s="53"/>
      <x:c r="I1088" s="53"/>
      <x:c r="J1088" s="53"/>
      <x:c r="K1088" s="53"/>
      <x:c r="L1088" s="53"/>
      <x:c r="M1088" s="53"/>
      <x:c r="N1088" s="53"/>
      <x:c r="O1088" s="53"/>
      <x:c r="P1088" s="53"/>
      <x:c r="Q1088" s="53"/>
      <x:c r="R1088" s="53"/>
      <x:c r="S1088" s="53"/>
      <x:c r="T1088" s="53"/>
      <x:c r="U1088" s="53"/>
      <x:c r="V1088" s="53"/>
      <x:c r="W1088" s="53"/>
      <x:c r="X1088" s="53"/>
      <x:c r="Y1088" s="53"/>
      <x:c r="Z1088" s="53"/>
      <x:c r="AA1088" s="53"/>
      <x:c r="AB1088" s="53"/>
      <x:c r="AC1088" s="53"/>
      <x:c r="AD1088" s="53"/>
      <x:c r="AE1088" s="53"/>
      <x:c r="AF1088" s="53"/>
    </x:row>
    <x:row r="1089">
      <x:c r="A1089" s="53"/>
      <x:c r="B1089" s="53"/>
      <x:c r="C1089" s="53"/>
      <x:c r="D1089" s="53"/>
      <x:c r="E1089" s="53"/>
      <x:c r="F1089" s="53"/>
      <x:c r="G1089" s="53"/>
      <x:c r="H1089" s="53"/>
      <x:c r="I1089" s="53"/>
      <x:c r="J1089" s="53"/>
      <x:c r="K1089" s="53"/>
      <x:c r="L1089" s="53"/>
      <x:c r="M1089" s="53"/>
      <x:c r="N1089" s="53"/>
      <x:c r="O1089" s="53"/>
      <x:c r="P1089" s="53"/>
      <x:c r="Q1089" s="53"/>
      <x:c r="R1089" s="53"/>
      <x:c r="S1089" s="53"/>
      <x:c r="T1089" s="53"/>
      <x:c r="U1089" s="53"/>
      <x:c r="V1089" s="53"/>
      <x:c r="W1089" s="53"/>
      <x:c r="X1089" s="53"/>
      <x:c r="Y1089" s="53"/>
      <x:c r="Z1089" s="53"/>
      <x:c r="AA1089" s="53"/>
      <x:c r="AB1089" s="53"/>
      <x:c r="AC1089" s="53"/>
      <x:c r="AD1089" s="53"/>
      <x:c r="AE1089" s="53"/>
      <x:c r="AF1089" s="53"/>
    </x:row>
    <x:row r="1090">
      <x:c r="A1090" s="53"/>
      <x:c r="B1090" s="53"/>
      <x:c r="C1090" s="53"/>
      <x:c r="D1090" s="53"/>
      <x:c r="E1090" s="53"/>
      <x:c r="F1090" s="53"/>
      <x:c r="G1090" s="53"/>
      <x:c r="H1090" s="53"/>
      <x:c r="I1090" s="53"/>
      <x:c r="J1090" s="53"/>
      <x:c r="K1090" s="53"/>
      <x:c r="L1090" s="53"/>
      <x:c r="M1090" s="53"/>
      <x:c r="N1090" s="53"/>
      <x:c r="O1090" s="53"/>
      <x:c r="P1090" s="53"/>
      <x:c r="Q1090" s="53"/>
      <x:c r="R1090" s="53"/>
      <x:c r="S1090" s="53"/>
      <x:c r="T1090" s="53"/>
      <x:c r="U1090" s="53"/>
      <x:c r="V1090" s="53"/>
      <x:c r="W1090" s="53"/>
      <x:c r="X1090" s="53"/>
      <x:c r="Y1090" s="53"/>
      <x:c r="Z1090" s="53"/>
      <x:c r="AA1090" s="53"/>
      <x:c r="AB1090" s="53"/>
      <x:c r="AC1090" s="53"/>
      <x:c r="AD1090" s="53"/>
      <x:c r="AE1090" s="53"/>
      <x:c r="AF1090" s="53"/>
    </x:row>
    <x:row r="1091">
      <x:c r="A1091" s="53"/>
      <x:c r="B1091" s="53"/>
      <x:c r="C1091" s="53"/>
      <x:c r="D1091" s="53"/>
      <x:c r="E1091" s="53"/>
      <x:c r="F1091" s="53"/>
      <x:c r="G1091" s="53"/>
      <x:c r="H1091" s="53"/>
      <x:c r="I1091" s="53"/>
      <x:c r="J1091" s="53"/>
      <x:c r="K1091" s="53"/>
      <x:c r="L1091" s="53"/>
      <x:c r="M1091" s="53"/>
      <x:c r="N1091" s="53"/>
      <x:c r="O1091" s="53"/>
      <x:c r="P1091" s="53"/>
      <x:c r="Q1091" s="53"/>
      <x:c r="R1091" s="53"/>
      <x:c r="S1091" s="53"/>
      <x:c r="T1091" s="53"/>
      <x:c r="U1091" s="53"/>
      <x:c r="V1091" s="53"/>
      <x:c r="W1091" s="53"/>
      <x:c r="X1091" s="53"/>
      <x:c r="Y1091" s="53"/>
      <x:c r="Z1091" s="53"/>
      <x:c r="AA1091" s="53"/>
      <x:c r="AB1091" s="53"/>
      <x:c r="AC1091" s="53"/>
      <x:c r="AD1091" s="53"/>
      <x:c r="AE1091" s="53"/>
      <x:c r="AF1091" s="53"/>
    </x:row>
    <x:row r="1092">
      <x:c r="A1092" s="53"/>
      <x:c r="B1092" s="53"/>
      <x:c r="C1092" s="53"/>
      <x:c r="D1092" s="53"/>
      <x:c r="E1092" s="53"/>
      <x:c r="F1092" s="53"/>
      <x:c r="G1092" s="53"/>
      <x:c r="H1092" s="53"/>
      <x:c r="I1092" s="53"/>
      <x:c r="J1092" s="53"/>
      <x:c r="K1092" s="53"/>
      <x:c r="L1092" s="53"/>
      <x:c r="M1092" s="53"/>
      <x:c r="N1092" s="53"/>
      <x:c r="O1092" s="53"/>
      <x:c r="P1092" s="53"/>
      <x:c r="Q1092" s="53"/>
      <x:c r="R1092" s="53"/>
      <x:c r="S1092" s="53"/>
      <x:c r="T1092" s="53"/>
      <x:c r="U1092" s="53"/>
      <x:c r="V1092" s="53"/>
      <x:c r="W1092" s="53"/>
      <x:c r="X1092" s="53"/>
      <x:c r="Y1092" s="53"/>
      <x:c r="Z1092" s="53"/>
      <x:c r="AA1092" s="53"/>
      <x:c r="AB1092" s="53"/>
      <x:c r="AC1092" s="53"/>
      <x:c r="AD1092" s="53"/>
      <x:c r="AE1092" s="53"/>
      <x:c r="AF1092" s="53"/>
    </x:row>
    <x:row r="1093">
      <x:c r="A1093" s="53"/>
      <x:c r="B1093" s="53"/>
      <x:c r="C1093" s="53"/>
      <x:c r="D1093" s="53"/>
      <x:c r="E1093" s="53"/>
      <x:c r="F1093" s="53"/>
      <x:c r="G1093" s="53"/>
      <x:c r="H1093" s="53"/>
      <x:c r="I1093" s="53"/>
      <x:c r="J1093" s="53"/>
      <x:c r="K1093" s="53"/>
      <x:c r="L1093" s="53"/>
      <x:c r="M1093" s="53"/>
      <x:c r="N1093" s="53"/>
      <x:c r="O1093" s="53"/>
      <x:c r="P1093" s="53"/>
      <x:c r="Q1093" s="53"/>
      <x:c r="R1093" s="53"/>
      <x:c r="S1093" s="53"/>
      <x:c r="T1093" s="53"/>
      <x:c r="U1093" s="53"/>
      <x:c r="V1093" s="53"/>
      <x:c r="W1093" s="53"/>
      <x:c r="X1093" s="53"/>
      <x:c r="Y1093" s="53"/>
      <x:c r="Z1093" s="53"/>
      <x:c r="AA1093" s="53"/>
      <x:c r="AB1093" s="53"/>
      <x:c r="AC1093" s="53"/>
      <x:c r="AD1093" s="53"/>
      <x:c r="AE1093" s="53"/>
      <x:c r="AF1093" s="53"/>
    </x:row>
    <x:row r="1094">
      <x:c r="A1094" s="53"/>
      <x:c r="B1094" s="53"/>
      <x:c r="C1094" s="53"/>
      <x:c r="D1094" s="53"/>
      <x:c r="E1094" s="53"/>
      <x:c r="F1094" s="53"/>
      <x:c r="G1094" s="53"/>
      <x:c r="H1094" s="53"/>
      <x:c r="I1094" s="53"/>
      <x:c r="J1094" s="53"/>
      <x:c r="K1094" s="53"/>
      <x:c r="L1094" s="53"/>
      <x:c r="M1094" s="53"/>
      <x:c r="N1094" s="53"/>
      <x:c r="O1094" s="53"/>
      <x:c r="P1094" s="53"/>
      <x:c r="Q1094" s="53"/>
      <x:c r="R1094" s="53"/>
      <x:c r="S1094" s="53"/>
      <x:c r="T1094" s="53"/>
      <x:c r="U1094" s="53"/>
      <x:c r="V1094" s="53"/>
      <x:c r="W1094" s="53"/>
      <x:c r="X1094" s="53"/>
      <x:c r="Y1094" s="53"/>
      <x:c r="Z1094" s="53"/>
      <x:c r="AA1094" s="53"/>
      <x:c r="AB1094" s="53"/>
      <x:c r="AC1094" s="53"/>
      <x:c r="AD1094" s="53"/>
      <x:c r="AE1094" s="53"/>
      <x:c r="AF1094" s="53"/>
    </x:row>
    <x:row r="1095">
      <x:c r="A1095" s="53"/>
      <x:c r="B1095" s="53"/>
      <x:c r="C1095" s="53"/>
      <x:c r="D1095" s="53"/>
      <x:c r="E1095" s="53"/>
      <x:c r="F1095" s="53"/>
      <x:c r="G1095" s="53"/>
      <x:c r="H1095" s="53"/>
      <x:c r="I1095" s="53"/>
      <x:c r="J1095" s="53"/>
      <x:c r="K1095" s="53"/>
      <x:c r="L1095" s="53"/>
      <x:c r="M1095" s="53"/>
      <x:c r="N1095" s="53"/>
      <x:c r="O1095" s="53"/>
      <x:c r="P1095" s="53"/>
      <x:c r="Q1095" s="53"/>
      <x:c r="R1095" s="53"/>
      <x:c r="S1095" s="53"/>
      <x:c r="T1095" s="53"/>
      <x:c r="U1095" s="53"/>
      <x:c r="V1095" s="53"/>
      <x:c r="W1095" s="53"/>
      <x:c r="X1095" s="53"/>
      <x:c r="Y1095" s="53"/>
      <x:c r="Z1095" s="53"/>
      <x:c r="AA1095" s="53"/>
      <x:c r="AB1095" s="53"/>
      <x:c r="AC1095" s="53"/>
      <x:c r="AD1095" s="53"/>
      <x:c r="AE1095" s="53"/>
      <x:c r="AF1095" s="53"/>
    </x:row>
    <x:row r="1096">
      <x:c r="A1096" s="53"/>
      <x:c r="B1096" s="53"/>
      <x:c r="C1096" s="53"/>
      <x:c r="D1096" s="53"/>
      <x:c r="E1096" s="53"/>
      <x:c r="F1096" s="53"/>
      <x:c r="G1096" s="53"/>
      <x:c r="H1096" s="53"/>
      <x:c r="I1096" s="53"/>
      <x:c r="J1096" s="53"/>
      <x:c r="K1096" s="53"/>
      <x:c r="L1096" s="53"/>
      <x:c r="M1096" s="53"/>
      <x:c r="N1096" s="53"/>
      <x:c r="O1096" s="53"/>
      <x:c r="P1096" s="53"/>
      <x:c r="Q1096" s="53"/>
      <x:c r="R1096" s="53"/>
      <x:c r="S1096" s="53"/>
      <x:c r="T1096" s="53"/>
      <x:c r="U1096" s="53"/>
      <x:c r="V1096" s="53"/>
      <x:c r="W1096" s="53"/>
      <x:c r="X1096" s="53"/>
      <x:c r="Y1096" s="53"/>
      <x:c r="Z1096" s="53"/>
      <x:c r="AA1096" s="53"/>
      <x:c r="AB1096" s="53"/>
      <x:c r="AC1096" s="53"/>
      <x:c r="AD1096" s="53"/>
      <x:c r="AE1096" s="53"/>
      <x:c r="AF1096" s="53"/>
    </x:row>
    <x:row r="1097">
      <x:c r="A1097" s="53"/>
      <x:c r="B1097" s="53"/>
      <x:c r="C1097" s="53"/>
      <x:c r="D1097" s="53"/>
      <x:c r="E1097" s="53"/>
      <x:c r="F1097" s="53"/>
      <x:c r="G1097" s="53"/>
      <x:c r="H1097" s="53"/>
      <x:c r="I1097" s="53"/>
      <x:c r="J1097" s="53"/>
      <x:c r="K1097" s="53"/>
      <x:c r="L1097" s="53"/>
      <x:c r="M1097" s="53"/>
      <x:c r="N1097" s="53"/>
      <x:c r="O1097" s="53"/>
      <x:c r="P1097" s="53"/>
      <x:c r="Q1097" s="53"/>
      <x:c r="R1097" s="53"/>
      <x:c r="S1097" s="53"/>
      <x:c r="T1097" s="53"/>
      <x:c r="U1097" s="53"/>
      <x:c r="V1097" s="53"/>
      <x:c r="W1097" s="53"/>
      <x:c r="X1097" s="53"/>
      <x:c r="Y1097" s="53"/>
      <x:c r="Z1097" s="53"/>
      <x:c r="AA1097" s="53"/>
      <x:c r="AB1097" s="53"/>
      <x:c r="AC1097" s="53"/>
      <x:c r="AD1097" s="53"/>
      <x:c r="AE1097" s="53"/>
      <x:c r="AF1097" s="53"/>
    </x:row>
    <x:row r="1098">
      <x:c r="A1098" s="53"/>
      <x:c r="B1098" s="53"/>
      <x:c r="C1098" s="53"/>
      <x:c r="D1098" s="53"/>
      <x:c r="E1098" s="53"/>
      <x:c r="F1098" s="53"/>
      <x:c r="G1098" s="53"/>
      <x:c r="H1098" s="53"/>
      <x:c r="I1098" s="53"/>
      <x:c r="J1098" s="53"/>
      <x:c r="K1098" s="53"/>
      <x:c r="L1098" s="53"/>
      <x:c r="M1098" s="53"/>
      <x:c r="N1098" s="53"/>
      <x:c r="O1098" s="53"/>
      <x:c r="P1098" s="53"/>
      <x:c r="Q1098" s="53"/>
      <x:c r="R1098" s="53"/>
      <x:c r="S1098" s="53"/>
      <x:c r="T1098" s="53"/>
      <x:c r="U1098" s="53"/>
      <x:c r="V1098" s="53"/>
      <x:c r="W1098" s="53"/>
      <x:c r="X1098" s="53"/>
      <x:c r="Y1098" s="53"/>
      <x:c r="Z1098" s="53"/>
      <x:c r="AA1098" s="53"/>
      <x:c r="AB1098" s="53"/>
      <x:c r="AC1098" s="53"/>
      <x:c r="AD1098" s="53"/>
      <x:c r="AE1098" s="53"/>
      <x:c r="AF1098" s="53"/>
    </x:row>
    <x:row r="1099">
      <x:c r="A1099" s="53"/>
      <x:c r="B1099" s="53"/>
      <x:c r="C1099" s="53"/>
      <x:c r="D1099" s="53"/>
      <x:c r="E1099" s="53"/>
      <x:c r="F1099" s="53"/>
      <x:c r="G1099" s="53"/>
      <x:c r="H1099" s="53"/>
      <x:c r="I1099" s="53"/>
      <x:c r="J1099" s="53"/>
      <x:c r="K1099" s="53"/>
      <x:c r="L1099" s="53"/>
      <x:c r="M1099" s="53"/>
      <x:c r="N1099" s="53"/>
      <x:c r="O1099" s="53"/>
      <x:c r="P1099" s="53"/>
      <x:c r="Q1099" s="53"/>
      <x:c r="R1099" s="53"/>
      <x:c r="S1099" s="53"/>
      <x:c r="T1099" s="53"/>
      <x:c r="U1099" s="53"/>
      <x:c r="V1099" s="53"/>
      <x:c r="W1099" s="53"/>
      <x:c r="X1099" s="53"/>
      <x:c r="Y1099" s="53"/>
      <x:c r="Z1099" s="53"/>
      <x:c r="AA1099" s="53"/>
      <x:c r="AB1099" s="53"/>
      <x:c r="AC1099" s="53"/>
      <x:c r="AD1099" s="53"/>
      <x:c r="AE1099" s="53"/>
      <x:c r="AF1099" s="53"/>
    </x:row>
    <x:row r="1100">
      <x:c r="A1100" s="53"/>
      <x:c r="B1100" s="53"/>
      <x:c r="C1100" s="53"/>
      <x:c r="D1100" s="53"/>
      <x:c r="E1100" s="53"/>
      <x:c r="F1100" s="53"/>
      <x:c r="G1100" s="53"/>
      <x:c r="H1100" s="53"/>
      <x:c r="I1100" s="53"/>
      <x:c r="J1100" s="53"/>
      <x:c r="K1100" s="53"/>
      <x:c r="L1100" s="53"/>
      <x:c r="M1100" s="53"/>
      <x:c r="N1100" s="53"/>
      <x:c r="O1100" s="53"/>
      <x:c r="P1100" s="53"/>
      <x:c r="Q1100" s="53"/>
      <x:c r="R1100" s="53"/>
      <x:c r="S1100" s="53"/>
      <x:c r="T1100" s="53"/>
      <x:c r="U1100" s="53"/>
      <x:c r="V1100" s="53"/>
      <x:c r="W1100" s="53"/>
      <x:c r="X1100" s="53"/>
      <x:c r="Y1100" s="53"/>
      <x:c r="Z1100" s="53"/>
      <x:c r="AA1100" s="53"/>
      <x:c r="AB1100" s="53"/>
      <x:c r="AC1100" s="53"/>
      <x:c r="AD1100" s="53"/>
      <x:c r="AE1100" s="53"/>
      <x:c r="AF1100" s="53"/>
    </x:row>
    <x:row r="1101">
      <x:c r="A1101" s="53"/>
      <x:c r="B1101" s="53"/>
      <x:c r="C1101" s="53"/>
      <x:c r="D1101" s="53"/>
      <x:c r="E1101" s="53"/>
      <x:c r="F1101" s="53"/>
      <x:c r="G1101" s="53"/>
      <x:c r="H1101" s="53"/>
      <x:c r="I1101" s="53"/>
      <x:c r="J1101" s="53"/>
      <x:c r="K1101" s="53"/>
      <x:c r="L1101" s="53"/>
      <x:c r="M1101" s="53"/>
      <x:c r="N1101" s="53"/>
      <x:c r="O1101" s="53"/>
      <x:c r="P1101" s="53"/>
      <x:c r="Q1101" s="53"/>
      <x:c r="R1101" s="53"/>
      <x:c r="S1101" s="53"/>
      <x:c r="T1101" s="53"/>
      <x:c r="U1101" s="53"/>
      <x:c r="V1101" s="53"/>
      <x:c r="W1101" s="53"/>
      <x:c r="X1101" s="53"/>
      <x:c r="Y1101" s="53"/>
      <x:c r="Z1101" s="53"/>
      <x:c r="AA1101" s="53"/>
      <x:c r="AB1101" s="53"/>
      <x:c r="AC1101" s="53"/>
      <x:c r="AD1101" s="53"/>
      <x:c r="AE1101" s="53"/>
      <x:c r="AF1101" s="53"/>
    </x:row>
    <x:row r="1102">
      <x:c r="A1102" s="53"/>
      <x:c r="B1102" s="53"/>
      <x:c r="C1102" s="53"/>
      <x:c r="D1102" s="53"/>
      <x:c r="E1102" s="53"/>
      <x:c r="F1102" s="53"/>
      <x:c r="G1102" s="53"/>
      <x:c r="H1102" s="53"/>
      <x:c r="I1102" s="53"/>
      <x:c r="J1102" s="53"/>
      <x:c r="K1102" s="53"/>
      <x:c r="L1102" s="53"/>
      <x:c r="M1102" s="53"/>
      <x:c r="N1102" s="53"/>
      <x:c r="O1102" s="53"/>
      <x:c r="P1102" s="53"/>
      <x:c r="Q1102" s="53"/>
      <x:c r="R1102" s="53"/>
      <x:c r="S1102" s="53"/>
      <x:c r="T1102" s="53"/>
      <x:c r="U1102" s="53"/>
      <x:c r="V1102" s="53"/>
      <x:c r="W1102" s="53"/>
      <x:c r="X1102" s="53"/>
      <x:c r="Y1102" s="53"/>
      <x:c r="Z1102" s="53"/>
      <x:c r="AA1102" s="53"/>
      <x:c r="AB1102" s="53"/>
      <x:c r="AC1102" s="53"/>
      <x:c r="AD1102" s="53"/>
      <x:c r="AE1102" s="53"/>
      <x:c r="AF1102" s="53"/>
    </x:row>
    <x:row r="1103">
      <x:c r="A1103" s="53"/>
      <x:c r="B1103" s="53"/>
      <x:c r="C1103" s="53"/>
      <x:c r="D1103" s="53"/>
      <x:c r="E1103" s="53"/>
      <x:c r="F1103" s="53"/>
      <x:c r="G1103" s="53"/>
      <x:c r="H1103" s="53"/>
      <x:c r="I1103" s="53"/>
      <x:c r="J1103" s="53"/>
      <x:c r="K1103" s="53"/>
      <x:c r="L1103" s="53"/>
      <x:c r="M1103" s="53"/>
      <x:c r="N1103" s="53"/>
      <x:c r="O1103" s="53"/>
      <x:c r="P1103" s="53"/>
      <x:c r="Q1103" s="53"/>
      <x:c r="R1103" s="53"/>
      <x:c r="S1103" s="53"/>
      <x:c r="T1103" s="53"/>
      <x:c r="U1103" s="53"/>
      <x:c r="V1103" s="53"/>
      <x:c r="W1103" s="53"/>
      <x:c r="X1103" s="53"/>
      <x:c r="Y1103" s="53"/>
      <x:c r="Z1103" s="53"/>
      <x:c r="AA1103" s="53"/>
      <x:c r="AB1103" s="53"/>
      <x:c r="AC1103" s="53"/>
      <x:c r="AD1103" s="53"/>
      <x:c r="AE1103" s="53"/>
      <x:c r="AF1103" s="53"/>
    </x:row>
    <x:row r="1104">
      <x:c r="A1104" s="53"/>
      <x:c r="B1104" s="53"/>
      <x:c r="C1104" s="53"/>
      <x:c r="D1104" s="53"/>
      <x:c r="E1104" s="53"/>
      <x:c r="F1104" s="53"/>
      <x:c r="G1104" s="53"/>
      <x:c r="H1104" s="53"/>
      <x:c r="I1104" s="53"/>
      <x:c r="J1104" s="53"/>
      <x:c r="K1104" s="53"/>
      <x:c r="L1104" s="53"/>
      <x:c r="M1104" s="53"/>
      <x:c r="N1104" s="53"/>
      <x:c r="O1104" s="53"/>
      <x:c r="P1104" s="53"/>
      <x:c r="Q1104" s="53"/>
      <x:c r="R1104" s="53"/>
      <x:c r="S1104" s="53"/>
      <x:c r="T1104" s="53"/>
      <x:c r="U1104" s="53"/>
      <x:c r="V1104" s="53"/>
      <x:c r="W1104" s="53"/>
      <x:c r="X1104" s="53"/>
      <x:c r="Y1104" s="53"/>
      <x:c r="Z1104" s="53"/>
      <x:c r="AA1104" s="53"/>
      <x:c r="AB1104" s="53"/>
      <x:c r="AC1104" s="53"/>
      <x:c r="AD1104" s="53"/>
      <x:c r="AE1104" s="53"/>
      <x:c r="AF1104" s="53"/>
    </x:row>
    <x:row r="1105">
      <x:c r="A1105" s="53"/>
      <x:c r="B1105" s="53"/>
      <x:c r="C1105" s="53"/>
      <x:c r="D1105" s="53"/>
      <x:c r="E1105" s="53"/>
      <x:c r="F1105" s="53"/>
      <x:c r="G1105" s="53"/>
      <x:c r="H1105" s="53"/>
      <x:c r="I1105" s="53"/>
      <x:c r="J1105" s="53"/>
      <x:c r="K1105" s="53"/>
      <x:c r="L1105" s="53"/>
      <x:c r="M1105" s="53"/>
      <x:c r="N1105" s="53"/>
      <x:c r="O1105" s="53"/>
      <x:c r="P1105" s="53"/>
      <x:c r="Q1105" s="53"/>
      <x:c r="R1105" s="53"/>
      <x:c r="S1105" s="53"/>
      <x:c r="T1105" s="53"/>
      <x:c r="U1105" s="53"/>
      <x:c r="V1105" s="53"/>
      <x:c r="W1105" s="53"/>
      <x:c r="X1105" s="53"/>
      <x:c r="Y1105" s="53"/>
      <x:c r="Z1105" s="53"/>
      <x:c r="AA1105" s="53"/>
      <x:c r="AB1105" s="53"/>
      <x:c r="AC1105" s="53"/>
      <x:c r="AD1105" s="53"/>
      <x:c r="AE1105" s="53"/>
      <x:c r="AF1105" s="53"/>
    </x:row>
    <x:row r="1106">
      <x:c r="A1106" s="53"/>
      <x:c r="B1106" s="53"/>
      <x:c r="C1106" s="53"/>
      <x:c r="D1106" s="53"/>
      <x:c r="E1106" s="53"/>
      <x:c r="F1106" s="53"/>
      <x:c r="G1106" s="53"/>
      <x:c r="H1106" s="53"/>
      <x:c r="I1106" s="53"/>
      <x:c r="J1106" s="53"/>
      <x:c r="K1106" s="53"/>
      <x:c r="L1106" s="53"/>
      <x:c r="M1106" s="53"/>
      <x:c r="N1106" s="53"/>
      <x:c r="O1106" s="53"/>
      <x:c r="P1106" s="53"/>
      <x:c r="Q1106" s="53"/>
      <x:c r="R1106" s="53"/>
      <x:c r="S1106" s="53"/>
      <x:c r="T1106" s="53"/>
      <x:c r="U1106" s="53"/>
      <x:c r="V1106" s="53"/>
      <x:c r="W1106" s="53"/>
      <x:c r="X1106" s="53"/>
      <x:c r="Y1106" s="53"/>
      <x:c r="Z1106" s="53"/>
      <x:c r="AA1106" s="53"/>
      <x:c r="AB1106" s="53"/>
      <x:c r="AC1106" s="53"/>
      <x:c r="AD1106" s="53"/>
      <x:c r="AE1106" s="53"/>
      <x:c r="AF1106" s="53"/>
    </x:row>
    <x:row r="1107">
      <x:c r="A1107" s="53"/>
      <x:c r="B1107" s="53"/>
      <x:c r="C1107" s="53"/>
      <x:c r="D1107" s="53"/>
      <x:c r="E1107" s="53"/>
      <x:c r="F1107" s="53"/>
      <x:c r="G1107" s="53"/>
      <x:c r="H1107" s="53"/>
      <x:c r="I1107" s="53"/>
      <x:c r="J1107" s="53"/>
      <x:c r="K1107" s="53"/>
      <x:c r="L1107" s="53"/>
      <x:c r="M1107" s="53"/>
      <x:c r="N1107" s="53"/>
      <x:c r="O1107" s="53"/>
      <x:c r="P1107" s="53"/>
      <x:c r="Q1107" s="53"/>
      <x:c r="R1107" s="53"/>
      <x:c r="S1107" s="53"/>
      <x:c r="T1107" s="53"/>
      <x:c r="U1107" s="53"/>
      <x:c r="V1107" s="53"/>
      <x:c r="W1107" s="53"/>
      <x:c r="X1107" s="53"/>
      <x:c r="Y1107" s="53"/>
      <x:c r="Z1107" s="53"/>
      <x:c r="AA1107" s="53"/>
      <x:c r="AB1107" s="53"/>
      <x:c r="AC1107" s="53"/>
      <x:c r="AD1107" s="53"/>
      <x:c r="AE1107" s="53"/>
      <x:c r="AF1107" s="53"/>
    </x:row>
    <x:row r="1108">
      <x:c r="A1108" s="53"/>
      <x:c r="B1108" s="53"/>
      <x:c r="C1108" s="53"/>
      <x:c r="D1108" s="53"/>
      <x:c r="E1108" s="53"/>
      <x:c r="F1108" s="53"/>
      <x:c r="G1108" s="53"/>
      <x:c r="H1108" s="53"/>
      <x:c r="I1108" s="53"/>
      <x:c r="J1108" s="53"/>
      <x:c r="K1108" s="53"/>
      <x:c r="L1108" s="53"/>
      <x:c r="M1108" s="53"/>
      <x:c r="N1108" s="53"/>
      <x:c r="O1108" s="53"/>
      <x:c r="P1108" s="53"/>
      <x:c r="Q1108" s="53"/>
      <x:c r="R1108" s="53"/>
      <x:c r="S1108" s="53"/>
      <x:c r="T1108" s="53"/>
      <x:c r="U1108" s="53"/>
      <x:c r="V1108" s="53"/>
      <x:c r="W1108" s="53"/>
      <x:c r="X1108" s="53"/>
      <x:c r="Y1108" s="53"/>
      <x:c r="Z1108" s="53"/>
      <x:c r="AA1108" s="53"/>
      <x:c r="AB1108" s="53"/>
      <x:c r="AC1108" s="53"/>
      <x:c r="AD1108" s="53"/>
      <x:c r="AE1108" s="53"/>
      <x:c r="AF1108" s="53"/>
    </x:row>
    <x:row r="1109">
      <x:c r="A1109" s="53"/>
      <x:c r="B1109" s="53"/>
      <x:c r="C1109" s="53"/>
      <x:c r="D1109" s="53"/>
      <x:c r="E1109" s="53"/>
      <x:c r="F1109" s="53"/>
      <x:c r="G1109" s="53"/>
      <x:c r="H1109" s="53"/>
      <x:c r="I1109" s="53"/>
      <x:c r="J1109" s="53"/>
      <x:c r="K1109" s="53"/>
      <x:c r="L1109" s="53"/>
      <x:c r="M1109" s="53"/>
      <x:c r="N1109" s="53"/>
      <x:c r="O1109" s="53"/>
      <x:c r="P1109" s="53"/>
      <x:c r="Q1109" s="53"/>
      <x:c r="R1109" s="53"/>
      <x:c r="S1109" s="53"/>
      <x:c r="T1109" s="53"/>
      <x:c r="U1109" s="53"/>
      <x:c r="V1109" s="53"/>
      <x:c r="W1109" s="53"/>
      <x:c r="X1109" s="53"/>
      <x:c r="Y1109" s="53"/>
      <x:c r="Z1109" s="53"/>
      <x:c r="AA1109" s="53"/>
      <x:c r="AB1109" s="53"/>
      <x:c r="AC1109" s="53"/>
      <x:c r="AD1109" s="53"/>
      <x:c r="AE1109" s="53"/>
      <x:c r="AF1109" s="53"/>
    </x:row>
    <x:row r="1110">
      <x:c r="A1110" s="53"/>
      <x:c r="B1110" s="53"/>
      <x:c r="C1110" s="53"/>
      <x:c r="D1110" s="53"/>
      <x:c r="E1110" s="53"/>
      <x:c r="F1110" s="53"/>
      <x:c r="G1110" s="53"/>
      <x:c r="H1110" s="53"/>
      <x:c r="I1110" s="53"/>
      <x:c r="J1110" s="53"/>
      <x:c r="K1110" s="53"/>
      <x:c r="L1110" s="53"/>
      <x:c r="M1110" s="53"/>
      <x:c r="N1110" s="53"/>
      <x:c r="O1110" s="53"/>
      <x:c r="P1110" s="53"/>
      <x:c r="Q1110" s="53"/>
      <x:c r="R1110" s="53"/>
      <x:c r="S1110" s="53"/>
      <x:c r="T1110" s="53"/>
      <x:c r="U1110" s="53"/>
      <x:c r="V1110" s="53"/>
      <x:c r="W1110" s="53"/>
      <x:c r="X1110" s="53"/>
      <x:c r="Y1110" s="53"/>
      <x:c r="Z1110" s="53"/>
      <x:c r="AA1110" s="53"/>
      <x:c r="AB1110" s="53"/>
      <x:c r="AC1110" s="53"/>
      <x:c r="AD1110" s="53"/>
      <x:c r="AE1110" s="53"/>
      <x:c r="AF1110" s="53"/>
    </x:row>
    <x:row r="1111">
      <x:c r="A1111" s="53"/>
      <x:c r="B1111" s="53"/>
      <x:c r="C1111" s="53"/>
      <x:c r="D1111" s="53"/>
      <x:c r="E1111" s="53"/>
      <x:c r="F1111" s="53"/>
      <x:c r="G1111" s="53"/>
      <x:c r="H1111" s="53"/>
      <x:c r="I1111" s="53"/>
      <x:c r="J1111" s="53"/>
      <x:c r="K1111" s="53"/>
      <x:c r="L1111" s="53"/>
      <x:c r="M1111" s="53"/>
      <x:c r="N1111" s="53"/>
      <x:c r="O1111" s="53"/>
      <x:c r="P1111" s="53"/>
      <x:c r="Q1111" s="53"/>
      <x:c r="R1111" s="53"/>
      <x:c r="S1111" s="53"/>
      <x:c r="T1111" s="53"/>
      <x:c r="U1111" s="53"/>
      <x:c r="V1111" s="53"/>
      <x:c r="W1111" s="53"/>
      <x:c r="X1111" s="53"/>
      <x:c r="Y1111" s="53"/>
      <x:c r="Z1111" s="53"/>
      <x:c r="AA1111" s="53"/>
      <x:c r="AB1111" s="53"/>
      <x:c r="AC1111" s="53"/>
      <x:c r="AD1111" s="53"/>
      <x:c r="AE1111" s="53"/>
      <x:c r="AF1111" s="53"/>
    </x:row>
    <x:row r="1112">
      <x:c r="A1112" s="53"/>
      <x:c r="B1112" s="53"/>
      <x:c r="C1112" s="53"/>
      <x:c r="D1112" s="53"/>
      <x:c r="E1112" s="53"/>
      <x:c r="F1112" s="53"/>
      <x:c r="G1112" s="53"/>
      <x:c r="H1112" s="53"/>
      <x:c r="I1112" s="53"/>
      <x:c r="J1112" s="53"/>
      <x:c r="K1112" s="53"/>
      <x:c r="L1112" s="53"/>
      <x:c r="M1112" s="53"/>
      <x:c r="N1112" s="53"/>
      <x:c r="O1112" s="53"/>
      <x:c r="P1112" s="53"/>
      <x:c r="Q1112" s="53"/>
      <x:c r="R1112" s="53"/>
      <x:c r="S1112" s="53"/>
      <x:c r="T1112" s="53"/>
      <x:c r="U1112" s="53"/>
      <x:c r="V1112" s="53"/>
      <x:c r="W1112" s="53"/>
      <x:c r="X1112" s="53"/>
      <x:c r="Y1112" s="53"/>
      <x:c r="Z1112" s="53"/>
      <x:c r="AA1112" s="53"/>
      <x:c r="AB1112" s="53"/>
      <x:c r="AC1112" s="53"/>
      <x:c r="AD1112" s="53"/>
      <x:c r="AE1112" s="53"/>
      <x:c r="AF1112" s="53"/>
    </x:row>
    <x:row r="1113">
      <x:c r="A1113" s="53"/>
      <x:c r="B1113" s="53"/>
      <x:c r="C1113" s="53"/>
      <x:c r="D1113" s="53"/>
      <x:c r="E1113" s="53"/>
      <x:c r="F1113" s="53"/>
      <x:c r="G1113" s="53"/>
      <x:c r="H1113" s="53"/>
      <x:c r="I1113" s="53"/>
      <x:c r="J1113" s="53"/>
      <x:c r="K1113" s="53"/>
      <x:c r="L1113" s="53"/>
      <x:c r="M1113" s="53"/>
      <x:c r="N1113" s="53"/>
      <x:c r="O1113" s="53"/>
      <x:c r="P1113" s="53"/>
      <x:c r="Q1113" s="53"/>
      <x:c r="R1113" s="53"/>
      <x:c r="S1113" s="53"/>
      <x:c r="T1113" s="53"/>
      <x:c r="U1113" s="53"/>
      <x:c r="V1113" s="53"/>
      <x:c r="W1113" s="53"/>
      <x:c r="X1113" s="53"/>
      <x:c r="Y1113" s="53"/>
      <x:c r="Z1113" s="53"/>
      <x:c r="AA1113" s="53"/>
      <x:c r="AB1113" s="53"/>
      <x:c r="AC1113" s="53"/>
      <x:c r="AD1113" s="53"/>
      <x:c r="AE1113" s="53"/>
      <x:c r="AF1113" s="53"/>
    </x:row>
    <x:row r="1114">
      <x:c r="A1114" s="53"/>
      <x:c r="B1114" s="53"/>
      <x:c r="C1114" s="53"/>
      <x:c r="D1114" s="53"/>
      <x:c r="E1114" s="53"/>
      <x:c r="F1114" s="53"/>
      <x:c r="G1114" s="53"/>
      <x:c r="H1114" s="53"/>
      <x:c r="I1114" s="53"/>
      <x:c r="J1114" s="53"/>
      <x:c r="K1114" s="53"/>
      <x:c r="L1114" s="53"/>
      <x:c r="M1114" s="53"/>
      <x:c r="N1114" s="53"/>
      <x:c r="O1114" s="53"/>
      <x:c r="P1114" s="53"/>
      <x:c r="Q1114" s="53"/>
      <x:c r="R1114" s="53"/>
      <x:c r="S1114" s="53"/>
      <x:c r="T1114" s="53"/>
      <x:c r="U1114" s="53"/>
      <x:c r="V1114" s="53"/>
      <x:c r="W1114" s="53"/>
      <x:c r="X1114" s="53"/>
      <x:c r="Y1114" s="53"/>
      <x:c r="Z1114" s="53"/>
      <x:c r="AA1114" s="53"/>
      <x:c r="AB1114" s="53"/>
      <x:c r="AC1114" s="53"/>
      <x:c r="AD1114" s="53"/>
      <x:c r="AE1114" s="53"/>
      <x:c r="AF1114" s="53"/>
    </x:row>
    <x:row r="1115">
      <x:c r="A1115" s="53"/>
      <x:c r="B1115" s="53"/>
      <x:c r="C1115" s="53"/>
      <x:c r="D1115" s="53"/>
      <x:c r="E1115" s="53"/>
      <x:c r="F1115" s="53"/>
      <x:c r="G1115" s="53"/>
      <x:c r="H1115" s="53"/>
      <x:c r="I1115" s="53"/>
      <x:c r="J1115" s="53"/>
      <x:c r="K1115" s="53"/>
      <x:c r="L1115" s="53"/>
      <x:c r="M1115" s="53"/>
      <x:c r="N1115" s="53"/>
      <x:c r="O1115" s="53"/>
      <x:c r="P1115" s="53"/>
      <x:c r="Q1115" s="53"/>
      <x:c r="R1115" s="53"/>
      <x:c r="S1115" s="53"/>
      <x:c r="T1115" s="53"/>
      <x:c r="U1115" s="53"/>
      <x:c r="V1115" s="53"/>
      <x:c r="W1115" s="53"/>
      <x:c r="X1115" s="53"/>
      <x:c r="Y1115" s="53"/>
      <x:c r="Z1115" s="53"/>
      <x:c r="AA1115" s="53"/>
      <x:c r="AB1115" s="53"/>
      <x:c r="AC1115" s="53"/>
      <x:c r="AD1115" s="53"/>
      <x:c r="AE1115" s="53"/>
      <x:c r="AF1115" s="53"/>
    </x:row>
    <x:row r="1116">
      <x:c r="A1116" s="53"/>
      <x:c r="B1116" s="53"/>
      <x:c r="C1116" s="53"/>
      <x:c r="D1116" s="53"/>
      <x:c r="E1116" s="53"/>
      <x:c r="F1116" s="53"/>
      <x:c r="G1116" s="53"/>
      <x:c r="H1116" s="53"/>
      <x:c r="I1116" s="53"/>
      <x:c r="J1116" s="53"/>
      <x:c r="K1116" s="53"/>
      <x:c r="L1116" s="53"/>
      <x:c r="M1116" s="53"/>
      <x:c r="N1116" s="53"/>
      <x:c r="O1116" s="53"/>
      <x:c r="P1116" s="53"/>
      <x:c r="Q1116" s="53"/>
      <x:c r="R1116" s="53"/>
      <x:c r="S1116" s="53"/>
      <x:c r="T1116" s="53"/>
      <x:c r="U1116" s="53"/>
      <x:c r="V1116" s="53"/>
      <x:c r="W1116" s="53"/>
      <x:c r="X1116" s="53"/>
      <x:c r="Y1116" s="53"/>
      <x:c r="Z1116" s="53"/>
      <x:c r="AA1116" s="53"/>
      <x:c r="AB1116" s="53"/>
      <x:c r="AC1116" s="53"/>
      <x:c r="AD1116" s="53"/>
      <x:c r="AE1116" s="53"/>
      <x:c r="AF1116" s="53"/>
    </x:row>
    <x:row r="1117">
      <x:c r="A1117" s="53"/>
      <x:c r="B1117" s="53"/>
      <x:c r="C1117" s="53"/>
      <x:c r="D1117" s="53"/>
      <x:c r="E1117" s="53"/>
      <x:c r="F1117" s="53"/>
      <x:c r="G1117" s="53"/>
      <x:c r="H1117" s="53"/>
      <x:c r="I1117" s="53"/>
      <x:c r="J1117" s="53"/>
      <x:c r="K1117" s="53"/>
      <x:c r="L1117" s="53"/>
      <x:c r="M1117" s="53"/>
      <x:c r="N1117" s="53"/>
      <x:c r="O1117" s="53"/>
      <x:c r="P1117" s="53"/>
      <x:c r="Q1117" s="53"/>
      <x:c r="R1117" s="53"/>
      <x:c r="S1117" s="53"/>
      <x:c r="T1117" s="53"/>
      <x:c r="U1117" s="53"/>
      <x:c r="V1117" s="53"/>
      <x:c r="W1117" s="53"/>
      <x:c r="X1117" s="53"/>
      <x:c r="Y1117" s="53"/>
      <x:c r="Z1117" s="53"/>
      <x:c r="AA1117" s="53"/>
      <x:c r="AB1117" s="53"/>
      <x:c r="AC1117" s="53"/>
      <x:c r="AD1117" s="53"/>
      <x:c r="AE1117" s="53"/>
      <x:c r="AF1117" s="53"/>
    </x:row>
    <x:row r="1118">
      <x:c r="A1118" s="53"/>
      <x:c r="B1118" s="53"/>
      <x:c r="C1118" s="53"/>
      <x:c r="D1118" s="53"/>
      <x:c r="E1118" s="53"/>
      <x:c r="F1118" s="53"/>
      <x:c r="G1118" s="53"/>
      <x:c r="H1118" s="53"/>
      <x:c r="I1118" s="53"/>
      <x:c r="J1118" s="53"/>
      <x:c r="K1118" s="53"/>
      <x:c r="L1118" s="53"/>
      <x:c r="M1118" s="53"/>
      <x:c r="N1118" s="53"/>
      <x:c r="O1118" s="53"/>
      <x:c r="P1118" s="53"/>
      <x:c r="Q1118" s="53"/>
      <x:c r="R1118" s="53"/>
      <x:c r="S1118" s="53"/>
      <x:c r="T1118" s="53"/>
      <x:c r="U1118" s="53"/>
      <x:c r="V1118" s="53"/>
      <x:c r="W1118" s="53"/>
      <x:c r="X1118" s="53"/>
      <x:c r="Y1118" s="53"/>
      <x:c r="Z1118" s="53"/>
      <x:c r="AA1118" s="53"/>
      <x:c r="AB1118" s="53"/>
      <x:c r="AC1118" s="53"/>
      <x:c r="AD1118" s="53"/>
      <x:c r="AE1118" s="53"/>
      <x:c r="AF1118" s="53"/>
    </x:row>
    <x:row r="1119">
      <x:c r="A1119" s="53"/>
      <x:c r="B1119" s="53"/>
      <x:c r="C1119" s="53"/>
      <x:c r="D1119" s="53"/>
      <x:c r="E1119" s="53"/>
      <x:c r="F1119" s="53"/>
      <x:c r="G1119" s="53"/>
      <x:c r="H1119" s="53"/>
      <x:c r="I1119" s="53"/>
      <x:c r="J1119" s="53"/>
      <x:c r="K1119" s="53"/>
      <x:c r="L1119" s="53"/>
      <x:c r="M1119" s="53"/>
      <x:c r="N1119" s="53"/>
      <x:c r="O1119" s="53"/>
      <x:c r="P1119" s="53"/>
      <x:c r="Q1119" s="53"/>
      <x:c r="R1119" s="53"/>
      <x:c r="S1119" s="53"/>
      <x:c r="T1119" s="53"/>
      <x:c r="U1119" s="53"/>
      <x:c r="V1119" s="53"/>
      <x:c r="W1119" s="53"/>
      <x:c r="X1119" s="53"/>
      <x:c r="Y1119" s="53"/>
      <x:c r="Z1119" s="53"/>
      <x:c r="AA1119" s="53"/>
      <x:c r="AB1119" s="53"/>
      <x:c r="AC1119" s="53"/>
      <x:c r="AD1119" s="53"/>
      <x:c r="AE1119" s="53"/>
      <x:c r="AF1119" s="53"/>
    </x:row>
    <x:row r="1120">
      <x:c r="A1120" s="53"/>
      <x:c r="B1120" s="53"/>
      <x:c r="C1120" s="53"/>
      <x:c r="D1120" s="53"/>
      <x:c r="E1120" s="53"/>
      <x:c r="F1120" s="53"/>
      <x:c r="G1120" s="53"/>
      <x:c r="H1120" s="53"/>
      <x:c r="I1120" s="53"/>
      <x:c r="J1120" s="53"/>
      <x:c r="K1120" s="53"/>
      <x:c r="L1120" s="53"/>
      <x:c r="M1120" s="53"/>
      <x:c r="N1120" s="53"/>
      <x:c r="O1120" s="53"/>
      <x:c r="P1120" s="53"/>
      <x:c r="Q1120" s="53"/>
      <x:c r="R1120" s="53"/>
      <x:c r="S1120" s="53"/>
      <x:c r="T1120" s="53"/>
      <x:c r="U1120" s="53"/>
      <x:c r="V1120" s="53"/>
      <x:c r="W1120" s="53"/>
      <x:c r="X1120" s="53"/>
      <x:c r="Y1120" s="53"/>
      <x:c r="Z1120" s="53"/>
      <x:c r="AA1120" s="53"/>
      <x:c r="AB1120" s="53"/>
      <x:c r="AC1120" s="53"/>
      <x:c r="AD1120" s="53"/>
      <x:c r="AE1120" s="53"/>
      <x:c r="AF1120" s="53"/>
    </x:row>
    <x:row r="1121">
      <x:c r="A1121" s="53"/>
      <x:c r="B1121" s="53"/>
      <x:c r="C1121" s="53"/>
      <x:c r="D1121" s="53"/>
      <x:c r="E1121" s="53"/>
      <x:c r="F1121" s="53"/>
      <x:c r="G1121" s="53"/>
      <x:c r="H1121" s="53"/>
      <x:c r="I1121" s="53"/>
      <x:c r="J1121" s="53"/>
      <x:c r="K1121" s="53"/>
      <x:c r="L1121" s="53"/>
      <x:c r="M1121" s="53"/>
      <x:c r="N1121" s="53"/>
      <x:c r="O1121" s="53"/>
      <x:c r="P1121" s="53"/>
      <x:c r="Q1121" s="53"/>
      <x:c r="R1121" s="53"/>
      <x:c r="S1121" s="53"/>
      <x:c r="T1121" s="53"/>
      <x:c r="U1121" s="53"/>
      <x:c r="V1121" s="53"/>
      <x:c r="W1121" s="53"/>
      <x:c r="X1121" s="53"/>
      <x:c r="Y1121" s="53"/>
      <x:c r="Z1121" s="53"/>
      <x:c r="AA1121" s="53"/>
      <x:c r="AB1121" s="53"/>
      <x:c r="AC1121" s="53"/>
      <x:c r="AD1121" s="53"/>
      <x:c r="AE1121" s="53"/>
      <x:c r="AF1121" s="53"/>
    </x:row>
    <x:row r="1122">
      <x:c r="A1122" s="53"/>
      <x:c r="B1122" s="53"/>
      <x:c r="C1122" s="53"/>
      <x:c r="D1122" s="53"/>
      <x:c r="E1122" s="53"/>
      <x:c r="F1122" s="53"/>
      <x:c r="G1122" s="53"/>
      <x:c r="H1122" s="53"/>
      <x:c r="I1122" s="53"/>
      <x:c r="J1122" s="53"/>
      <x:c r="K1122" s="53"/>
      <x:c r="L1122" s="53"/>
      <x:c r="M1122" s="53"/>
      <x:c r="N1122" s="53"/>
      <x:c r="O1122" s="53"/>
      <x:c r="P1122" s="53"/>
      <x:c r="Q1122" s="53"/>
      <x:c r="R1122" s="53"/>
      <x:c r="S1122" s="53"/>
      <x:c r="T1122" s="53"/>
      <x:c r="U1122" s="53"/>
      <x:c r="V1122" s="53"/>
      <x:c r="W1122" s="53"/>
      <x:c r="X1122" s="53"/>
      <x:c r="Y1122" s="53"/>
      <x:c r="Z1122" s="53"/>
      <x:c r="AA1122" s="53"/>
      <x:c r="AB1122" s="53"/>
      <x:c r="AC1122" s="53"/>
      <x:c r="AD1122" s="53"/>
      <x:c r="AE1122" s="53"/>
      <x:c r="AF1122" s="53"/>
    </x:row>
    <x:row r="1123">
      <x:c r="A1123" s="53"/>
      <x:c r="B1123" s="53"/>
      <x:c r="C1123" s="53"/>
      <x:c r="D1123" s="53"/>
      <x:c r="E1123" s="53"/>
      <x:c r="F1123" s="53"/>
      <x:c r="G1123" s="53"/>
      <x:c r="H1123" s="53"/>
      <x:c r="I1123" s="53"/>
      <x:c r="J1123" s="53"/>
      <x:c r="K1123" s="53"/>
      <x:c r="L1123" s="53"/>
      <x:c r="M1123" s="53"/>
      <x:c r="N1123" s="53"/>
      <x:c r="O1123" s="53"/>
      <x:c r="P1123" s="53"/>
      <x:c r="Q1123" s="53"/>
      <x:c r="R1123" s="53"/>
      <x:c r="S1123" s="53"/>
      <x:c r="T1123" s="53"/>
      <x:c r="U1123" s="53"/>
      <x:c r="V1123" s="53"/>
      <x:c r="W1123" s="53"/>
      <x:c r="X1123" s="53"/>
      <x:c r="Y1123" s="53"/>
      <x:c r="Z1123" s="53"/>
      <x:c r="AA1123" s="53"/>
      <x:c r="AB1123" s="53"/>
      <x:c r="AC1123" s="53"/>
      <x:c r="AD1123" s="53"/>
      <x:c r="AE1123" s="53"/>
      <x:c r="AF1123" s="53"/>
    </x:row>
    <x:row r="1124">
      <x:c r="A1124" s="53"/>
      <x:c r="B1124" s="53"/>
      <x:c r="C1124" s="53"/>
      <x:c r="D1124" s="53"/>
      <x:c r="E1124" s="53"/>
      <x:c r="F1124" s="53"/>
      <x:c r="G1124" s="53"/>
      <x:c r="H1124" s="53"/>
      <x:c r="I1124" s="53"/>
      <x:c r="J1124" s="53"/>
      <x:c r="K1124" s="53"/>
      <x:c r="L1124" s="53"/>
      <x:c r="M1124" s="53"/>
      <x:c r="N1124" s="53"/>
      <x:c r="O1124" s="53"/>
      <x:c r="P1124" s="53"/>
      <x:c r="Q1124" s="53"/>
      <x:c r="R1124" s="53"/>
      <x:c r="S1124" s="53"/>
      <x:c r="T1124" s="53"/>
      <x:c r="U1124" s="53"/>
      <x:c r="V1124" s="53"/>
      <x:c r="W1124" s="53"/>
      <x:c r="X1124" s="53"/>
      <x:c r="Y1124" s="53"/>
      <x:c r="Z1124" s="53"/>
      <x:c r="AA1124" s="53"/>
      <x:c r="AB1124" s="53"/>
      <x:c r="AC1124" s="53"/>
      <x:c r="AD1124" s="53"/>
      <x:c r="AE1124" s="53"/>
      <x:c r="AF1124" s="53"/>
    </x:row>
    <x:row r="1125">
      <x:c r="A1125" s="53"/>
      <x:c r="B1125" s="53"/>
      <x:c r="C1125" s="53"/>
      <x:c r="D1125" s="53"/>
      <x:c r="E1125" s="53"/>
      <x:c r="F1125" s="53"/>
      <x:c r="G1125" s="53"/>
      <x:c r="H1125" s="53"/>
      <x:c r="I1125" s="53"/>
      <x:c r="J1125" s="53"/>
      <x:c r="K1125" s="53"/>
      <x:c r="L1125" s="53"/>
      <x:c r="M1125" s="53"/>
      <x:c r="N1125" s="53"/>
      <x:c r="O1125" s="53"/>
      <x:c r="P1125" s="53"/>
      <x:c r="Q1125" s="53"/>
      <x:c r="R1125" s="53"/>
      <x:c r="S1125" s="53"/>
      <x:c r="T1125" s="53"/>
      <x:c r="U1125" s="53"/>
      <x:c r="V1125" s="53"/>
      <x:c r="W1125" s="53"/>
      <x:c r="X1125" s="53"/>
      <x:c r="Y1125" s="53"/>
      <x:c r="Z1125" s="53"/>
      <x:c r="AA1125" s="53"/>
      <x:c r="AB1125" s="53"/>
      <x:c r="AC1125" s="53"/>
      <x:c r="AD1125" s="53"/>
      <x:c r="AE1125" s="53"/>
      <x:c r="AF1125" s="53"/>
    </x:row>
    <x:row r="1126">
      <x:c r="A1126" s="53"/>
      <x:c r="B1126" s="53"/>
      <x:c r="C1126" s="53"/>
      <x:c r="D1126" s="53"/>
      <x:c r="E1126" s="53"/>
      <x:c r="F1126" s="53"/>
      <x:c r="G1126" s="53"/>
      <x:c r="H1126" s="53"/>
      <x:c r="I1126" s="53"/>
      <x:c r="J1126" s="53"/>
      <x:c r="K1126" s="53"/>
      <x:c r="L1126" s="53"/>
      <x:c r="M1126" s="53"/>
      <x:c r="N1126" s="53"/>
      <x:c r="O1126" s="53"/>
      <x:c r="P1126" s="53"/>
      <x:c r="Q1126" s="53"/>
      <x:c r="R1126" s="53"/>
      <x:c r="S1126" s="53"/>
      <x:c r="T1126" s="53"/>
      <x:c r="U1126" s="53"/>
      <x:c r="V1126" s="53"/>
      <x:c r="W1126" s="53"/>
      <x:c r="X1126" s="53"/>
      <x:c r="Y1126" s="53"/>
      <x:c r="Z1126" s="53"/>
      <x:c r="AA1126" s="53"/>
      <x:c r="AB1126" s="53"/>
      <x:c r="AC1126" s="53"/>
      <x:c r="AD1126" s="53"/>
      <x:c r="AE1126" s="53"/>
      <x:c r="AF1126" s="53"/>
    </x:row>
    <x:row r="1127">
      <x:c r="A1127" s="53"/>
      <x:c r="B1127" s="53"/>
      <x:c r="C1127" s="53"/>
      <x:c r="D1127" s="53"/>
      <x:c r="E1127" s="53"/>
      <x:c r="F1127" s="53"/>
      <x:c r="G1127" s="53"/>
      <x:c r="H1127" s="53"/>
      <x:c r="I1127" s="53"/>
      <x:c r="J1127" s="53"/>
      <x:c r="K1127" s="53"/>
      <x:c r="L1127" s="53"/>
      <x:c r="M1127" s="53"/>
      <x:c r="N1127" s="53"/>
      <x:c r="O1127" s="53"/>
      <x:c r="P1127" s="53"/>
      <x:c r="Q1127" s="53"/>
      <x:c r="R1127" s="53"/>
      <x:c r="S1127" s="53"/>
      <x:c r="T1127" s="53"/>
      <x:c r="U1127" s="53"/>
      <x:c r="V1127" s="53"/>
      <x:c r="W1127" s="53"/>
      <x:c r="X1127" s="53"/>
      <x:c r="Y1127" s="53"/>
      <x:c r="Z1127" s="53"/>
      <x:c r="AA1127" s="53"/>
      <x:c r="AB1127" s="53"/>
      <x:c r="AC1127" s="53"/>
      <x:c r="AD1127" s="53"/>
      <x:c r="AE1127" s="53"/>
      <x:c r="AF1127" s="53"/>
    </x:row>
    <x:row r="1128">
      <x:c r="A1128" s="53"/>
      <x:c r="B1128" s="53"/>
      <x:c r="C1128" s="53"/>
      <x:c r="D1128" s="53"/>
      <x:c r="E1128" s="53"/>
      <x:c r="F1128" s="53"/>
      <x:c r="G1128" s="53"/>
      <x:c r="H1128" s="53"/>
      <x:c r="I1128" s="53"/>
      <x:c r="J1128" s="53"/>
      <x:c r="K1128" s="53"/>
      <x:c r="L1128" s="53"/>
      <x:c r="M1128" s="53"/>
      <x:c r="N1128" s="53"/>
      <x:c r="O1128" s="53"/>
      <x:c r="P1128" s="53"/>
      <x:c r="Q1128" s="53"/>
      <x:c r="R1128" s="53"/>
      <x:c r="S1128" s="53"/>
      <x:c r="T1128" s="53"/>
      <x:c r="U1128" s="53"/>
      <x:c r="V1128" s="53"/>
      <x:c r="W1128" s="53"/>
      <x:c r="X1128" s="53"/>
      <x:c r="Y1128" s="53"/>
      <x:c r="Z1128" s="53"/>
      <x:c r="AA1128" s="53"/>
      <x:c r="AB1128" s="53"/>
      <x:c r="AC1128" s="53"/>
      <x:c r="AD1128" s="53"/>
      <x:c r="AE1128" s="53"/>
      <x:c r="AF1128" s="53"/>
    </x:row>
    <x:row r="1129">
      <x:c r="A1129" s="53"/>
      <x:c r="B1129" s="53"/>
      <x:c r="C1129" s="53"/>
      <x:c r="D1129" s="53"/>
      <x:c r="E1129" s="53"/>
      <x:c r="F1129" s="53"/>
      <x:c r="G1129" s="53"/>
      <x:c r="H1129" s="53"/>
      <x:c r="I1129" s="53"/>
      <x:c r="J1129" s="53"/>
      <x:c r="K1129" s="53"/>
      <x:c r="L1129" s="53"/>
      <x:c r="M1129" s="53"/>
      <x:c r="N1129" s="53"/>
      <x:c r="O1129" s="53"/>
      <x:c r="P1129" s="53"/>
      <x:c r="Q1129" s="53"/>
      <x:c r="R1129" s="53"/>
      <x:c r="S1129" s="53"/>
      <x:c r="T1129" s="53"/>
      <x:c r="U1129" s="53"/>
      <x:c r="V1129" s="53"/>
      <x:c r="W1129" s="53"/>
      <x:c r="X1129" s="53"/>
      <x:c r="Y1129" s="53"/>
      <x:c r="Z1129" s="53"/>
      <x:c r="AA1129" s="53"/>
      <x:c r="AB1129" s="53"/>
      <x:c r="AC1129" s="53"/>
      <x:c r="AD1129" s="53"/>
      <x:c r="AE1129" s="53"/>
      <x:c r="AF1129" s="53"/>
    </x:row>
    <x:row r="1130">
      <x:c r="A1130" s="53"/>
      <x:c r="B1130" s="53"/>
      <x:c r="C1130" s="53"/>
      <x:c r="D1130" s="53"/>
      <x:c r="E1130" s="53"/>
      <x:c r="F1130" s="53"/>
      <x:c r="G1130" s="53"/>
      <x:c r="H1130" s="53"/>
      <x:c r="I1130" s="53"/>
      <x:c r="J1130" s="53"/>
      <x:c r="K1130" s="53"/>
      <x:c r="L1130" s="53"/>
      <x:c r="M1130" s="53"/>
      <x:c r="N1130" s="53"/>
      <x:c r="O1130" s="53"/>
      <x:c r="P1130" s="53"/>
      <x:c r="Q1130" s="53"/>
      <x:c r="R1130" s="53"/>
      <x:c r="S1130" s="53"/>
      <x:c r="T1130" s="53"/>
      <x:c r="U1130" s="53"/>
      <x:c r="V1130" s="53"/>
      <x:c r="W1130" s="53"/>
      <x:c r="X1130" s="53"/>
      <x:c r="Y1130" s="53"/>
      <x:c r="Z1130" s="53"/>
      <x:c r="AA1130" s="53"/>
      <x:c r="AB1130" s="53"/>
      <x:c r="AC1130" s="53"/>
      <x:c r="AD1130" s="53"/>
      <x:c r="AE1130" s="53"/>
      <x:c r="AF1130" s="53"/>
    </x:row>
    <x:row r="1131">
      <x:c r="A1131" s="53"/>
      <x:c r="B1131" s="53"/>
      <x:c r="C1131" s="53"/>
      <x:c r="D1131" s="53"/>
      <x:c r="E1131" s="53"/>
      <x:c r="F1131" s="53"/>
      <x:c r="G1131" s="53"/>
      <x:c r="H1131" s="53"/>
      <x:c r="I1131" s="53"/>
      <x:c r="J1131" s="53"/>
      <x:c r="K1131" s="53"/>
      <x:c r="L1131" s="53"/>
      <x:c r="M1131" s="53"/>
      <x:c r="N1131" s="53"/>
      <x:c r="O1131" s="53"/>
      <x:c r="P1131" s="53"/>
      <x:c r="Q1131" s="53"/>
      <x:c r="R1131" s="53"/>
      <x:c r="S1131" s="53"/>
      <x:c r="T1131" s="53"/>
      <x:c r="U1131" s="53"/>
      <x:c r="V1131" s="53"/>
      <x:c r="W1131" s="53"/>
      <x:c r="X1131" s="53"/>
      <x:c r="Y1131" s="53"/>
      <x:c r="Z1131" s="53"/>
      <x:c r="AA1131" s="53"/>
      <x:c r="AB1131" s="53"/>
      <x:c r="AC1131" s="53"/>
      <x:c r="AD1131" s="53"/>
      <x:c r="AE1131" s="53"/>
      <x:c r="AF1131" s="53"/>
    </x:row>
    <x:row r="1132">
      <x:c r="A1132" s="53"/>
      <x:c r="B1132" s="53"/>
      <x:c r="C1132" s="53"/>
      <x:c r="D1132" s="53"/>
      <x:c r="E1132" s="53"/>
      <x:c r="F1132" s="53"/>
      <x:c r="G1132" s="53"/>
      <x:c r="H1132" s="53"/>
      <x:c r="I1132" s="53"/>
      <x:c r="J1132" s="53"/>
      <x:c r="K1132" s="53"/>
      <x:c r="L1132" s="53"/>
      <x:c r="M1132" s="53"/>
      <x:c r="N1132" s="53"/>
      <x:c r="O1132" s="53"/>
      <x:c r="P1132" s="53"/>
      <x:c r="Q1132" s="53"/>
      <x:c r="R1132" s="53"/>
      <x:c r="S1132" s="53"/>
      <x:c r="T1132" s="53"/>
      <x:c r="U1132" s="53"/>
      <x:c r="V1132" s="53"/>
      <x:c r="W1132" s="53"/>
      <x:c r="X1132" s="53"/>
      <x:c r="Y1132" s="53"/>
      <x:c r="Z1132" s="53"/>
      <x:c r="AA1132" s="53"/>
      <x:c r="AB1132" s="53"/>
      <x:c r="AC1132" s="53"/>
      <x:c r="AD1132" s="53"/>
      <x:c r="AE1132" s="53"/>
      <x:c r="AF1132" s="53"/>
    </x:row>
    <x:row r="1133">
      <x:c r="A1133" s="53"/>
      <x:c r="B1133" s="53"/>
      <x:c r="C1133" s="53"/>
      <x:c r="D1133" s="53"/>
      <x:c r="E1133" s="53"/>
      <x:c r="F1133" s="53"/>
      <x:c r="G1133" s="53"/>
      <x:c r="H1133" s="53"/>
      <x:c r="I1133" s="53"/>
      <x:c r="J1133" s="53"/>
      <x:c r="K1133" s="53"/>
      <x:c r="L1133" s="53"/>
      <x:c r="M1133" s="53"/>
      <x:c r="N1133" s="53"/>
      <x:c r="O1133" s="53"/>
      <x:c r="P1133" s="53"/>
      <x:c r="Q1133" s="53"/>
      <x:c r="R1133" s="53"/>
      <x:c r="S1133" s="53"/>
      <x:c r="T1133" s="53"/>
      <x:c r="U1133" s="53"/>
      <x:c r="V1133" s="53"/>
      <x:c r="W1133" s="53"/>
      <x:c r="X1133" s="53"/>
      <x:c r="Y1133" s="53"/>
      <x:c r="Z1133" s="53"/>
      <x:c r="AA1133" s="53"/>
      <x:c r="AB1133" s="53"/>
      <x:c r="AC1133" s="53"/>
      <x:c r="AD1133" s="53"/>
      <x:c r="AE1133" s="53"/>
      <x:c r="AF1133" s="53"/>
    </x:row>
    <x:row r="1134">
      <x:c r="A1134" s="53"/>
      <x:c r="B1134" s="53"/>
      <x:c r="C1134" s="53"/>
      <x:c r="D1134" s="53"/>
      <x:c r="E1134" s="53"/>
      <x:c r="F1134" s="53"/>
      <x:c r="G1134" s="53"/>
      <x:c r="H1134" s="53"/>
      <x:c r="I1134" s="53"/>
      <x:c r="J1134" s="53"/>
      <x:c r="K1134" s="53"/>
      <x:c r="L1134" s="53"/>
      <x:c r="M1134" s="53"/>
      <x:c r="N1134" s="53"/>
      <x:c r="O1134" s="53"/>
      <x:c r="P1134" s="53"/>
      <x:c r="Q1134" s="53"/>
      <x:c r="R1134" s="53"/>
      <x:c r="S1134" s="53"/>
      <x:c r="T1134" s="53"/>
      <x:c r="U1134" s="53"/>
      <x:c r="V1134" s="53"/>
      <x:c r="W1134" s="53"/>
      <x:c r="X1134" s="53"/>
      <x:c r="Y1134" s="53"/>
      <x:c r="Z1134" s="53"/>
      <x:c r="AA1134" s="53"/>
      <x:c r="AB1134" s="53"/>
      <x:c r="AC1134" s="53"/>
      <x:c r="AD1134" s="53"/>
      <x:c r="AE1134" s="53"/>
      <x:c r="AF1134" s="53"/>
    </x:row>
    <x:row r="1135">
      <x:c r="A1135" s="53"/>
      <x:c r="B1135" s="53"/>
      <x:c r="C1135" s="53"/>
      <x:c r="D1135" s="53"/>
      <x:c r="E1135" s="53"/>
      <x:c r="F1135" s="53"/>
      <x:c r="G1135" s="53"/>
      <x:c r="H1135" s="53"/>
      <x:c r="I1135" s="53"/>
      <x:c r="J1135" s="53"/>
      <x:c r="K1135" s="53"/>
      <x:c r="L1135" s="53"/>
      <x:c r="M1135" s="53"/>
      <x:c r="N1135" s="53"/>
      <x:c r="O1135" s="53"/>
      <x:c r="P1135" s="53"/>
      <x:c r="Q1135" s="53"/>
      <x:c r="R1135" s="53"/>
      <x:c r="S1135" s="53"/>
      <x:c r="T1135" s="53"/>
      <x:c r="U1135" s="53"/>
      <x:c r="V1135" s="53"/>
      <x:c r="W1135" s="53"/>
      <x:c r="X1135" s="53"/>
      <x:c r="Y1135" s="53"/>
      <x:c r="Z1135" s="53"/>
      <x:c r="AA1135" s="53"/>
      <x:c r="AB1135" s="53"/>
      <x:c r="AC1135" s="53"/>
      <x:c r="AD1135" s="53"/>
      <x:c r="AE1135" s="53"/>
      <x:c r="AF1135" s="53"/>
    </x:row>
    <x:row r="1136">
      <x:c r="A1136" s="53"/>
      <x:c r="B1136" s="53"/>
      <x:c r="C1136" s="53"/>
      <x:c r="D1136" s="53"/>
      <x:c r="E1136" s="53"/>
      <x:c r="F1136" s="53"/>
      <x:c r="G1136" s="53"/>
      <x:c r="H1136" s="53"/>
      <x:c r="I1136" s="53"/>
      <x:c r="J1136" s="53"/>
      <x:c r="K1136" s="53"/>
      <x:c r="L1136" s="53"/>
      <x:c r="M1136" s="53"/>
      <x:c r="N1136" s="53"/>
      <x:c r="O1136" s="53"/>
      <x:c r="P1136" s="53"/>
      <x:c r="Q1136" s="53"/>
      <x:c r="R1136" s="53"/>
      <x:c r="S1136" s="53"/>
      <x:c r="T1136" s="53"/>
      <x:c r="U1136" s="53"/>
      <x:c r="V1136" s="53"/>
      <x:c r="W1136" s="53"/>
      <x:c r="X1136" s="53"/>
      <x:c r="Y1136" s="53"/>
      <x:c r="Z1136" s="53"/>
      <x:c r="AA1136" s="53"/>
      <x:c r="AB1136" s="53"/>
      <x:c r="AC1136" s="53"/>
      <x:c r="AD1136" s="53"/>
      <x:c r="AE1136" s="53"/>
      <x:c r="AF1136" s="53"/>
    </x:row>
    <x:row r="1137">
      <x:c r="A1137" s="53"/>
      <x:c r="B1137" s="53"/>
      <x:c r="C1137" s="53"/>
      <x:c r="D1137" s="53"/>
      <x:c r="E1137" s="53"/>
      <x:c r="F1137" s="53"/>
      <x:c r="G1137" s="53"/>
      <x:c r="H1137" s="53"/>
      <x:c r="I1137" s="53"/>
      <x:c r="J1137" s="53"/>
      <x:c r="K1137" s="53"/>
      <x:c r="L1137" s="53"/>
      <x:c r="M1137" s="53"/>
      <x:c r="N1137" s="53"/>
      <x:c r="O1137" s="53"/>
      <x:c r="P1137" s="53"/>
      <x:c r="Q1137" s="53"/>
      <x:c r="R1137" s="53"/>
      <x:c r="S1137" s="53"/>
      <x:c r="T1137" s="53"/>
      <x:c r="U1137" s="53"/>
      <x:c r="V1137" s="53"/>
      <x:c r="W1137" s="53"/>
      <x:c r="X1137" s="53"/>
      <x:c r="Y1137" s="53"/>
      <x:c r="Z1137" s="53"/>
      <x:c r="AA1137" s="53"/>
      <x:c r="AB1137" s="53"/>
      <x:c r="AC1137" s="53"/>
      <x:c r="AD1137" s="53"/>
      <x:c r="AE1137" s="53"/>
      <x:c r="AF1137" s="53"/>
    </x:row>
    <x:row r="1138">
      <x:c r="A1138" s="53"/>
      <x:c r="B1138" s="53"/>
      <x:c r="C1138" s="53"/>
      <x:c r="D1138" s="53"/>
      <x:c r="E1138" s="53"/>
      <x:c r="F1138" s="53"/>
      <x:c r="G1138" s="53"/>
      <x:c r="H1138" s="53"/>
      <x:c r="I1138" s="53"/>
      <x:c r="J1138" s="53"/>
      <x:c r="K1138" s="53"/>
      <x:c r="L1138" s="53"/>
      <x:c r="M1138" s="53"/>
      <x:c r="N1138" s="53"/>
      <x:c r="O1138" s="53"/>
      <x:c r="P1138" s="53"/>
      <x:c r="Q1138" s="53"/>
      <x:c r="R1138" s="53"/>
      <x:c r="S1138" s="53"/>
      <x:c r="T1138" s="53"/>
      <x:c r="U1138" s="53"/>
      <x:c r="V1138" s="53"/>
      <x:c r="W1138" s="53"/>
      <x:c r="X1138" s="53"/>
      <x:c r="Y1138" s="53"/>
      <x:c r="Z1138" s="53"/>
      <x:c r="AA1138" s="53"/>
      <x:c r="AB1138" s="53"/>
      <x:c r="AC1138" s="53"/>
      <x:c r="AD1138" s="53"/>
      <x:c r="AE1138" s="53"/>
      <x:c r="AF1138" s="53"/>
    </x:row>
    <x:row r="1139">
      <x:c r="A1139" s="53"/>
      <x:c r="B1139" s="53"/>
      <x:c r="C1139" s="53"/>
      <x:c r="D1139" s="53"/>
      <x:c r="E1139" s="53"/>
      <x:c r="F1139" s="53"/>
      <x:c r="G1139" s="53"/>
      <x:c r="H1139" s="53"/>
      <x:c r="I1139" s="53"/>
      <x:c r="J1139" s="53"/>
      <x:c r="K1139" s="53"/>
      <x:c r="L1139" s="53"/>
      <x:c r="M1139" s="53"/>
      <x:c r="N1139" s="53"/>
      <x:c r="O1139" s="53"/>
      <x:c r="P1139" s="53"/>
      <x:c r="Q1139" s="53"/>
      <x:c r="R1139" s="53"/>
      <x:c r="S1139" s="53"/>
      <x:c r="T1139" s="53"/>
      <x:c r="U1139" s="53"/>
      <x:c r="V1139" s="53"/>
      <x:c r="W1139" s="53"/>
      <x:c r="X1139" s="53"/>
      <x:c r="Y1139" s="53"/>
      <x:c r="Z1139" s="53"/>
      <x:c r="AA1139" s="53"/>
      <x:c r="AB1139" s="53"/>
      <x:c r="AC1139" s="53"/>
      <x:c r="AD1139" s="53"/>
      <x:c r="AE1139" s="53"/>
      <x:c r="AF1139" s="53"/>
    </x:row>
    <x:row r="1140">
      <x:c r="A1140" s="53"/>
      <x:c r="B1140" s="53"/>
      <x:c r="C1140" s="53"/>
      <x:c r="D1140" s="53"/>
      <x:c r="E1140" s="53"/>
      <x:c r="F1140" s="53"/>
      <x:c r="G1140" s="53"/>
      <x:c r="H1140" s="53"/>
      <x:c r="I1140" s="53"/>
      <x:c r="J1140" s="53"/>
      <x:c r="K1140" s="53"/>
      <x:c r="L1140" s="53"/>
      <x:c r="M1140" s="53"/>
      <x:c r="N1140" s="53"/>
      <x:c r="O1140" s="53"/>
      <x:c r="P1140" s="53"/>
      <x:c r="Q1140" s="53"/>
      <x:c r="R1140" s="53"/>
      <x:c r="S1140" s="53"/>
      <x:c r="T1140" s="53"/>
      <x:c r="U1140" s="53"/>
      <x:c r="V1140" s="53"/>
      <x:c r="W1140" s="53"/>
      <x:c r="X1140" s="53"/>
      <x:c r="Y1140" s="53"/>
      <x:c r="Z1140" s="53"/>
      <x:c r="AA1140" s="53"/>
      <x:c r="AB1140" s="53"/>
      <x:c r="AC1140" s="53"/>
      <x:c r="AD1140" s="53"/>
      <x:c r="AE1140" s="53"/>
      <x:c r="AF1140" s="53"/>
    </x:row>
    <x:row r="1141">
      <x:c r="A1141" s="53"/>
      <x:c r="B1141" s="53"/>
      <x:c r="C1141" s="53"/>
      <x:c r="D1141" s="53"/>
      <x:c r="E1141" s="53"/>
      <x:c r="F1141" s="53"/>
      <x:c r="G1141" s="53"/>
      <x:c r="H1141" s="53"/>
      <x:c r="I1141" s="53"/>
      <x:c r="J1141" s="53"/>
      <x:c r="K1141" s="53"/>
      <x:c r="L1141" s="53"/>
      <x:c r="M1141" s="53"/>
      <x:c r="N1141" s="53"/>
      <x:c r="O1141" s="53"/>
      <x:c r="P1141" s="53"/>
      <x:c r="Q1141" s="53"/>
      <x:c r="R1141" s="53"/>
      <x:c r="S1141" s="53"/>
      <x:c r="T1141" s="53"/>
      <x:c r="U1141" s="53"/>
      <x:c r="V1141" s="53"/>
      <x:c r="W1141" s="53"/>
      <x:c r="X1141" s="53"/>
      <x:c r="Y1141" s="53"/>
      <x:c r="Z1141" s="53"/>
      <x:c r="AA1141" s="53"/>
      <x:c r="AB1141" s="53"/>
      <x:c r="AC1141" s="53"/>
      <x:c r="AD1141" s="53"/>
      <x:c r="AE1141" s="53"/>
      <x:c r="AF1141" s="53"/>
    </x:row>
    <x:row r="1142">
      <x:c r="A1142" s="53"/>
      <x:c r="B1142" s="53"/>
      <x:c r="C1142" s="53"/>
      <x:c r="D1142" s="53"/>
      <x:c r="E1142" s="53"/>
      <x:c r="F1142" s="53"/>
      <x:c r="G1142" s="53"/>
      <x:c r="H1142" s="53"/>
      <x:c r="I1142" s="53"/>
      <x:c r="J1142" s="53"/>
      <x:c r="K1142" s="53"/>
      <x:c r="L1142" s="53"/>
      <x:c r="M1142" s="53"/>
      <x:c r="N1142" s="53"/>
      <x:c r="O1142" s="53"/>
      <x:c r="P1142" s="53"/>
      <x:c r="Q1142" s="53"/>
      <x:c r="R1142" s="53"/>
      <x:c r="S1142" s="53"/>
      <x:c r="T1142" s="53"/>
      <x:c r="U1142" s="53"/>
      <x:c r="V1142" s="53"/>
      <x:c r="W1142" s="53"/>
      <x:c r="X1142" s="53"/>
      <x:c r="Y1142" s="53"/>
      <x:c r="Z1142" s="53"/>
      <x:c r="AA1142" s="53"/>
      <x:c r="AB1142" s="53"/>
      <x:c r="AC1142" s="53"/>
      <x:c r="AD1142" s="53"/>
      <x:c r="AE1142" s="53"/>
      <x:c r="AF1142" s="53"/>
    </x:row>
    <x:row r="1143">
      <x:c r="A1143" s="53"/>
      <x:c r="B1143" s="53"/>
      <x:c r="C1143" s="53"/>
      <x:c r="D1143" s="53"/>
      <x:c r="E1143" s="53"/>
      <x:c r="F1143" s="53"/>
      <x:c r="G1143" s="53"/>
      <x:c r="H1143" s="53"/>
      <x:c r="I1143" s="53"/>
      <x:c r="J1143" s="53"/>
      <x:c r="K1143" s="53"/>
      <x:c r="L1143" s="53"/>
      <x:c r="M1143" s="53"/>
      <x:c r="N1143" s="53"/>
      <x:c r="O1143" s="53"/>
      <x:c r="P1143" s="53"/>
      <x:c r="Q1143" s="53"/>
      <x:c r="R1143" s="53"/>
      <x:c r="S1143" s="53"/>
      <x:c r="T1143" s="53"/>
      <x:c r="U1143" s="53"/>
      <x:c r="V1143" s="53"/>
      <x:c r="W1143" s="53"/>
      <x:c r="X1143" s="53"/>
      <x:c r="Y1143" s="53"/>
      <x:c r="Z1143" s="53"/>
      <x:c r="AA1143" s="53"/>
      <x:c r="AB1143" s="53"/>
      <x:c r="AC1143" s="53"/>
      <x:c r="AD1143" s="53"/>
      <x:c r="AE1143" s="53"/>
      <x:c r="AF1143" s="53"/>
    </x:row>
    <x:row r="1144">
      <x:c r="A1144" s="53"/>
      <x:c r="B1144" s="53"/>
      <x:c r="C1144" s="53"/>
      <x:c r="D1144" s="53"/>
      <x:c r="E1144" s="53"/>
      <x:c r="F1144" s="53"/>
      <x:c r="G1144" s="53"/>
      <x:c r="H1144" s="53"/>
      <x:c r="I1144" s="53"/>
      <x:c r="J1144" s="53"/>
      <x:c r="K1144" s="53"/>
      <x:c r="L1144" s="53"/>
      <x:c r="M1144" s="53"/>
      <x:c r="N1144" s="53"/>
      <x:c r="O1144" s="53"/>
      <x:c r="P1144" s="53"/>
      <x:c r="Q1144" s="53"/>
      <x:c r="R1144" s="53"/>
      <x:c r="S1144" s="53"/>
      <x:c r="T1144" s="53"/>
      <x:c r="U1144" s="53"/>
      <x:c r="V1144" s="53"/>
      <x:c r="W1144" s="53"/>
      <x:c r="X1144" s="53"/>
      <x:c r="Y1144" s="53"/>
      <x:c r="Z1144" s="53"/>
      <x:c r="AA1144" s="53"/>
      <x:c r="AB1144" s="53"/>
      <x:c r="AC1144" s="53"/>
      <x:c r="AD1144" s="53"/>
      <x:c r="AE1144" s="53"/>
      <x:c r="AF1144" s="53"/>
    </x:row>
    <x:row r="1145">
      <x:c r="A1145" s="53"/>
      <x:c r="B1145" s="53"/>
      <x:c r="C1145" s="53"/>
      <x:c r="D1145" s="53"/>
      <x:c r="E1145" s="53"/>
      <x:c r="F1145" s="53"/>
      <x:c r="G1145" s="53"/>
      <x:c r="H1145" s="53"/>
      <x:c r="I1145" s="53"/>
      <x:c r="J1145" s="53"/>
      <x:c r="K1145" s="53"/>
      <x:c r="L1145" s="53"/>
      <x:c r="M1145" s="53"/>
      <x:c r="N1145" s="53"/>
      <x:c r="O1145" s="53"/>
      <x:c r="P1145" s="53"/>
      <x:c r="Q1145" s="53"/>
      <x:c r="R1145" s="53"/>
      <x:c r="S1145" s="53"/>
      <x:c r="T1145" s="53"/>
      <x:c r="U1145" s="53"/>
      <x:c r="V1145" s="53"/>
      <x:c r="W1145" s="53"/>
      <x:c r="X1145" s="53"/>
      <x:c r="Y1145" s="53"/>
      <x:c r="Z1145" s="53"/>
      <x:c r="AA1145" s="53"/>
      <x:c r="AB1145" s="53"/>
      <x:c r="AC1145" s="53"/>
      <x:c r="AD1145" s="53"/>
      <x:c r="AE1145" s="53"/>
      <x:c r="AF1145" s="53"/>
    </x:row>
    <x:row r="1146">
      <x:c r="A1146" s="53"/>
      <x:c r="B1146" s="53"/>
      <x:c r="C1146" s="53"/>
      <x:c r="D1146" s="53"/>
      <x:c r="E1146" s="53"/>
      <x:c r="F1146" s="53"/>
      <x:c r="G1146" s="53"/>
      <x:c r="H1146" s="53"/>
      <x:c r="I1146" s="53"/>
      <x:c r="J1146" s="53"/>
      <x:c r="K1146" s="53"/>
      <x:c r="L1146" s="53"/>
      <x:c r="M1146" s="53"/>
      <x:c r="N1146" s="53"/>
      <x:c r="O1146" s="53"/>
      <x:c r="P1146" s="53"/>
      <x:c r="Q1146" s="53"/>
      <x:c r="R1146" s="53"/>
      <x:c r="S1146" s="53"/>
      <x:c r="T1146" s="53"/>
      <x:c r="U1146" s="53"/>
      <x:c r="V1146" s="53"/>
      <x:c r="W1146" s="53"/>
      <x:c r="X1146" s="53"/>
      <x:c r="Y1146" s="53"/>
      <x:c r="Z1146" s="53"/>
      <x:c r="AA1146" s="53"/>
      <x:c r="AB1146" s="53"/>
      <x:c r="AC1146" s="53"/>
      <x:c r="AD1146" s="53"/>
      <x:c r="AE1146" s="53"/>
      <x:c r="AF1146" s="53"/>
    </x:row>
    <x:row r="1147">
      <x:c r="A1147" s="53"/>
      <x:c r="B1147" s="53"/>
      <x:c r="C1147" s="53"/>
      <x:c r="D1147" s="53"/>
      <x:c r="E1147" s="53"/>
      <x:c r="F1147" s="53"/>
      <x:c r="G1147" s="53"/>
      <x:c r="H1147" s="53"/>
      <x:c r="I1147" s="53"/>
      <x:c r="J1147" s="53"/>
      <x:c r="K1147" s="53"/>
      <x:c r="L1147" s="53"/>
      <x:c r="M1147" s="53"/>
      <x:c r="N1147" s="53"/>
      <x:c r="O1147" s="53"/>
      <x:c r="P1147" s="53"/>
      <x:c r="Q1147" s="53"/>
      <x:c r="R1147" s="53"/>
      <x:c r="S1147" s="53"/>
      <x:c r="T1147" s="53"/>
      <x:c r="U1147" s="53"/>
      <x:c r="V1147" s="53"/>
      <x:c r="W1147" s="53"/>
      <x:c r="X1147" s="53"/>
      <x:c r="Y1147" s="53"/>
      <x:c r="Z1147" s="53"/>
      <x:c r="AA1147" s="53"/>
      <x:c r="AB1147" s="53"/>
      <x:c r="AC1147" s="53"/>
      <x:c r="AD1147" s="53"/>
      <x:c r="AE1147" s="53"/>
      <x:c r="AF1147" s="53"/>
    </x:row>
    <x:row r="1148">
      <x:c r="A1148" s="53"/>
      <x:c r="B1148" s="53"/>
      <x:c r="C1148" s="53"/>
      <x:c r="D1148" s="53"/>
      <x:c r="E1148" s="53"/>
      <x:c r="F1148" s="53"/>
      <x:c r="G1148" s="53"/>
      <x:c r="H1148" s="53"/>
      <x:c r="I1148" s="53"/>
      <x:c r="J1148" s="53"/>
      <x:c r="K1148" s="53"/>
      <x:c r="L1148" s="53"/>
      <x:c r="M1148" s="53"/>
      <x:c r="N1148" s="53"/>
      <x:c r="O1148" s="53"/>
      <x:c r="P1148" s="53"/>
      <x:c r="Q1148" s="53"/>
      <x:c r="R1148" s="53"/>
      <x:c r="S1148" s="53"/>
      <x:c r="T1148" s="53"/>
      <x:c r="U1148" s="53"/>
      <x:c r="V1148" s="53"/>
      <x:c r="W1148" s="53"/>
      <x:c r="X1148" s="53"/>
      <x:c r="Y1148" s="53"/>
      <x:c r="Z1148" s="53"/>
      <x:c r="AA1148" s="53"/>
      <x:c r="AB1148" s="53"/>
      <x:c r="AC1148" s="53"/>
      <x:c r="AD1148" s="53"/>
      <x:c r="AE1148" s="53"/>
      <x:c r="AF1148" s="53"/>
    </x:row>
    <x:row r="1149">
      <x:c r="A1149" s="53"/>
      <x:c r="B1149" s="53"/>
      <x:c r="C1149" s="53"/>
      <x:c r="D1149" s="53"/>
      <x:c r="E1149" s="53"/>
      <x:c r="F1149" s="53"/>
      <x:c r="G1149" s="53"/>
      <x:c r="H1149" s="53"/>
      <x:c r="I1149" s="53"/>
      <x:c r="J1149" s="53"/>
      <x:c r="K1149" s="53"/>
      <x:c r="L1149" s="53"/>
      <x:c r="M1149" s="53"/>
      <x:c r="N1149" s="53"/>
      <x:c r="O1149" s="53"/>
      <x:c r="P1149" s="53"/>
      <x:c r="Q1149" s="53"/>
      <x:c r="R1149" s="53"/>
      <x:c r="S1149" s="53"/>
      <x:c r="T1149" s="53"/>
      <x:c r="U1149" s="53"/>
      <x:c r="V1149" s="53"/>
      <x:c r="W1149" s="53"/>
      <x:c r="X1149" s="53"/>
      <x:c r="Y1149" s="53"/>
      <x:c r="Z1149" s="53"/>
      <x:c r="AA1149" s="53"/>
      <x:c r="AB1149" s="53"/>
      <x:c r="AC1149" s="53"/>
      <x:c r="AD1149" s="53"/>
      <x:c r="AE1149" s="53"/>
      <x:c r="AF1149" s="53"/>
    </x:row>
    <x:row r="1150">
      <x:c r="A1150" s="53"/>
      <x:c r="B1150" s="53"/>
      <x:c r="C1150" s="53"/>
      <x:c r="D1150" s="53"/>
      <x:c r="E1150" s="53"/>
      <x:c r="F1150" s="53"/>
      <x:c r="G1150" s="53"/>
      <x:c r="H1150" s="53"/>
      <x:c r="I1150" s="53"/>
      <x:c r="J1150" s="53"/>
      <x:c r="K1150" s="53"/>
      <x:c r="L1150" s="53"/>
      <x:c r="M1150" s="53"/>
      <x:c r="N1150" s="53"/>
      <x:c r="O1150" s="53"/>
      <x:c r="P1150" s="53"/>
      <x:c r="Q1150" s="53"/>
      <x:c r="R1150" s="53"/>
      <x:c r="S1150" s="53"/>
      <x:c r="T1150" s="53"/>
      <x:c r="U1150" s="53"/>
      <x:c r="V1150" s="53"/>
      <x:c r="W1150" s="53"/>
      <x:c r="X1150" s="53"/>
      <x:c r="Y1150" s="53"/>
      <x:c r="Z1150" s="53"/>
      <x:c r="AA1150" s="53"/>
      <x:c r="AB1150" s="53"/>
      <x:c r="AC1150" s="53"/>
      <x:c r="AD1150" s="53"/>
      <x:c r="AE1150" s="53"/>
      <x:c r="AF1150" s="53"/>
    </x:row>
    <x:row r="1151">
      <x:c r="A1151" s="53"/>
      <x:c r="B1151" s="53"/>
      <x:c r="C1151" s="53"/>
      <x:c r="D1151" s="53"/>
      <x:c r="E1151" s="53"/>
      <x:c r="F1151" s="53"/>
      <x:c r="G1151" s="53"/>
      <x:c r="H1151" s="53"/>
      <x:c r="I1151" s="53"/>
      <x:c r="J1151" s="53"/>
      <x:c r="K1151" s="53"/>
      <x:c r="L1151" s="53"/>
      <x:c r="M1151" s="53"/>
      <x:c r="N1151" s="53"/>
      <x:c r="O1151" s="53"/>
      <x:c r="P1151" s="53"/>
      <x:c r="Q1151" s="53"/>
      <x:c r="R1151" s="53"/>
      <x:c r="S1151" s="53"/>
      <x:c r="T1151" s="53"/>
      <x:c r="U1151" s="53"/>
      <x:c r="V1151" s="53"/>
      <x:c r="W1151" s="53"/>
      <x:c r="X1151" s="53"/>
      <x:c r="Y1151" s="53"/>
      <x:c r="Z1151" s="53"/>
      <x:c r="AA1151" s="53"/>
      <x:c r="AB1151" s="53"/>
      <x:c r="AC1151" s="53"/>
      <x:c r="AD1151" s="53"/>
      <x:c r="AE1151" s="53"/>
      <x:c r="AF1151" s="53"/>
    </x:row>
    <x:row r="1152">
      <x:c r="A1152" s="53"/>
      <x:c r="B1152" s="53"/>
      <x:c r="C1152" s="53"/>
      <x:c r="D1152" s="53"/>
      <x:c r="E1152" s="53"/>
      <x:c r="F1152" s="53"/>
      <x:c r="G1152" s="53"/>
      <x:c r="H1152" s="53"/>
      <x:c r="I1152" s="53"/>
      <x:c r="J1152" s="53"/>
      <x:c r="K1152" s="53"/>
      <x:c r="L1152" s="53"/>
      <x:c r="M1152" s="53"/>
      <x:c r="N1152" s="53"/>
      <x:c r="O1152" s="53"/>
      <x:c r="P1152" s="53"/>
      <x:c r="Q1152" s="53"/>
      <x:c r="R1152" s="53"/>
      <x:c r="S1152" s="53"/>
      <x:c r="T1152" s="53"/>
      <x:c r="U1152" s="53"/>
      <x:c r="V1152" s="53"/>
      <x:c r="W1152" s="53"/>
      <x:c r="X1152" s="53"/>
      <x:c r="Y1152" s="53"/>
      <x:c r="Z1152" s="53"/>
      <x:c r="AA1152" s="53"/>
      <x:c r="AB1152" s="53"/>
      <x:c r="AC1152" s="53"/>
      <x:c r="AD1152" s="53"/>
      <x:c r="AE1152" s="53"/>
      <x:c r="AF1152" s="53"/>
    </x:row>
    <x:row r="1153">
      <x:c r="A1153" s="53"/>
      <x:c r="B1153" s="53"/>
      <x:c r="C1153" s="53"/>
      <x:c r="D1153" s="53"/>
      <x:c r="E1153" s="53"/>
      <x:c r="F1153" s="53"/>
      <x:c r="G1153" s="53"/>
      <x:c r="H1153" s="53"/>
      <x:c r="I1153" s="53"/>
      <x:c r="J1153" s="53"/>
      <x:c r="K1153" s="53"/>
      <x:c r="L1153" s="53"/>
      <x:c r="M1153" s="53"/>
      <x:c r="N1153" s="53"/>
      <x:c r="O1153" s="53"/>
      <x:c r="P1153" s="53"/>
      <x:c r="Q1153" s="53"/>
      <x:c r="R1153" s="53"/>
      <x:c r="S1153" s="53"/>
      <x:c r="T1153" s="53"/>
      <x:c r="U1153" s="53"/>
      <x:c r="V1153" s="53"/>
      <x:c r="W1153" s="53"/>
      <x:c r="X1153" s="53"/>
      <x:c r="Y1153" s="53"/>
      <x:c r="Z1153" s="53"/>
      <x:c r="AA1153" s="53"/>
      <x:c r="AB1153" s="53"/>
      <x:c r="AC1153" s="53"/>
      <x:c r="AD1153" s="53"/>
      <x:c r="AE1153" s="53"/>
      <x:c r="AF1153" s="53"/>
    </x:row>
    <x:row r="1154">
      <x:c r="A1154" s="53"/>
      <x:c r="B1154" s="53"/>
      <x:c r="C1154" s="53"/>
      <x:c r="D1154" s="53"/>
      <x:c r="E1154" s="53"/>
      <x:c r="F1154" s="53"/>
      <x:c r="G1154" s="53"/>
      <x:c r="H1154" s="53"/>
      <x:c r="I1154" s="53"/>
      <x:c r="J1154" s="53"/>
      <x:c r="K1154" s="53"/>
      <x:c r="L1154" s="53"/>
      <x:c r="M1154" s="53"/>
      <x:c r="N1154" s="53"/>
      <x:c r="O1154" s="53"/>
      <x:c r="P1154" s="53"/>
      <x:c r="Q1154" s="53"/>
      <x:c r="R1154" s="53"/>
      <x:c r="S1154" s="53"/>
      <x:c r="T1154" s="53"/>
      <x:c r="U1154" s="53"/>
      <x:c r="V1154" s="53"/>
      <x:c r="W1154" s="53"/>
      <x:c r="X1154" s="53"/>
      <x:c r="Y1154" s="53"/>
      <x:c r="Z1154" s="53"/>
      <x:c r="AA1154" s="53"/>
      <x:c r="AB1154" s="53"/>
      <x:c r="AC1154" s="53"/>
      <x:c r="AD1154" s="53"/>
      <x:c r="AE1154" s="53"/>
      <x:c r="AF1154" s="53"/>
    </x:row>
    <x:row r="1155">
      <x:c r="A1155" s="53"/>
      <x:c r="B1155" s="53"/>
      <x:c r="C1155" s="53"/>
      <x:c r="D1155" s="53"/>
      <x:c r="E1155" s="53"/>
      <x:c r="F1155" s="53"/>
      <x:c r="G1155" s="53"/>
      <x:c r="H1155" s="53"/>
      <x:c r="I1155" s="53"/>
      <x:c r="J1155" s="53"/>
      <x:c r="K1155" s="53"/>
      <x:c r="L1155" s="53"/>
      <x:c r="M1155" s="53"/>
      <x:c r="N1155" s="53"/>
      <x:c r="O1155" s="53"/>
      <x:c r="P1155" s="53"/>
      <x:c r="Q1155" s="53"/>
      <x:c r="R1155" s="53"/>
      <x:c r="S1155" s="53"/>
      <x:c r="T1155" s="53"/>
      <x:c r="U1155" s="53"/>
      <x:c r="V1155" s="53"/>
      <x:c r="W1155" s="53"/>
      <x:c r="X1155" s="53"/>
      <x:c r="Y1155" s="53"/>
      <x:c r="Z1155" s="53"/>
      <x:c r="AA1155" s="53"/>
      <x:c r="AB1155" s="53"/>
      <x:c r="AC1155" s="53"/>
      <x:c r="AD1155" s="53"/>
      <x:c r="AE1155" s="53"/>
      <x:c r="AF1155" s="53"/>
    </x:row>
    <x:row r="1156">
      <x:c r="A1156" s="53"/>
      <x:c r="B1156" s="53"/>
      <x:c r="C1156" s="53"/>
      <x:c r="D1156" s="53"/>
      <x:c r="E1156" s="53"/>
      <x:c r="F1156" s="53"/>
      <x:c r="G1156" s="53"/>
      <x:c r="H1156" s="53"/>
      <x:c r="I1156" s="53"/>
      <x:c r="J1156" s="53"/>
      <x:c r="K1156" s="53"/>
      <x:c r="L1156" s="53"/>
      <x:c r="M1156" s="53"/>
      <x:c r="N1156" s="53"/>
      <x:c r="O1156" s="53"/>
      <x:c r="P1156" s="53"/>
      <x:c r="Q1156" s="53"/>
      <x:c r="R1156" s="53"/>
      <x:c r="S1156" s="53"/>
      <x:c r="T1156" s="53"/>
      <x:c r="U1156" s="53"/>
      <x:c r="V1156" s="53"/>
      <x:c r="W1156" s="53"/>
      <x:c r="X1156" s="53"/>
      <x:c r="Y1156" s="53"/>
      <x:c r="Z1156" s="53"/>
      <x:c r="AA1156" s="53"/>
      <x:c r="AB1156" s="53"/>
      <x:c r="AC1156" s="53"/>
      <x:c r="AD1156" s="53"/>
      <x:c r="AE1156" s="53"/>
      <x:c r="AF1156" s="53"/>
    </x:row>
    <x:row r="1157">
      <x:c r="A1157" s="53"/>
      <x:c r="B1157" s="53"/>
      <x:c r="C1157" s="53"/>
      <x:c r="D1157" s="53"/>
      <x:c r="E1157" s="53"/>
      <x:c r="F1157" s="53"/>
      <x:c r="G1157" s="53"/>
      <x:c r="H1157" s="53"/>
      <x:c r="I1157" s="53"/>
      <x:c r="J1157" s="53"/>
      <x:c r="K1157" s="53"/>
      <x:c r="L1157" s="53"/>
      <x:c r="M1157" s="53"/>
      <x:c r="N1157" s="53"/>
      <x:c r="O1157" s="53"/>
      <x:c r="P1157" s="53"/>
      <x:c r="Q1157" s="53"/>
      <x:c r="R1157" s="53"/>
      <x:c r="S1157" s="53"/>
      <x:c r="T1157" s="53"/>
      <x:c r="U1157" s="53"/>
      <x:c r="V1157" s="53"/>
      <x:c r="W1157" s="53"/>
      <x:c r="X1157" s="53"/>
      <x:c r="Y1157" s="53"/>
      <x:c r="Z1157" s="53"/>
      <x:c r="AA1157" s="53"/>
      <x:c r="AB1157" s="53"/>
      <x:c r="AC1157" s="53"/>
      <x:c r="AD1157" s="53"/>
      <x:c r="AE1157" s="53"/>
      <x:c r="AF1157" s="53"/>
    </x:row>
    <x:row r="1158">
      <x:c r="A1158" s="53"/>
      <x:c r="B1158" s="53"/>
      <x:c r="C1158" s="53"/>
      <x:c r="D1158" s="53"/>
      <x:c r="E1158" s="53"/>
      <x:c r="F1158" s="53"/>
      <x:c r="G1158" s="53"/>
      <x:c r="H1158" s="53"/>
      <x:c r="I1158" s="53"/>
      <x:c r="J1158" s="53"/>
      <x:c r="K1158" s="53"/>
      <x:c r="L1158" s="53"/>
      <x:c r="M1158" s="53"/>
      <x:c r="N1158" s="53"/>
      <x:c r="O1158" s="53"/>
      <x:c r="P1158" s="53"/>
      <x:c r="Q1158" s="53"/>
      <x:c r="R1158" s="53"/>
      <x:c r="S1158" s="53"/>
      <x:c r="T1158" s="53"/>
      <x:c r="U1158" s="53"/>
      <x:c r="V1158" s="53"/>
      <x:c r="W1158" s="53"/>
      <x:c r="X1158" s="53"/>
      <x:c r="Y1158" s="53"/>
      <x:c r="Z1158" s="53"/>
      <x:c r="AA1158" s="53"/>
      <x:c r="AB1158" s="53"/>
      <x:c r="AC1158" s="53"/>
      <x:c r="AD1158" s="53"/>
      <x:c r="AE1158" s="53"/>
      <x:c r="AF1158" s="53"/>
    </x:row>
    <x:row r="1159">
      <x:c r="A1159" s="53"/>
      <x:c r="B1159" s="53"/>
      <x:c r="C1159" s="53"/>
      <x:c r="D1159" s="53"/>
      <x:c r="E1159" s="53"/>
      <x:c r="F1159" s="53"/>
      <x:c r="G1159" s="53"/>
      <x:c r="H1159" s="53"/>
      <x:c r="I1159" s="53"/>
      <x:c r="J1159" s="53"/>
      <x:c r="K1159" s="53"/>
      <x:c r="L1159" s="53"/>
      <x:c r="M1159" s="53"/>
      <x:c r="N1159" s="53"/>
      <x:c r="O1159" s="53"/>
      <x:c r="P1159" s="53"/>
      <x:c r="Q1159" s="53"/>
      <x:c r="R1159" s="53"/>
      <x:c r="S1159" s="53"/>
      <x:c r="T1159" s="53"/>
      <x:c r="U1159" s="53"/>
      <x:c r="V1159" s="53"/>
      <x:c r="W1159" s="53"/>
      <x:c r="X1159" s="53"/>
      <x:c r="Y1159" s="53"/>
      <x:c r="Z1159" s="53"/>
      <x:c r="AA1159" s="53"/>
      <x:c r="AB1159" s="53"/>
      <x:c r="AC1159" s="53"/>
      <x:c r="AD1159" s="53"/>
      <x:c r="AE1159" s="53"/>
      <x:c r="AF1159" s="53"/>
    </x:row>
    <x:row r="1160">
      <x:c r="A1160" s="53"/>
      <x:c r="B1160" s="53"/>
      <x:c r="C1160" s="53"/>
      <x:c r="D1160" s="53"/>
      <x:c r="E1160" s="53"/>
      <x:c r="F1160" s="53"/>
      <x:c r="G1160" s="53"/>
      <x:c r="H1160" s="53"/>
      <x:c r="I1160" s="53"/>
      <x:c r="J1160" s="53"/>
      <x:c r="K1160" s="53"/>
      <x:c r="L1160" s="53"/>
      <x:c r="M1160" s="53"/>
      <x:c r="N1160" s="53"/>
      <x:c r="O1160" s="53"/>
      <x:c r="P1160" s="53"/>
      <x:c r="Q1160" s="53"/>
      <x:c r="R1160" s="53"/>
      <x:c r="S1160" s="53"/>
      <x:c r="T1160" s="53"/>
      <x:c r="U1160" s="53"/>
      <x:c r="V1160" s="53"/>
      <x:c r="W1160" s="53"/>
      <x:c r="X1160" s="53"/>
      <x:c r="Y1160" s="53"/>
      <x:c r="Z1160" s="53"/>
      <x:c r="AA1160" s="53"/>
      <x:c r="AB1160" s="53"/>
      <x:c r="AC1160" s="53"/>
      <x:c r="AD1160" s="53"/>
      <x:c r="AE1160" s="53"/>
      <x:c r="AF1160" s="53"/>
    </x:row>
    <x:row r="1161">
      <x:c r="A1161" s="53"/>
      <x:c r="B1161" s="53"/>
      <x:c r="C1161" s="53"/>
      <x:c r="D1161" s="53"/>
      <x:c r="E1161" s="53"/>
      <x:c r="F1161" s="53"/>
      <x:c r="G1161" s="53"/>
      <x:c r="H1161" s="53"/>
      <x:c r="I1161" s="53"/>
      <x:c r="J1161" s="53"/>
      <x:c r="K1161" s="53"/>
      <x:c r="L1161" s="53"/>
      <x:c r="M1161" s="53"/>
      <x:c r="N1161" s="53"/>
      <x:c r="O1161" s="53"/>
      <x:c r="P1161" s="53"/>
      <x:c r="Q1161" s="53"/>
      <x:c r="R1161" s="53"/>
      <x:c r="S1161" s="53"/>
      <x:c r="T1161" s="53"/>
      <x:c r="U1161" s="53"/>
      <x:c r="V1161" s="53"/>
      <x:c r="W1161" s="53"/>
      <x:c r="X1161" s="53"/>
      <x:c r="Y1161" s="53"/>
      <x:c r="Z1161" s="53"/>
      <x:c r="AA1161" s="53"/>
      <x:c r="AB1161" s="53"/>
      <x:c r="AC1161" s="53"/>
      <x:c r="AD1161" s="53"/>
      <x:c r="AE1161" s="53"/>
      <x:c r="AF1161" s="53"/>
    </x:row>
    <x:row r="1162">
      <x:c r="A1162" s="53"/>
      <x:c r="B1162" s="53"/>
      <x:c r="C1162" s="53"/>
      <x:c r="D1162" s="53"/>
      <x:c r="E1162" s="53"/>
      <x:c r="F1162" s="53"/>
      <x:c r="G1162" s="53"/>
      <x:c r="H1162" s="53"/>
      <x:c r="I1162" s="53"/>
      <x:c r="J1162" s="53"/>
      <x:c r="K1162" s="53"/>
      <x:c r="L1162" s="53"/>
      <x:c r="M1162" s="53"/>
      <x:c r="N1162" s="53"/>
      <x:c r="O1162" s="53"/>
      <x:c r="P1162" s="53"/>
      <x:c r="Q1162" s="53"/>
      <x:c r="R1162" s="53"/>
      <x:c r="S1162" s="53"/>
      <x:c r="T1162" s="53"/>
      <x:c r="U1162" s="53"/>
      <x:c r="V1162" s="53"/>
      <x:c r="W1162" s="53"/>
      <x:c r="X1162" s="53"/>
      <x:c r="Y1162" s="53"/>
      <x:c r="Z1162" s="53"/>
      <x:c r="AA1162" s="53"/>
      <x:c r="AB1162" s="53"/>
      <x:c r="AC1162" s="53"/>
      <x:c r="AD1162" s="53"/>
      <x:c r="AE1162" s="53"/>
      <x:c r="AF1162" s="53"/>
    </x:row>
    <x:row r="1163">
      <x:c r="A1163" s="53"/>
      <x:c r="B1163" s="53"/>
      <x:c r="C1163" s="53"/>
      <x:c r="D1163" s="53"/>
      <x:c r="E1163" s="53"/>
      <x:c r="F1163" s="53"/>
      <x:c r="G1163" s="53"/>
      <x:c r="H1163" s="53"/>
      <x:c r="I1163" s="53"/>
      <x:c r="J1163" s="53"/>
      <x:c r="K1163" s="53"/>
      <x:c r="L1163" s="53"/>
      <x:c r="M1163" s="53"/>
      <x:c r="N1163" s="53"/>
      <x:c r="O1163" s="53"/>
      <x:c r="P1163" s="53"/>
      <x:c r="Q1163" s="53"/>
      <x:c r="R1163" s="53"/>
      <x:c r="S1163" s="53"/>
      <x:c r="T1163" s="53"/>
      <x:c r="U1163" s="53"/>
      <x:c r="V1163" s="53"/>
      <x:c r="W1163" s="53"/>
      <x:c r="X1163" s="53"/>
      <x:c r="Y1163" s="53"/>
      <x:c r="Z1163" s="53"/>
      <x:c r="AA1163" s="53"/>
      <x:c r="AB1163" s="53"/>
      <x:c r="AC1163" s="53"/>
      <x:c r="AD1163" s="53"/>
      <x:c r="AE1163" s="53"/>
      <x:c r="AF1163" s="53"/>
    </x:row>
    <x:row r="1164">
      <x:c r="A1164" s="53"/>
      <x:c r="B1164" s="53"/>
      <x:c r="C1164" s="53"/>
      <x:c r="D1164" s="53"/>
      <x:c r="E1164" s="53"/>
      <x:c r="F1164" s="53"/>
      <x:c r="G1164" s="53"/>
      <x:c r="H1164" s="53"/>
      <x:c r="I1164" s="53"/>
      <x:c r="J1164" s="53"/>
      <x:c r="K1164" s="53"/>
      <x:c r="L1164" s="53"/>
      <x:c r="M1164" s="53"/>
      <x:c r="N1164" s="53"/>
      <x:c r="O1164" s="53"/>
      <x:c r="P1164" s="53"/>
      <x:c r="Q1164" s="53"/>
      <x:c r="R1164" s="53"/>
      <x:c r="S1164" s="53"/>
      <x:c r="T1164" s="53"/>
      <x:c r="U1164" s="53"/>
      <x:c r="V1164" s="53"/>
      <x:c r="W1164" s="53"/>
      <x:c r="X1164" s="53"/>
      <x:c r="Y1164" s="53"/>
      <x:c r="Z1164" s="53"/>
      <x:c r="AA1164" s="53"/>
      <x:c r="AB1164" s="53"/>
      <x:c r="AC1164" s="53"/>
      <x:c r="AD1164" s="53"/>
      <x:c r="AE1164" s="53"/>
      <x:c r="AF1164" s="53"/>
    </x:row>
    <x:row r="1165">
      <x:c r="A1165" s="53"/>
      <x:c r="B1165" s="53"/>
      <x:c r="C1165" s="53"/>
      <x:c r="D1165" s="53"/>
      <x:c r="E1165" s="53"/>
      <x:c r="F1165" s="53"/>
      <x:c r="G1165" s="53"/>
      <x:c r="H1165" s="53"/>
      <x:c r="I1165" s="53"/>
      <x:c r="J1165" s="53"/>
      <x:c r="K1165" s="53"/>
      <x:c r="L1165" s="53"/>
      <x:c r="M1165" s="53"/>
      <x:c r="N1165" s="53"/>
      <x:c r="O1165" s="53"/>
      <x:c r="P1165" s="53"/>
      <x:c r="Q1165" s="53"/>
      <x:c r="R1165" s="53"/>
      <x:c r="S1165" s="53"/>
      <x:c r="T1165" s="53"/>
      <x:c r="U1165" s="53"/>
      <x:c r="V1165" s="53"/>
      <x:c r="W1165" s="53"/>
      <x:c r="X1165" s="53"/>
      <x:c r="Y1165" s="53"/>
      <x:c r="Z1165" s="53"/>
      <x:c r="AA1165" s="53"/>
      <x:c r="AB1165" s="53"/>
      <x:c r="AC1165" s="53"/>
      <x:c r="AD1165" s="53"/>
      <x:c r="AE1165" s="53"/>
      <x:c r="AF1165" s="53"/>
    </x:row>
    <x:row r="1166">
      <x:c r="A1166" s="53"/>
      <x:c r="B1166" s="53"/>
      <x:c r="C1166" s="53"/>
      <x:c r="D1166" s="53"/>
      <x:c r="E1166" s="53"/>
      <x:c r="F1166" s="53"/>
      <x:c r="G1166" s="53"/>
      <x:c r="H1166" s="53"/>
      <x:c r="I1166" s="53"/>
      <x:c r="J1166" s="53"/>
      <x:c r="K1166" s="53"/>
      <x:c r="L1166" s="53"/>
      <x:c r="M1166" s="53"/>
      <x:c r="N1166" s="53"/>
      <x:c r="O1166" s="53"/>
      <x:c r="P1166" s="53"/>
      <x:c r="Q1166" s="53"/>
      <x:c r="R1166" s="53"/>
      <x:c r="S1166" s="53"/>
      <x:c r="T1166" s="53"/>
      <x:c r="U1166" s="53"/>
      <x:c r="V1166" s="53"/>
      <x:c r="W1166" s="53"/>
      <x:c r="X1166" s="53"/>
      <x:c r="Y1166" s="53"/>
      <x:c r="Z1166" s="53"/>
      <x:c r="AA1166" s="53"/>
      <x:c r="AB1166" s="53"/>
      <x:c r="AC1166" s="53"/>
      <x:c r="AD1166" s="53"/>
      <x:c r="AE1166" s="53"/>
      <x:c r="AF1166" s="53"/>
    </x:row>
    <x:row r="1167">
      <x:c r="A1167" s="53"/>
      <x:c r="B1167" s="53"/>
      <x:c r="C1167" s="53"/>
      <x:c r="D1167" s="53"/>
      <x:c r="E1167" s="53"/>
      <x:c r="F1167" s="53"/>
      <x:c r="G1167" s="53"/>
      <x:c r="H1167" s="53"/>
      <x:c r="I1167" s="53"/>
      <x:c r="J1167" s="53"/>
      <x:c r="K1167" s="53"/>
      <x:c r="L1167" s="53"/>
      <x:c r="M1167" s="53"/>
      <x:c r="N1167" s="53"/>
      <x:c r="O1167" s="53"/>
      <x:c r="P1167" s="53"/>
      <x:c r="Q1167" s="53"/>
      <x:c r="R1167" s="53"/>
      <x:c r="S1167" s="53"/>
      <x:c r="T1167" s="53"/>
      <x:c r="U1167" s="53"/>
      <x:c r="V1167" s="53"/>
      <x:c r="W1167" s="53"/>
      <x:c r="X1167" s="53"/>
      <x:c r="Y1167" s="53"/>
      <x:c r="Z1167" s="53"/>
      <x:c r="AA1167" s="53"/>
      <x:c r="AB1167" s="53"/>
      <x:c r="AC1167" s="53"/>
      <x:c r="AD1167" s="53"/>
      <x:c r="AE1167" s="53"/>
      <x:c r="AF1167" s="53"/>
    </x:row>
    <x:row r="1168">
      <x:c r="A1168" s="53"/>
      <x:c r="B1168" s="53"/>
      <x:c r="C1168" s="53"/>
      <x:c r="D1168" s="53"/>
      <x:c r="E1168" s="53"/>
      <x:c r="F1168" s="53"/>
      <x:c r="G1168" s="53"/>
      <x:c r="H1168" s="53"/>
      <x:c r="I1168" s="53"/>
      <x:c r="J1168" s="53"/>
      <x:c r="K1168" s="53"/>
      <x:c r="L1168" s="53"/>
      <x:c r="M1168" s="53"/>
      <x:c r="N1168" s="53"/>
      <x:c r="O1168" s="53"/>
      <x:c r="P1168" s="53"/>
      <x:c r="Q1168" s="53"/>
      <x:c r="R1168" s="53"/>
      <x:c r="S1168" s="53"/>
      <x:c r="T1168" s="53"/>
      <x:c r="U1168" s="53"/>
      <x:c r="V1168" s="53"/>
      <x:c r="W1168" s="53"/>
      <x:c r="X1168" s="53"/>
      <x:c r="Y1168" s="53"/>
      <x:c r="Z1168" s="53"/>
      <x:c r="AA1168" s="53"/>
      <x:c r="AB1168" s="53"/>
      <x:c r="AC1168" s="53"/>
      <x:c r="AD1168" s="53"/>
      <x:c r="AE1168" s="53"/>
      <x:c r="AF1168" s="53"/>
    </x:row>
    <x:row r="1169">
      <x:c r="A1169" s="53"/>
      <x:c r="B1169" s="53"/>
      <x:c r="C1169" s="53"/>
      <x:c r="D1169" s="53"/>
      <x:c r="E1169" s="53"/>
      <x:c r="F1169" s="53"/>
      <x:c r="G1169" s="53"/>
      <x:c r="H1169" s="53"/>
      <x:c r="I1169" s="53"/>
      <x:c r="J1169" s="53"/>
      <x:c r="K1169" s="53"/>
      <x:c r="L1169" s="53"/>
      <x:c r="M1169" s="53"/>
      <x:c r="N1169" s="53"/>
      <x:c r="O1169" s="53"/>
      <x:c r="P1169" s="53"/>
      <x:c r="Q1169" s="53"/>
      <x:c r="R1169" s="53"/>
      <x:c r="S1169" s="53"/>
      <x:c r="T1169" s="53"/>
      <x:c r="U1169" s="53"/>
      <x:c r="V1169" s="53"/>
      <x:c r="W1169" s="53"/>
      <x:c r="X1169" s="53"/>
      <x:c r="Y1169" s="53"/>
      <x:c r="Z1169" s="53"/>
      <x:c r="AA1169" s="53"/>
      <x:c r="AB1169" s="53"/>
      <x:c r="AC1169" s="53"/>
      <x:c r="AD1169" s="53"/>
      <x:c r="AE1169" s="53"/>
      <x:c r="AF1169" s="53"/>
    </x:row>
    <x:row r="1170">
      <x:c r="A1170" s="53"/>
      <x:c r="B1170" s="53"/>
      <x:c r="C1170" s="53"/>
      <x:c r="D1170" s="53"/>
      <x:c r="E1170" s="53"/>
      <x:c r="F1170" s="53"/>
      <x:c r="G1170" s="53"/>
      <x:c r="H1170" s="53"/>
      <x:c r="I1170" s="53"/>
      <x:c r="J1170" s="53"/>
      <x:c r="K1170" s="53"/>
      <x:c r="L1170" s="53"/>
      <x:c r="M1170" s="53"/>
      <x:c r="N1170" s="53"/>
      <x:c r="O1170" s="53"/>
      <x:c r="P1170" s="53"/>
      <x:c r="Q1170" s="53"/>
      <x:c r="R1170" s="53"/>
      <x:c r="S1170" s="53"/>
      <x:c r="T1170" s="53"/>
      <x:c r="U1170" s="53"/>
      <x:c r="V1170" s="53"/>
      <x:c r="W1170" s="53"/>
      <x:c r="X1170" s="53"/>
      <x:c r="Y1170" s="53"/>
      <x:c r="Z1170" s="53"/>
      <x:c r="AA1170" s="53"/>
      <x:c r="AB1170" s="53"/>
      <x:c r="AC1170" s="53"/>
      <x:c r="AD1170" s="53"/>
      <x:c r="AE1170" s="53"/>
      <x:c r="AF1170" s="53"/>
    </x:row>
    <x:row r="1171">
      <x:c r="A1171" s="53"/>
      <x:c r="B1171" s="53"/>
      <x:c r="C1171" s="53"/>
      <x:c r="D1171" s="53"/>
      <x:c r="E1171" s="53"/>
      <x:c r="F1171" s="53"/>
      <x:c r="G1171" s="53"/>
      <x:c r="H1171" s="53"/>
      <x:c r="I1171" s="53"/>
      <x:c r="J1171" s="53"/>
      <x:c r="K1171" s="53"/>
      <x:c r="L1171" s="53"/>
      <x:c r="M1171" s="53"/>
      <x:c r="N1171" s="53"/>
      <x:c r="O1171" s="53"/>
      <x:c r="P1171" s="53"/>
      <x:c r="Q1171" s="53"/>
      <x:c r="R1171" s="53"/>
      <x:c r="S1171" s="53"/>
      <x:c r="T1171" s="53"/>
      <x:c r="U1171" s="53"/>
      <x:c r="V1171" s="53"/>
      <x:c r="W1171" s="53"/>
      <x:c r="X1171" s="53"/>
      <x:c r="Y1171" s="53"/>
      <x:c r="Z1171" s="53"/>
      <x:c r="AA1171" s="53"/>
      <x:c r="AB1171" s="53"/>
      <x:c r="AC1171" s="53"/>
      <x:c r="AD1171" s="53"/>
      <x:c r="AE1171" s="53"/>
      <x:c r="AF1171" s="53"/>
    </x:row>
    <x:row r="1172">
      <x:c r="A1172" s="53"/>
      <x:c r="B1172" s="53"/>
      <x:c r="C1172" s="53"/>
      <x:c r="D1172" s="53"/>
      <x:c r="E1172" s="53"/>
      <x:c r="F1172" s="53"/>
      <x:c r="G1172" s="53"/>
      <x:c r="H1172" s="53"/>
      <x:c r="I1172" s="53"/>
      <x:c r="J1172" s="53"/>
      <x:c r="K1172" s="53"/>
      <x:c r="L1172" s="53"/>
      <x:c r="M1172" s="53"/>
      <x:c r="N1172" s="53"/>
      <x:c r="O1172" s="53"/>
      <x:c r="P1172" s="53"/>
      <x:c r="Q1172" s="53"/>
      <x:c r="R1172" s="53"/>
      <x:c r="S1172" s="53"/>
      <x:c r="T1172" s="53"/>
      <x:c r="U1172" s="53"/>
      <x:c r="V1172" s="53"/>
      <x:c r="W1172" s="53"/>
      <x:c r="X1172" s="53"/>
      <x:c r="Y1172" s="53"/>
      <x:c r="Z1172" s="53"/>
      <x:c r="AA1172" s="53"/>
      <x:c r="AB1172" s="53"/>
      <x:c r="AC1172" s="53"/>
      <x:c r="AD1172" s="53"/>
      <x:c r="AE1172" s="53"/>
      <x:c r="AF1172" s="53"/>
    </x:row>
    <x:row r="1173">
      <x:c r="A1173" s="53"/>
      <x:c r="B1173" s="53"/>
      <x:c r="C1173" s="53"/>
      <x:c r="D1173" s="53"/>
      <x:c r="E1173" s="53"/>
      <x:c r="F1173" s="53"/>
      <x:c r="G1173" s="53"/>
      <x:c r="H1173" s="53"/>
      <x:c r="I1173" s="53"/>
      <x:c r="J1173" s="53"/>
      <x:c r="K1173" s="53"/>
      <x:c r="L1173" s="53"/>
      <x:c r="M1173" s="53"/>
      <x:c r="N1173" s="53"/>
      <x:c r="O1173" s="53"/>
      <x:c r="P1173" s="53"/>
      <x:c r="Q1173" s="53"/>
      <x:c r="R1173" s="53"/>
      <x:c r="S1173" s="53"/>
      <x:c r="T1173" s="53"/>
      <x:c r="U1173" s="53"/>
      <x:c r="V1173" s="53"/>
      <x:c r="W1173" s="53"/>
      <x:c r="X1173" s="53"/>
      <x:c r="Y1173" s="53"/>
      <x:c r="Z1173" s="53"/>
      <x:c r="AA1173" s="53"/>
      <x:c r="AB1173" s="53"/>
      <x:c r="AC1173" s="53"/>
      <x:c r="AD1173" s="53"/>
      <x:c r="AE1173" s="53"/>
      <x:c r="AF1173" s="53"/>
    </x:row>
    <x:row r="1174">
      <x:c r="A1174" s="53"/>
      <x:c r="B1174" s="53"/>
      <x:c r="C1174" s="53"/>
      <x:c r="D1174" s="53"/>
      <x:c r="E1174" s="53"/>
      <x:c r="F1174" s="53"/>
      <x:c r="G1174" s="53"/>
      <x:c r="H1174" s="53"/>
      <x:c r="I1174" s="53"/>
      <x:c r="J1174" s="53"/>
      <x:c r="K1174" s="53"/>
      <x:c r="L1174" s="53"/>
      <x:c r="M1174" s="53"/>
      <x:c r="N1174" s="53"/>
      <x:c r="O1174" s="53"/>
      <x:c r="P1174" s="53"/>
      <x:c r="Q1174" s="53"/>
      <x:c r="R1174" s="53"/>
      <x:c r="S1174" s="53"/>
      <x:c r="T1174" s="53"/>
      <x:c r="U1174" s="53"/>
      <x:c r="V1174" s="53"/>
      <x:c r="W1174" s="53"/>
      <x:c r="X1174" s="53"/>
      <x:c r="Y1174" s="53"/>
      <x:c r="Z1174" s="53"/>
      <x:c r="AA1174" s="53"/>
      <x:c r="AB1174" s="53"/>
      <x:c r="AC1174" s="53"/>
      <x:c r="AD1174" s="53"/>
      <x:c r="AE1174" s="53"/>
      <x:c r="AF1174" s="53"/>
    </x:row>
    <x:row r="1175">
      <x:c r="A1175" s="53"/>
      <x:c r="B1175" s="53"/>
      <x:c r="C1175" s="53"/>
      <x:c r="D1175" s="53"/>
      <x:c r="E1175" s="53"/>
      <x:c r="F1175" s="53"/>
      <x:c r="G1175" s="53"/>
      <x:c r="H1175" s="53"/>
      <x:c r="I1175" s="53"/>
      <x:c r="J1175" s="53"/>
      <x:c r="K1175" s="53"/>
      <x:c r="L1175" s="53"/>
      <x:c r="M1175" s="53"/>
      <x:c r="N1175" s="53"/>
      <x:c r="O1175" s="53"/>
      <x:c r="P1175" s="53"/>
      <x:c r="Q1175" s="53"/>
      <x:c r="R1175" s="53"/>
      <x:c r="S1175" s="53"/>
      <x:c r="T1175" s="53"/>
      <x:c r="U1175" s="53"/>
      <x:c r="V1175" s="53"/>
      <x:c r="W1175" s="53"/>
      <x:c r="X1175" s="53"/>
      <x:c r="Y1175" s="53"/>
      <x:c r="Z1175" s="53"/>
      <x:c r="AA1175" s="53"/>
      <x:c r="AB1175" s="53"/>
      <x:c r="AC1175" s="53"/>
      <x:c r="AD1175" s="53"/>
      <x:c r="AE1175" s="53"/>
      <x:c r="AF1175" s="53"/>
    </x:row>
    <x:row r="1176">
      <x:c r="A1176" s="53"/>
      <x:c r="B1176" s="53"/>
      <x:c r="C1176" s="53"/>
      <x:c r="D1176" s="53"/>
      <x:c r="E1176" s="53"/>
      <x:c r="F1176" s="53"/>
      <x:c r="G1176" s="53"/>
      <x:c r="H1176" s="53"/>
      <x:c r="I1176" s="53"/>
      <x:c r="J1176" s="53"/>
      <x:c r="K1176" s="53"/>
      <x:c r="L1176" s="53"/>
      <x:c r="M1176" s="53"/>
      <x:c r="N1176" s="53"/>
      <x:c r="O1176" s="53"/>
      <x:c r="P1176" s="53"/>
      <x:c r="Q1176" s="53"/>
      <x:c r="R1176" s="53"/>
      <x:c r="S1176" s="53"/>
      <x:c r="T1176" s="53"/>
      <x:c r="U1176" s="53"/>
      <x:c r="V1176" s="53"/>
      <x:c r="W1176" s="53"/>
      <x:c r="X1176" s="53"/>
      <x:c r="Y1176" s="53"/>
      <x:c r="Z1176" s="53"/>
      <x:c r="AA1176" s="53"/>
      <x:c r="AB1176" s="53"/>
      <x:c r="AC1176" s="53"/>
      <x:c r="AD1176" s="53"/>
      <x:c r="AE1176" s="53"/>
      <x:c r="AF1176" s="53"/>
    </x:row>
    <x:row r="1177">
      <x:c r="A1177" s="53"/>
      <x:c r="B1177" s="53"/>
      <x:c r="C1177" s="53"/>
      <x:c r="D1177" s="53"/>
      <x:c r="E1177" s="53"/>
      <x:c r="F1177" s="53"/>
      <x:c r="G1177" s="53"/>
      <x:c r="H1177" s="53"/>
      <x:c r="I1177" s="53"/>
      <x:c r="J1177" s="53"/>
      <x:c r="K1177" s="53"/>
      <x:c r="L1177" s="53"/>
      <x:c r="M1177" s="53"/>
      <x:c r="N1177" s="53"/>
      <x:c r="O1177" s="53"/>
      <x:c r="P1177" s="53"/>
      <x:c r="Q1177" s="53"/>
      <x:c r="R1177" s="53"/>
      <x:c r="S1177" s="53"/>
      <x:c r="T1177" s="53"/>
      <x:c r="U1177" s="53"/>
      <x:c r="V1177" s="53"/>
      <x:c r="W1177" s="53"/>
      <x:c r="X1177" s="53"/>
      <x:c r="Y1177" s="53"/>
      <x:c r="Z1177" s="53"/>
      <x:c r="AA1177" s="53"/>
      <x:c r="AB1177" s="53"/>
      <x:c r="AC1177" s="53"/>
      <x:c r="AD1177" s="53"/>
      <x:c r="AE1177" s="53"/>
      <x:c r="AF1177" s="53"/>
    </x:row>
    <x:row r="1178">
      <x:c r="A1178" s="53"/>
      <x:c r="B1178" s="53"/>
      <x:c r="C1178" s="53"/>
      <x:c r="D1178" s="53"/>
      <x:c r="E1178" s="53"/>
      <x:c r="F1178" s="53"/>
      <x:c r="G1178" s="53"/>
      <x:c r="H1178" s="53"/>
      <x:c r="I1178" s="53"/>
      <x:c r="J1178" s="53"/>
      <x:c r="K1178" s="53"/>
      <x:c r="L1178" s="53"/>
      <x:c r="M1178" s="53"/>
      <x:c r="N1178" s="53"/>
      <x:c r="O1178" s="53"/>
      <x:c r="P1178" s="53"/>
      <x:c r="Q1178" s="53"/>
      <x:c r="R1178" s="53"/>
      <x:c r="S1178" s="53"/>
      <x:c r="T1178" s="53"/>
      <x:c r="U1178" s="53"/>
      <x:c r="V1178" s="53"/>
      <x:c r="W1178" s="53"/>
      <x:c r="X1178" s="53"/>
      <x:c r="Y1178" s="53"/>
      <x:c r="Z1178" s="53"/>
      <x:c r="AA1178" s="53"/>
      <x:c r="AB1178" s="53"/>
      <x:c r="AC1178" s="53"/>
      <x:c r="AD1178" s="53"/>
      <x:c r="AE1178" s="53"/>
      <x:c r="AF1178" s="53"/>
    </x:row>
    <x:row r="1179">
      <x:c r="A1179" s="53"/>
      <x:c r="B1179" s="53"/>
      <x:c r="C1179" s="53"/>
      <x:c r="D1179" s="53"/>
      <x:c r="E1179" s="53"/>
      <x:c r="F1179" s="53"/>
      <x:c r="G1179" s="53"/>
      <x:c r="H1179" s="53"/>
      <x:c r="I1179" s="53"/>
      <x:c r="J1179" s="53"/>
      <x:c r="K1179" s="53"/>
      <x:c r="L1179" s="53"/>
      <x:c r="M1179" s="53"/>
      <x:c r="N1179" s="53"/>
      <x:c r="O1179" s="53"/>
      <x:c r="P1179" s="53"/>
      <x:c r="Q1179" s="53"/>
      <x:c r="R1179" s="53"/>
      <x:c r="S1179" s="53"/>
      <x:c r="T1179" s="53"/>
      <x:c r="U1179" s="53"/>
      <x:c r="V1179" s="53"/>
      <x:c r="W1179" s="53"/>
      <x:c r="X1179" s="53"/>
      <x:c r="Y1179" s="53"/>
      <x:c r="Z1179" s="53"/>
      <x:c r="AA1179" s="53"/>
      <x:c r="AB1179" s="53"/>
      <x:c r="AC1179" s="53"/>
      <x:c r="AD1179" s="53"/>
      <x:c r="AE1179" s="53"/>
      <x:c r="AF1179" s="53"/>
    </x:row>
    <x:row r="1180">
      <x:c r="A1180" s="53"/>
      <x:c r="B1180" s="53"/>
      <x:c r="C1180" s="53"/>
      <x:c r="D1180" s="53"/>
      <x:c r="E1180" s="53"/>
      <x:c r="F1180" s="53"/>
      <x:c r="G1180" s="53"/>
      <x:c r="H1180" s="53"/>
      <x:c r="I1180" s="53"/>
      <x:c r="J1180" s="53"/>
      <x:c r="K1180" s="53"/>
      <x:c r="L1180" s="53"/>
      <x:c r="M1180" s="53"/>
      <x:c r="N1180" s="53"/>
      <x:c r="O1180" s="53"/>
      <x:c r="P1180" s="53"/>
      <x:c r="Q1180" s="53"/>
      <x:c r="R1180" s="53"/>
      <x:c r="S1180" s="53"/>
      <x:c r="T1180" s="53"/>
      <x:c r="U1180" s="53"/>
      <x:c r="V1180" s="53"/>
      <x:c r="W1180" s="53"/>
      <x:c r="X1180" s="53"/>
      <x:c r="Y1180" s="53"/>
      <x:c r="Z1180" s="53"/>
      <x:c r="AA1180" s="53"/>
      <x:c r="AB1180" s="53"/>
      <x:c r="AC1180" s="53"/>
      <x:c r="AD1180" s="53"/>
      <x:c r="AE1180" s="53"/>
      <x:c r="AF1180" s="53"/>
    </x:row>
    <x:row r="1181">
      <x:c r="A1181" s="53"/>
      <x:c r="B1181" s="53"/>
      <x:c r="C1181" s="53"/>
      <x:c r="D1181" s="53"/>
      <x:c r="E1181" s="53"/>
      <x:c r="F1181" s="53"/>
      <x:c r="G1181" s="53"/>
      <x:c r="H1181" s="53"/>
      <x:c r="I1181" s="53"/>
      <x:c r="J1181" s="53"/>
      <x:c r="K1181" s="53"/>
      <x:c r="L1181" s="53"/>
      <x:c r="M1181" s="53"/>
      <x:c r="N1181" s="53"/>
      <x:c r="O1181" s="53"/>
      <x:c r="P1181" s="53"/>
      <x:c r="Q1181" s="53"/>
      <x:c r="R1181" s="53"/>
      <x:c r="S1181" s="53"/>
      <x:c r="T1181" s="53"/>
      <x:c r="U1181" s="53"/>
      <x:c r="V1181" s="53"/>
      <x:c r="W1181" s="53"/>
      <x:c r="X1181" s="53"/>
      <x:c r="Y1181" s="53"/>
      <x:c r="Z1181" s="53"/>
      <x:c r="AA1181" s="53"/>
      <x:c r="AB1181" s="53"/>
      <x:c r="AC1181" s="53"/>
      <x:c r="AD1181" s="53"/>
      <x:c r="AE1181" s="53"/>
      <x:c r="AF1181" s="53"/>
    </x:row>
    <x:row r="1182">
      <x:c r="A1182" s="53"/>
      <x:c r="B1182" s="53"/>
      <x:c r="C1182" s="53"/>
      <x:c r="D1182" s="53"/>
      <x:c r="E1182" s="53"/>
      <x:c r="F1182" s="53"/>
      <x:c r="G1182" s="53"/>
      <x:c r="H1182" s="53"/>
      <x:c r="I1182" s="53"/>
      <x:c r="J1182" s="53"/>
      <x:c r="K1182" s="53"/>
      <x:c r="L1182" s="53"/>
      <x:c r="M1182" s="53"/>
      <x:c r="N1182" s="53"/>
      <x:c r="O1182" s="53"/>
      <x:c r="P1182" s="53"/>
      <x:c r="Q1182" s="53"/>
      <x:c r="R1182" s="53"/>
      <x:c r="S1182" s="53"/>
      <x:c r="T1182" s="53"/>
      <x:c r="U1182" s="53"/>
      <x:c r="V1182" s="53"/>
      <x:c r="W1182" s="53"/>
      <x:c r="X1182" s="53"/>
      <x:c r="Y1182" s="53"/>
      <x:c r="Z1182" s="53"/>
      <x:c r="AA1182" s="53"/>
      <x:c r="AB1182" s="53"/>
      <x:c r="AC1182" s="53"/>
      <x:c r="AD1182" s="53"/>
      <x:c r="AE1182" s="53"/>
      <x:c r="AF1182" s="53"/>
    </x:row>
    <x:row r="1183">
      <x:c r="A1183" s="53"/>
      <x:c r="B1183" s="53"/>
      <x:c r="C1183" s="53"/>
      <x:c r="D1183" s="53"/>
      <x:c r="E1183" s="53"/>
      <x:c r="F1183" s="53"/>
      <x:c r="G1183" s="53"/>
      <x:c r="H1183" s="53"/>
      <x:c r="I1183" s="53"/>
      <x:c r="J1183" s="53"/>
      <x:c r="K1183" s="53"/>
      <x:c r="L1183" s="53"/>
      <x:c r="M1183" s="53"/>
      <x:c r="N1183" s="53"/>
      <x:c r="O1183" s="53"/>
      <x:c r="P1183" s="53"/>
      <x:c r="Q1183" s="53"/>
      <x:c r="R1183" s="53"/>
      <x:c r="S1183" s="53"/>
      <x:c r="T1183" s="53"/>
      <x:c r="U1183" s="53"/>
      <x:c r="V1183" s="53"/>
      <x:c r="W1183" s="53"/>
      <x:c r="X1183" s="53"/>
      <x:c r="Y1183" s="53"/>
      <x:c r="Z1183" s="53"/>
      <x:c r="AA1183" s="53"/>
      <x:c r="AB1183" s="53"/>
      <x:c r="AC1183" s="53"/>
      <x:c r="AD1183" s="53"/>
      <x:c r="AE1183" s="53"/>
      <x:c r="AF1183" s="53"/>
    </x:row>
    <x:row r="1184">
      <x:c r="A1184" s="53"/>
      <x:c r="B1184" s="53"/>
      <x:c r="C1184" s="53"/>
      <x:c r="D1184" s="53"/>
      <x:c r="E1184" s="53"/>
      <x:c r="F1184" s="53"/>
      <x:c r="G1184" s="53"/>
      <x:c r="H1184" s="53"/>
      <x:c r="I1184" s="53"/>
      <x:c r="J1184" s="53"/>
      <x:c r="K1184" s="53"/>
      <x:c r="L1184" s="53"/>
      <x:c r="M1184" s="53"/>
      <x:c r="N1184" s="53"/>
      <x:c r="O1184" s="53"/>
      <x:c r="P1184" s="53"/>
      <x:c r="Q1184" s="53"/>
      <x:c r="R1184" s="53"/>
      <x:c r="S1184" s="53"/>
      <x:c r="T1184" s="53"/>
      <x:c r="U1184" s="53"/>
      <x:c r="V1184" s="53"/>
      <x:c r="W1184" s="53"/>
      <x:c r="X1184" s="53"/>
      <x:c r="Y1184" s="53"/>
      <x:c r="Z1184" s="53"/>
      <x:c r="AA1184" s="53"/>
      <x:c r="AB1184" s="53"/>
      <x:c r="AC1184" s="53"/>
      <x:c r="AD1184" s="53"/>
      <x:c r="AE1184" s="53"/>
      <x:c r="AF1184" s="53"/>
    </x:row>
    <x:row r="1185">
      <x:c r="A1185" s="53"/>
      <x:c r="B1185" s="53"/>
      <x:c r="C1185" s="53"/>
      <x:c r="D1185" s="53"/>
      <x:c r="E1185" s="53"/>
      <x:c r="F1185" s="53"/>
      <x:c r="G1185" s="53"/>
      <x:c r="H1185" s="53"/>
      <x:c r="I1185" s="53"/>
      <x:c r="J1185" s="53"/>
      <x:c r="K1185" s="53"/>
      <x:c r="L1185" s="53"/>
      <x:c r="M1185" s="53"/>
      <x:c r="N1185" s="53"/>
      <x:c r="O1185" s="53"/>
      <x:c r="P1185" s="53"/>
      <x:c r="Q1185" s="53"/>
      <x:c r="R1185" s="53"/>
      <x:c r="S1185" s="53"/>
      <x:c r="T1185" s="53"/>
      <x:c r="U1185" s="53"/>
      <x:c r="V1185" s="53"/>
      <x:c r="W1185" s="53"/>
      <x:c r="X1185" s="53"/>
      <x:c r="Y1185" s="53"/>
      <x:c r="Z1185" s="53"/>
      <x:c r="AA1185" s="53"/>
      <x:c r="AB1185" s="53"/>
      <x:c r="AC1185" s="53"/>
      <x:c r="AD1185" s="53"/>
      <x:c r="AE1185" s="53"/>
      <x:c r="AF1185" s="53"/>
    </x:row>
    <x:row r="1186">
      <x:c r="A1186" s="53"/>
      <x:c r="B1186" s="53"/>
      <x:c r="C1186" s="53"/>
      <x:c r="D1186" s="53"/>
      <x:c r="E1186" s="53"/>
      <x:c r="F1186" s="53"/>
      <x:c r="G1186" s="53"/>
      <x:c r="H1186" s="53"/>
      <x:c r="I1186" s="53"/>
      <x:c r="J1186" s="53"/>
      <x:c r="K1186" s="53"/>
      <x:c r="L1186" s="53"/>
      <x:c r="M1186" s="53"/>
      <x:c r="N1186" s="53"/>
      <x:c r="O1186" s="53"/>
      <x:c r="P1186" s="53"/>
      <x:c r="Q1186" s="53"/>
      <x:c r="R1186" s="53"/>
      <x:c r="S1186" s="53"/>
      <x:c r="T1186" s="53"/>
      <x:c r="U1186" s="53"/>
      <x:c r="V1186" s="53"/>
      <x:c r="W1186" s="53"/>
      <x:c r="X1186" s="53"/>
      <x:c r="Y1186" s="53"/>
      <x:c r="Z1186" s="53"/>
      <x:c r="AA1186" s="53"/>
      <x:c r="AB1186" s="53"/>
      <x:c r="AC1186" s="53"/>
      <x:c r="AD1186" s="53"/>
      <x:c r="AE1186" s="53"/>
      <x:c r="AF1186" s="53"/>
    </x:row>
    <x:row r="1187">
      <x:c r="A1187" s="53"/>
      <x:c r="B1187" s="53"/>
      <x:c r="C1187" s="53"/>
      <x:c r="D1187" s="53"/>
      <x:c r="E1187" s="53"/>
      <x:c r="F1187" s="53"/>
      <x:c r="G1187" s="53"/>
      <x:c r="H1187" s="53"/>
      <x:c r="I1187" s="53"/>
      <x:c r="J1187" s="53"/>
      <x:c r="K1187" s="53"/>
      <x:c r="L1187" s="53"/>
      <x:c r="M1187" s="53"/>
      <x:c r="N1187" s="53"/>
      <x:c r="O1187" s="53"/>
      <x:c r="P1187" s="53"/>
      <x:c r="Q1187" s="53"/>
      <x:c r="R1187" s="53"/>
      <x:c r="S1187" s="53"/>
      <x:c r="T1187" s="53"/>
      <x:c r="U1187" s="53"/>
      <x:c r="V1187" s="53"/>
      <x:c r="W1187" s="53"/>
      <x:c r="X1187" s="53"/>
      <x:c r="Y1187" s="53"/>
      <x:c r="Z1187" s="53"/>
      <x:c r="AA1187" s="53"/>
      <x:c r="AB1187" s="53"/>
      <x:c r="AC1187" s="53"/>
      <x:c r="AD1187" s="53"/>
      <x:c r="AE1187" s="53"/>
      <x:c r="AF1187" s="53"/>
    </x:row>
    <x:row r="1188">
      <x:c r="A1188" s="53"/>
      <x:c r="B1188" s="53"/>
      <x:c r="C1188" s="53"/>
      <x:c r="D1188" s="53"/>
      <x:c r="E1188" s="53"/>
      <x:c r="F1188" s="53"/>
      <x:c r="G1188" s="53"/>
      <x:c r="H1188" s="53"/>
      <x:c r="I1188" s="53"/>
      <x:c r="J1188" s="53"/>
      <x:c r="K1188" s="53"/>
      <x:c r="L1188" s="53"/>
      <x:c r="M1188" s="53"/>
      <x:c r="N1188" s="53"/>
      <x:c r="O1188" s="53"/>
      <x:c r="P1188" s="53"/>
      <x:c r="Q1188" s="53"/>
      <x:c r="R1188" s="53"/>
      <x:c r="S1188" s="53"/>
      <x:c r="T1188" s="53"/>
      <x:c r="U1188" s="53"/>
      <x:c r="V1188" s="53"/>
      <x:c r="W1188" s="53"/>
      <x:c r="X1188" s="53"/>
      <x:c r="Y1188" s="53"/>
      <x:c r="Z1188" s="53"/>
      <x:c r="AA1188" s="53"/>
      <x:c r="AB1188" s="53"/>
      <x:c r="AC1188" s="53"/>
      <x:c r="AD1188" s="53"/>
      <x:c r="AE1188" s="53"/>
      <x:c r="AF1188" s="53"/>
    </x:row>
    <x:row r="1189">
      <x:c r="A1189" s="53"/>
      <x:c r="B1189" s="53"/>
      <x:c r="C1189" s="53"/>
      <x:c r="D1189" s="53"/>
      <x:c r="E1189" s="53"/>
      <x:c r="F1189" s="53"/>
      <x:c r="G1189" s="53"/>
      <x:c r="H1189" s="53"/>
      <x:c r="I1189" s="53"/>
      <x:c r="J1189" s="53"/>
      <x:c r="K1189" s="53"/>
      <x:c r="L1189" s="53"/>
      <x:c r="M1189" s="53"/>
      <x:c r="N1189" s="53"/>
      <x:c r="O1189" s="53"/>
      <x:c r="P1189" s="53"/>
      <x:c r="Q1189" s="53"/>
      <x:c r="R1189" s="53"/>
      <x:c r="S1189" s="53"/>
      <x:c r="T1189" s="53"/>
      <x:c r="U1189" s="53"/>
      <x:c r="V1189" s="53"/>
      <x:c r="W1189" s="53"/>
      <x:c r="X1189" s="53"/>
      <x:c r="Y1189" s="53"/>
      <x:c r="Z1189" s="53"/>
      <x:c r="AA1189" s="53"/>
      <x:c r="AB1189" s="53"/>
      <x:c r="AC1189" s="53"/>
      <x:c r="AD1189" s="53"/>
      <x:c r="AE1189" s="53"/>
      <x:c r="AF1189" s="53"/>
    </x:row>
    <x:row r="1190">
      <x:c r="A1190" s="53"/>
      <x:c r="B1190" s="53"/>
      <x:c r="C1190" s="53"/>
      <x:c r="D1190" s="53"/>
      <x:c r="E1190" s="53"/>
      <x:c r="F1190" s="53"/>
      <x:c r="G1190" s="53"/>
      <x:c r="H1190" s="53"/>
      <x:c r="I1190" s="53"/>
      <x:c r="J1190" s="53"/>
      <x:c r="K1190" s="53"/>
      <x:c r="L1190" s="53"/>
      <x:c r="M1190" s="53"/>
      <x:c r="N1190" s="53"/>
      <x:c r="O1190" s="53"/>
      <x:c r="P1190" s="53"/>
      <x:c r="Q1190" s="53"/>
      <x:c r="R1190" s="53"/>
      <x:c r="S1190" s="53"/>
      <x:c r="T1190" s="53"/>
      <x:c r="U1190" s="53"/>
      <x:c r="V1190" s="53"/>
      <x:c r="W1190" s="53"/>
      <x:c r="X1190" s="53"/>
      <x:c r="Y1190" s="53"/>
      <x:c r="Z1190" s="53"/>
      <x:c r="AA1190" s="53"/>
      <x:c r="AB1190" s="53"/>
      <x:c r="AC1190" s="53"/>
      <x:c r="AD1190" s="53"/>
      <x:c r="AE1190" s="53"/>
      <x:c r="AF1190" s="53"/>
    </x:row>
    <x:row r="1191">
      <x:c r="A1191" s="53"/>
      <x:c r="B1191" s="53"/>
      <x:c r="C1191" s="53"/>
      <x:c r="D1191" s="53"/>
      <x:c r="E1191" s="53"/>
      <x:c r="F1191" s="53"/>
      <x:c r="G1191" s="53"/>
      <x:c r="H1191" s="53"/>
      <x:c r="I1191" s="53"/>
      <x:c r="J1191" s="53"/>
      <x:c r="K1191" s="53"/>
      <x:c r="L1191" s="53"/>
      <x:c r="M1191" s="53"/>
      <x:c r="N1191" s="53"/>
      <x:c r="O1191" s="53"/>
      <x:c r="P1191" s="53"/>
      <x:c r="Q1191" s="53"/>
      <x:c r="R1191" s="53"/>
      <x:c r="S1191" s="53"/>
      <x:c r="T1191" s="53"/>
      <x:c r="U1191" s="53"/>
      <x:c r="V1191" s="53"/>
      <x:c r="W1191" s="53"/>
      <x:c r="X1191" s="53"/>
      <x:c r="Y1191" s="53"/>
      <x:c r="Z1191" s="53"/>
      <x:c r="AA1191" s="53"/>
      <x:c r="AB1191" s="53"/>
      <x:c r="AC1191" s="53"/>
      <x:c r="AD1191" s="53"/>
      <x:c r="AE1191" s="53"/>
      <x:c r="AF1191" s="53"/>
    </x:row>
    <x:row r="1192">
      <x:c r="A1192" s="53"/>
      <x:c r="B1192" s="53"/>
      <x:c r="C1192" s="53"/>
      <x:c r="D1192" s="53"/>
      <x:c r="E1192" s="53"/>
      <x:c r="F1192" s="53"/>
      <x:c r="G1192" s="53"/>
      <x:c r="H1192" s="53"/>
      <x:c r="I1192" s="53"/>
      <x:c r="J1192" s="53"/>
      <x:c r="K1192" s="53"/>
      <x:c r="L1192" s="53"/>
      <x:c r="M1192" s="53"/>
      <x:c r="N1192" s="53"/>
      <x:c r="O1192" s="53"/>
      <x:c r="P1192" s="53"/>
      <x:c r="Q1192" s="53"/>
      <x:c r="R1192" s="53"/>
      <x:c r="S1192" s="53"/>
      <x:c r="T1192" s="53"/>
      <x:c r="U1192" s="53"/>
      <x:c r="V1192" s="53"/>
      <x:c r="W1192" s="53"/>
      <x:c r="X1192" s="53"/>
      <x:c r="Y1192" s="53"/>
      <x:c r="Z1192" s="53"/>
      <x:c r="AA1192" s="53"/>
      <x:c r="AB1192" s="53"/>
      <x:c r="AC1192" s="53"/>
      <x:c r="AD1192" s="53"/>
      <x:c r="AE1192" s="53"/>
      <x:c r="AF1192" s="53"/>
    </x:row>
    <x:row r="1193">
      <x:c r="A1193" s="53"/>
      <x:c r="B1193" s="53"/>
      <x:c r="C1193" s="53"/>
      <x:c r="D1193" s="53"/>
      <x:c r="E1193" s="53"/>
      <x:c r="F1193" s="53"/>
      <x:c r="G1193" s="53"/>
      <x:c r="H1193" s="53"/>
      <x:c r="I1193" s="53"/>
      <x:c r="J1193" s="53"/>
      <x:c r="K1193" s="53"/>
      <x:c r="L1193" s="53"/>
      <x:c r="M1193" s="53"/>
      <x:c r="N1193" s="53"/>
      <x:c r="O1193" s="53"/>
      <x:c r="P1193" s="53"/>
      <x:c r="Q1193" s="53"/>
      <x:c r="R1193" s="53"/>
      <x:c r="S1193" s="53"/>
      <x:c r="T1193" s="53"/>
      <x:c r="U1193" s="53"/>
      <x:c r="V1193" s="53"/>
      <x:c r="W1193" s="53"/>
      <x:c r="X1193" s="53"/>
      <x:c r="Y1193" s="53"/>
      <x:c r="Z1193" s="53"/>
      <x:c r="AA1193" s="53"/>
      <x:c r="AB1193" s="53"/>
      <x:c r="AC1193" s="53"/>
      <x:c r="AD1193" s="53"/>
      <x:c r="AE1193" s="53"/>
      <x:c r="AF1193" s="53"/>
    </x:row>
    <x:row r="1194">
      <x:c r="A1194" s="53"/>
      <x:c r="B1194" s="53"/>
      <x:c r="C1194" s="53"/>
      <x:c r="D1194" s="53"/>
      <x:c r="E1194" s="53"/>
      <x:c r="F1194" s="53"/>
      <x:c r="G1194" s="53"/>
      <x:c r="H1194" s="53"/>
      <x:c r="I1194" s="53"/>
      <x:c r="J1194" s="53"/>
      <x:c r="K1194" s="53"/>
      <x:c r="L1194" s="53"/>
      <x:c r="M1194" s="53"/>
      <x:c r="N1194" s="53"/>
      <x:c r="O1194" s="53"/>
      <x:c r="P1194" s="53"/>
      <x:c r="Q1194" s="53"/>
      <x:c r="R1194" s="53"/>
      <x:c r="S1194" s="53"/>
      <x:c r="T1194" s="53"/>
      <x:c r="U1194" s="53"/>
      <x:c r="V1194" s="53"/>
      <x:c r="W1194" s="53"/>
      <x:c r="X1194" s="53"/>
      <x:c r="Y1194" s="53"/>
      <x:c r="Z1194" s="53"/>
      <x:c r="AA1194" s="53"/>
      <x:c r="AB1194" s="53"/>
      <x:c r="AC1194" s="53"/>
      <x:c r="AD1194" s="53"/>
      <x:c r="AE1194" s="53"/>
      <x:c r="AF1194" s="53"/>
    </x:row>
    <x:row r="1195">
      <x:c r="A1195" s="53"/>
      <x:c r="B1195" s="53"/>
      <x:c r="C1195" s="53"/>
      <x:c r="D1195" s="53"/>
      <x:c r="E1195" s="53"/>
      <x:c r="F1195" s="53"/>
      <x:c r="G1195" s="53"/>
      <x:c r="H1195" s="53"/>
      <x:c r="I1195" s="53"/>
      <x:c r="J1195" s="53"/>
      <x:c r="K1195" s="53"/>
      <x:c r="L1195" s="53"/>
      <x:c r="M1195" s="53"/>
      <x:c r="N1195" s="53"/>
      <x:c r="O1195" s="53"/>
      <x:c r="P1195" s="53"/>
      <x:c r="Q1195" s="53"/>
      <x:c r="R1195" s="53"/>
      <x:c r="S1195" s="53"/>
      <x:c r="T1195" s="53"/>
      <x:c r="U1195" s="53"/>
      <x:c r="V1195" s="53"/>
      <x:c r="W1195" s="53"/>
      <x:c r="X1195" s="53"/>
      <x:c r="Y1195" s="53"/>
      <x:c r="Z1195" s="53"/>
      <x:c r="AA1195" s="53"/>
      <x:c r="AB1195" s="53"/>
      <x:c r="AC1195" s="53"/>
      <x:c r="AD1195" s="53"/>
      <x:c r="AE1195" s="53"/>
      <x:c r="AF1195" s="53"/>
    </x:row>
    <x:row r="1196">
      <x:c r="A1196" s="53"/>
      <x:c r="B1196" s="53"/>
      <x:c r="C1196" s="53"/>
      <x:c r="D1196" s="53"/>
      <x:c r="E1196" s="53"/>
      <x:c r="F1196" s="53"/>
      <x:c r="G1196" s="53"/>
      <x:c r="H1196" s="53"/>
      <x:c r="I1196" s="53"/>
      <x:c r="J1196" s="53"/>
      <x:c r="K1196" s="53"/>
      <x:c r="L1196" s="53"/>
      <x:c r="M1196" s="53"/>
      <x:c r="N1196" s="53"/>
      <x:c r="O1196" s="53"/>
      <x:c r="P1196" s="53"/>
      <x:c r="Q1196" s="53"/>
      <x:c r="R1196" s="53"/>
      <x:c r="S1196" s="53"/>
      <x:c r="T1196" s="53"/>
      <x:c r="U1196" s="53"/>
      <x:c r="V1196" s="53"/>
      <x:c r="W1196" s="53"/>
      <x:c r="X1196" s="53"/>
      <x:c r="Y1196" s="53"/>
      <x:c r="Z1196" s="53"/>
      <x:c r="AA1196" s="53"/>
      <x:c r="AB1196" s="53"/>
      <x:c r="AC1196" s="53"/>
      <x:c r="AD1196" s="53"/>
      <x:c r="AE1196" s="53"/>
      <x:c r="AF1196" s="53"/>
    </x:row>
    <x:row r="1197">
      <x:c r="A1197" s="53"/>
      <x:c r="B1197" s="53"/>
      <x:c r="C1197" s="53"/>
      <x:c r="D1197" s="53"/>
      <x:c r="E1197" s="53"/>
      <x:c r="F1197" s="53"/>
      <x:c r="G1197" s="53"/>
      <x:c r="H1197" s="53"/>
      <x:c r="I1197" s="53"/>
      <x:c r="J1197" s="53"/>
      <x:c r="K1197" s="53"/>
      <x:c r="L1197" s="53"/>
      <x:c r="M1197" s="53"/>
      <x:c r="N1197" s="53"/>
      <x:c r="O1197" s="53"/>
      <x:c r="P1197" s="53"/>
      <x:c r="Q1197" s="53"/>
      <x:c r="R1197" s="53"/>
      <x:c r="S1197" s="53"/>
      <x:c r="T1197" s="53"/>
      <x:c r="U1197" s="53"/>
      <x:c r="V1197" s="53"/>
      <x:c r="W1197" s="53"/>
      <x:c r="X1197" s="53"/>
      <x:c r="Y1197" s="53"/>
      <x:c r="Z1197" s="53"/>
      <x:c r="AA1197" s="53"/>
      <x:c r="AB1197" s="53"/>
      <x:c r="AC1197" s="53"/>
      <x:c r="AD1197" s="53"/>
      <x:c r="AE1197" s="53"/>
      <x:c r="AF1197" s="53"/>
    </x:row>
    <x:row r="1198">
      <x:c r="A1198" s="53"/>
      <x:c r="B1198" s="53"/>
      <x:c r="C1198" s="53"/>
      <x:c r="D1198" s="53"/>
      <x:c r="E1198" s="53"/>
      <x:c r="F1198" s="53"/>
      <x:c r="G1198" s="53"/>
      <x:c r="H1198" s="53"/>
      <x:c r="I1198" s="53"/>
      <x:c r="J1198" s="53"/>
      <x:c r="K1198" s="53"/>
      <x:c r="L1198" s="53"/>
      <x:c r="M1198" s="53"/>
      <x:c r="N1198" s="53"/>
      <x:c r="O1198" s="53"/>
      <x:c r="P1198" s="53"/>
      <x:c r="Q1198" s="53"/>
      <x:c r="R1198" s="53"/>
      <x:c r="S1198" s="53"/>
      <x:c r="T1198" s="53"/>
      <x:c r="U1198" s="53"/>
      <x:c r="V1198" s="53"/>
      <x:c r="W1198" s="53"/>
      <x:c r="X1198" s="53"/>
      <x:c r="Y1198" s="53"/>
      <x:c r="Z1198" s="53"/>
      <x:c r="AA1198" s="53"/>
      <x:c r="AB1198" s="53"/>
      <x:c r="AC1198" s="53"/>
      <x:c r="AD1198" s="53"/>
      <x:c r="AE1198" s="53"/>
      <x:c r="AF1198" s="53"/>
    </x:row>
    <x:row r="1199">
      <x:c r="A1199" s="53"/>
      <x:c r="B1199" s="53"/>
      <x:c r="C1199" s="53"/>
      <x:c r="D1199" s="53"/>
      <x:c r="E1199" s="53"/>
      <x:c r="F1199" s="53"/>
      <x:c r="G1199" s="53"/>
      <x:c r="H1199" s="53"/>
      <x:c r="I1199" s="53"/>
      <x:c r="J1199" s="53"/>
      <x:c r="K1199" s="53"/>
      <x:c r="L1199" s="53"/>
      <x:c r="M1199" s="53"/>
      <x:c r="N1199" s="53"/>
      <x:c r="O1199" s="53"/>
      <x:c r="P1199" s="53"/>
      <x:c r="Q1199" s="53"/>
      <x:c r="R1199" s="53"/>
      <x:c r="S1199" s="53"/>
      <x:c r="T1199" s="53"/>
      <x:c r="U1199" s="53"/>
      <x:c r="V1199" s="53"/>
      <x:c r="W1199" s="53"/>
      <x:c r="X1199" s="53"/>
      <x:c r="Y1199" s="53"/>
      <x:c r="Z1199" s="53"/>
      <x:c r="AA1199" s="53"/>
      <x:c r="AB1199" s="53"/>
      <x:c r="AC1199" s="53"/>
      <x:c r="AD1199" s="53"/>
      <x:c r="AE1199" s="53"/>
      <x:c r="AF1199" s="53"/>
    </x:row>
    <x:row r="1200">
      <x:c r="A1200" s="53"/>
      <x:c r="B1200" s="53"/>
      <x:c r="C1200" s="53"/>
      <x:c r="D1200" s="53"/>
      <x:c r="E1200" s="53"/>
      <x:c r="F1200" s="53"/>
      <x:c r="G1200" s="53"/>
      <x:c r="H1200" s="53"/>
      <x:c r="I1200" s="53"/>
      <x:c r="J1200" s="53"/>
      <x:c r="K1200" s="53"/>
      <x:c r="L1200" s="53"/>
      <x:c r="M1200" s="53"/>
      <x:c r="N1200" s="53"/>
      <x:c r="O1200" s="53"/>
      <x:c r="P1200" s="53"/>
      <x:c r="Q1200" s="53"/>
      <x:c r="R1200" s="53"/>
      <x:c r="S1200" s="53"/>
      <x:c r="T1200" s="53"/>
      <x:c r="U1200" s="53"/>
      <x:c r="V1200" s="53"/>
      <x:c r="W1200" s="53"/>
      <x:c r="X1200" s="53"/>
      <x:c r="Y1200" s="53"/>
      <x:c r="Z1200" s="53"/>
      <x:c r="AA1200" s="53"/>
      <x:c r="AB1200" s="53"/>
      <x:c r="AC1200" s="53"/>
      <x:c r="AD1200" s="53"/>
      <x:c r="AE1200" s="53"/>
      <x:c r="AF1200" s="53"/>
    </x:row>
    <x:row r="1201">
      <x:c r="A1201" s="53"/>
      <x:c r="B1201" s="53"/>
      <x:c r="C1201" s="53"/>
      <x:c r="D1201" s="53"/>
      <x:c r="E1201" s="53"/>
      <x:c r="F1201" s="53"/>
      <x:c r="G1201" s="53"/>
      <x:c r="H1201" s="53"/>
      <x:c r="I1201" s="53"/>
      <x:c r="J1201" s="53"/>
      <x:c r="K1201" s="53"/>
      <x:c r="L1201" s="53"/>
      <x:c r="M1201" s="53"/>
      <x:c r="N1201" s="53"/>
      <x:c r="O1201" s="53"/>
      <x:c r="P1201" s="53"/>
      <x:c r="Q1201" s="53"/>
      <x:c r="R1201" s="53"/>
      <x:c r="S1201" s="53"/>
      <x:c r="T1201" s="53"/>
      <x:c r="U1201" s="53"/>
      <x:c r="V1201" s="53"/>
      <x:c r="W1201" s="53"/>
      <x:c r="X1201" s="53"/>
      <x:c r="Y1201" s="53"/>
      <x:c r="Z1201" s="53"/>
      <x:c r="AA1201" s="53"/>
      <x:c r="AB1201" s="53"/>
      <x:c r="AC1201" s="53"/>
      <x:c r="AD1201" s="53"/>
      <x:c r="AE1201" s="53"/>
      <x:c r="AF1201" s="53"/>
    </x:row>
    <x:row r="1202">
      <x:c r="A1202" s="53"/>
      <x:c r="B1202" s="53"/>
      <x:c r="C1202" s="53"/>
      <x:c r="D1202" s="53"/>
      <x:c r="E1202" s="53"/>
      <x:c r="F1202" s="53"/>
      <x:c r="G1202" s="53"/>
      <x:c r="H1202" s="53"/>
      <x:c r="I1202" s="53"/>
      <x:c r="J1202" s="53"/>
      <x:c r="K1202" s="53"/>
      <x:c r="L1202" s="53"/>
      <x:c r="M1202" s="53"/>
      <x:c r="N1202" s="53"/>
      <x:c r="O1202" s="53"/>
      <x:c r="P1202" s="53"/>
      <x:c r="Q1202" s="53"/>
      <x:c r="R1202" s="53"/>
      <x:c r="S1202" s="53"/>
      <x:c r="T1202" s="53"/>
      <x:c r="U1202" s="53"/>
      <x:c r="V1202" s="53"/>
      <x:c r="W1202" s="53"/>
      <x:c r="X1202" s="53"/>
      <x:c r="Y1202" s="53"/>
      <x:c r="Z1202" s="53"/>
      <x:c r="AA1202" s="53"/>
      <x:c r="AB1202" s="53"/>
      <x:c r="AC1202" s="53"/>
      <x:c r="AD1202" s="53"/>
      <x:c r="AE1202" s="53"/>
      <x:c r="AF1202" s="53"/>
    </x:row>
    <x:row r="1203">
      <x:c r="A1203" s="53"/>
      <x:c r="B1203" s="53"/>
      <x:c r="C1203" s="53"/>
      <x:c r="D1203" s="53"/>
      <x:c r="E1203" s="53"/>
      <x:c r="F1203" s="53"/>
      <x:c r="G1203" s="53"/>
      <x:c r="H1203" s="53"/>
      <x:c r="I1203" s="53"/>
      <x:c r="J1203" s="53"/>
      <x:c r="K1203" s="53"/>
      <x:c r="L1203" s="53"/>
      <x:c r="M1203" s="53"/>
      <x:c r="N1203" s="53"/>
      <x:c r="O1203" s="53"/>
      <x:c r="P1203" s="53"/>
      <x:c r="Q1203" s="53"/>
      <x:c r="R1203" s="53"/>
      <x:c r="S1203" s="53"/>
      <x:c r="T1203" s="53"/>
      <x:c r="U1203" s="53"/>
      <x:c r="V1203" s="53"/>
      <x:c r="W1203" s="53"/>
      <x:c r="X1203" s="53"/>
      <x:c r="Y1203" s="53"/>
      <x:c r="Z1203" s="53"/>
      <x:c r="AA1203" s="53"/>
      <x:c r="AB1203" s="53"/>
      <x:c r="AC1203" s="53"/>
      <x:c r="AD1203" s="53"/>
      <x:c r="AE1203" s="53"/>
      <x:c r="AF1203" s="53"/>
    </x:row>
    <x:row r="1204">
      <x:c r="A1204" s="53"/>
      <x:c r="B1204" s="53"/>
      <x:c r="C1204" s="53"/>
      <x:c r="D1204" s="53"/>
      <x:c r="E1204" s="53"/>
      <x:c r="F1204" s="53"/>
      <x:c r="G1204" s="53"/>
      <x:c r="H1204" s="53"/>
      <x:c r="I1204" s="53"/>
      <x:c r="J1204" s="53"/>
      <x:c r="K1204" s="53"/>
      <x:c r="L1204" s="53"/>
      <x:c r="M1204" s="53"/>
      <x:c r="N1204" s="53"/>
      <x:c r="O1204" s="53"/>
      <x:c r="P1204" s="53"/>
      <x:c r="Q1204" s="53"/>
      <x:c r="R1204" s="53"/>
      <x:c r="S1204" s="53"/>
      <x:c r="T1204" s="53"/>
      <x:c r="U1204" s="53"/>
      <x:c r="V1204" s="53"/>
      <x:c r="W1204" s="53"/>
      <x:c r="X1204" s="53"/>
      <x:c r="Y1204" s="53"/>
      <x:c r="Z1204" s="53"/>
      <x:c r="AA1204" s="53"/>
      <x:c r="AB1204" s="53"/>
      <x:c r="AC1204" s="53"/>
      <x:c r="AD1204" s="53"/>
      <x:c r="AE1204" s="53"/>
      <x:c r="AF1204" s="53"/>
    </x:row>
    <x:row r="1205">
      <x:c r="A1205" s="53"/>
      <x:c r="B1205" s="53"/>
      <x:c r="C1205" s="53"/>
      <x:c r="D1205" s="53"/>
      <x:c r="E1205" s="53"/>
      <x:c r="F1205" s="53"/>
      <x:c r="G1205" s="53"/>
      <x:c r="H1205" s="53"/>
      <x:c r="I1205" s="53"/>
      <x:c r="J1205" s="53"/>
      <x:c r="K1205" s="53"/>
      <x:c r="L1205" s="53"/>
      <x:c r="M1205" s="53"/>
      <x:c r="N1205" s="53"/>
      <x:c r="O1205" s="53"/>
      <x:c r="P1205" s="53"/>
      <x:c r="Q1205" s="53"/>
      <x:c r="R1205" s="53"/>
      <x:c r="S1205" s="53"/>
      <x:c r="T1205" s="53"/>
      <x:c r="U1205" s="53"/>
      <x:c r="V1205" s="53"/>
      <x:c r="W1205" s="53"/>
      <x:c r="X1205" s="53"/>
      <x:c r="Y1205" s="53"/>
      <x:c r="Z1205" s="53"/>
      <x:c r="AA1205" s="53"/>
      <x:c r="AB1205" s="53"/>
      <x:c r="AC1205" s="53"/>
      <x:c r="AD1205" s="53"/>
      <x:c r="AE1205" s="53"/>
      <x:c r="AF1205" s="53"/>
    </x:row>
    <x:row r="1206">
      <x:c r="A1206" s="53"/>
      <x:c r="B1206" s="53"/>
      <x:c r="C1206" s="53"/>
      <x:c r="D1206" s="53"/>
      <x:c r="E1206" s="53"/>
      <x:c r="F1206" s="53"/>
      <x:c r="G1206" s="53"/>
      <x:c r="H1206" s="53"/>
      <x:c r="I1206" s="53"/>
      <x:c r="J1206" s="53"/>
      <x:c r="K1206" s="53"/>
      <x:c r="L1206" s="53"/>
      <x:c r="M1206" s="53"/>
      <x:c r="N1206" s="53"/>
      <x:c r="O1206" s="53"/>
      <x:c r="P1206" s="53"/>
      <x:c r="Q1206" s="53"/>
      <x:c r="R1206" s="53"/>
      <x:c r="S1206" s="53"/>
      <x:c r="T1206" s="53"/>
      <x:c r="U1206" s="53"/>
      <x:c r="V1206" s="53"/>
      <x:c r="W1206" s="53"/>
      <x:c r="X1206" s="53"/>
      <x:c r="Y1206" s="53"/>
      <x:c r="Z1206" s="53"/>
      <x:c r="AA1206" s="53"/>
      <x:c r="AB1206" s="53"/>
      <x:c r="AC1206" s="53"/>
      <x:c r="AD1206" s="53"/>
      <x:c r="AE1206" s="53"/>
      <x:c r="AF1206" s="53"/>
    </x:row>
    <x:row r="1207">
      <x:c r="A1207" s="53"/>
      <x:c r="B1207" s="53"/>
      <x:c r="C1207" s="53"/>
      <x:c r="D1207" s="53"/>
      <x:c r="E1207" s="53"/>
      <x:c r="F1207" s="53"/>
      <x:c r="G1207" s="53"/>
      <x:c r="H1207" s="53"/>
      <x:c r="I1207" s="53"/>
      <x:c r="J1207" s="53"/>
      <x:c r="K1207" s="53"/>
      <x:c r="L1207" s="53"/>
      <x:c r="M1207" s="53"/>
      <x:c r="N1207" s="53"/>
      <x:c r="O1207" s="53"/>
      <x:c r="P1207" s="53"/>
      <x:c r="Q1207" s="53"/>
      <x:c r="R1207" s="53"/>
      <x:c r="S1207" s="53"/>
      <x:c r="T1207" s="53"/>
      <x:c r="U1207" s="53"/>
      <x:c r="V1207" s="53"/>
      <x:c r="W1207" s="53"/>
      <x:c r="X1207" s="53"/>
      <x:c r="Y1207" s="53"/>
      <x:c r="Z1207" s="53"/>
      <x:c r="AA1207" s="53"/>
      <x:c r="AB1207" s="53"/>
      <x:c r="AC1207" s="53"/>
      <x:c r="AD1207" s="53"/>
      <x:c r="AE1207" s="53"/>
      <x:c r="AF1207" s="53"/>
    </x:row>
    <x:row r="1208">
      <x:c r="A1208" s="53"/>
      <x:c r="B1208" s="53"/>
      <x:c r="C1208" s="53"/>
      <x:c r="D1208" s="53"/>
      <x:c r="E1208" s="53"/>
      <x:c r="F1208" s="53"/>
      <x:c r="G1208" s="53"/>
      <x:c r="H1208" s="53"/>
      <x:c r="I1208" s="53"/>
      <x:c r="J1208" s="53"/>
      <x:c r="K1208" s="53"/>
      <x:c r="L1208" s="53"/>
      <x:c r="M1208" s="53"/>
      <x:c r="N1208" s="53"/>
      <x:c r="O1208" s="53"/>
      <x:c r="P1208" s="53"/>
      <x:c r="Q1208" s="53"/>
      <x:c r="R1208" s="53"/>
      <x:c r="S1208" s="53"/>
      <x:c r="T1208" s="53"/>
      <x:c r="U1208" s="53"/>
      <x:c r="V1208" s="53"/>
      <x:c r="W1208" s="53"/>
      <x:c r="X1208" s="53"/>
      <x:c r="Y1208" s="53"/>
      <x:c r="Z1208" s="53"/>
      <x:c r="AA1208" s="53"/>
      <x:c r="AB1208" s="53"/>
      <x:c r="AC1208" s="53"/>
      <x:c r="AD1208" s="53"/>
      <x:c r="AE1208" s="53"/>
      <x:c r="AF1208" s="53"/>
    </x:row>
    <x:row r="1209">
      <x:c r="A1209" s="53"/>
      <x:c r="B1209" s="53"/>
      <x:c r="C1209" s="53"/>
      <x:c r="D1209" s="53"/>
      <x:c r="E1209" s="53"/>
      <x:c r="F1209" s="53"/>
      <x:c r="G1209" s="53"/>
      <x:c r="H1209" s="53"/>
      <x:c r="I1209" s="53"/>
      <x:c r="J1209" s="53"/>
      <x:c r="K1209" s="53"/>
      <x:c r="L1209" s="53"/>
      <x:c r="M1209" s="53"/>
      <x:c r="N1209" s="53"/>
      <x:c r="O1209" s="53"/>
      <x:c r="P1209" s="53"/>
      <x:c r="Q1209" s="53"/>
      <x:c r="R1209" s="53"/>
      <x:c r="S1209" s="53"/>
      <x:c r="T1209" s="53"/>
      <x:c r="U1209" s="53"/>
      <x:c r="V1209" s="53"/>
      <x:c r="W1209" s="53"/>
      <x:c r="X1209" s="53"/>
      <x:c r="Y1209" s="53"/>
      <x:c r="Z1209" s="53"/>
      <x:c r="AA1209" s="53"/>
      <x:c r="AB1209" s="53"/>
      <x:c r="AC1209" s="53"/>
      <x:c r="AD1209" s="53"/>
      <x:c r="AE1209" s="53"/>
      <x:c r="AF1209" s="53"/>
    </x:row>
    <x:row r="1210">
      <x:c r="A1210" s="53"/>
      <x:c r="B1210" s="53"/>
      <x:c r="C1210" s="53"/>
      <x:c r="D1210" s="53"/>
      <x:c r="E1210" s="53"/>
      <x:c r="F1210" s="53"/>
      <x:c r="G1210" s="53"/>
      <x:c r="H1210" s="53"/>
      <x:c r="I1210" s="53"/>
      <x:c r="J1210" s="53"/>
      <x:c r="K1210" s="53"/>
      <x:c r="L1210" s="53"/>
      <x:c r="M1210" s="53"/>
      <x:c r="N1210" s="53"/>
      <x:c r="O1210" s="53"/>
      <x:c r="P1210" s="53"/>
      <x:c r="Q1210" s="53"/>
      <x:c r="R1210" s="53"/>
      <x:c r="S1210" s="53"/>
      <x:c r="T1210" s="53"/>
      <x:c r="U1210" s="53"/>
      <x:c r="V1210" s="53"/>
      <x:c r="W1210" s="53"/>
      <x:c r="X1210" s="53"/>
      <x:c r="Y1210" s="53"/>
      <x:c r="Z1210" s="53"/>
      <x:c r="AA1210" s="53"/>
      <x:c r="AB1210" s="53"/>
      <x:c r="AC1210" s="53"/>
      <x:c r="AD1210" s="53"/>
      <x:c r="AE1210" s="53"/>
      <x:c r="AF1210" s="53"/>
    </x:row>
    <x:row r="1211">
      <x:c r="A1211" s="53"/>
      <x:c r="B1211" s="53"/>
      <x:c r="C1211" s="53"/>
      <x:c r="D1211" s="53"/>
      <x:c r="E1211" s="53"/>
      <x:c r="F1211" s="53"/>
      <x:c r="G1211" s="53"/>
      <x:c r="H1211" s="53"/>
      <x:c r="I1211" s="53"/>
      <x:c r="J1211" s="53"/>
      <x:c r="K1211" s="53"/>
      <x:c r="L1211" s="53"/>
      <x:c r="M1211" s="53"/>
      <x:c r="N1211" s="53"/>
      <x:c r="O1211" s="53"/>
      <x:c r="P1211" s="53"/>
      <x:c r="Q1211" s="53"/>
      <x:c r="R1211" s="53"/>
      <x:c r="S1211" s="53"/>
      <x:c r="T1211" s="53"/>
      <x:c r="U1211" s="53"/>
      <x:c r="V1211" s="53"/>
      <x:c r="W1211" s="53"/>
      <x:c r="X1211" s="53"/>
      <x:c r="Y1211" s="53"/>
      <x:c r="Z1211" s="53"/>
      <x:c r="AA1211" s="53"/>
      <x:c r="AB1211" s="53"/>
      <x:c r="AC1211" s="53"/>
      <x:c r="AD1211" s="53"/>
      <x:c r="AE1211" s="53"/>
      <x:c r="AF1211" s="53"/>
    </x:row>
    <x:row r="1212">
      <x:c r="A1212" s="53"/>
      <x:c r="B1212" s="53"/>
      <x:c r="C1212" s="53"/>
      <x:c r="D1212" s="53"/>
      <x:c r="E1212" s="53"/>
      <x:c r="F1212" s="53"/>
      <x:c r="G1212" s="53"/>
      <x:c r="H1212" s="53"/>
      <x:c r="I1212" s="53"/>
      <x:c r="J1212" s="53"/>
      <x:c r="K1212" s="53"/>
      <x:c r="L1212" s="53"/>
      <x:c r="M1212" s="53"/>
      <x:c r="N1212" s="53"/>
      <x:c r="O1212" s="53"/>
      <x:c r="P1212" s="53"/>
      <x:c r="Q1212" s="53"/>
      <x:c r="R1212" s="53"/>
      <x:c r="S1212" s="53"/>
      <x:c r="T1212" s="53"/>
      <x:c r="U1212" s="53"/>
      <x:c r="V1212" s="53"/>
      <x:c r="W1212" s="53"/>
      <x:c r="X1212" s="53"/>
      <x:c r="Y1212" s="53"/>
      <x:c r="Z1212" s="53"/>
      <x:c r="AA1212" s="53"/>
      <x:c r="AB1212" s="53"/>
      <x:c r="AC1212" s="53"/>
      <x:c r="AD1212" s="53"/>
      <x:c r="AE1212" s="53"/>
      <x:c r="AF1212" s="53"/>
    </x:row>
    <x:row r="1213">
      <x:c r="A1213" s="53"/>
      <x:c r="B1213" s="53"/>
      <x:c r="C1213" s="53"/>
      <x:c r="D1213" s="53"/>
      <x:c r="E1213" s="53"/>
      <x:c r="F1213" s="53"/>
      <x:c r="G1213" s="53"/>
      <x:c r="H1213" s="53"/>
      <x:c r="I1213" s="53"/>
      <x:c r="J1213" s="53"/>
      <x:c r="K1213" s="53"/>
      <x:c r="L1213" s="53"/>
      <x:c r="M1213" s="53"/>
      <x:c r="N1213" s="53"/>
      <x:c r="O1213" s="53"/>
      <x:c r="P1213" s="53"/>
      <x:c r="Q1213" s="53"/>
      <x:c r="R1213" s="53"/>
      <x:c r="S1213" s="53"/>
      <x:c r="T1213" s="53"/>
      <x:c r="U1213" s="53"/>
      <x:c r="V1213" s="53"/>
      <x:c r="W1213" s="53"/>
      <x:c r="X1213" s="53"/>
      <x:c r="Y1213" s="53"/>
      <x:c r="Z1213" s="53"/>
      <x:c r="AA1213" s="53"/>
      <x:c r="AB1213" s="53"/>
      <x:c r="AC1213" s="53"/>
      <x:c r="AD1213" s="53"/>
      <x:c r="AE1213" s="53"/>
      <x:c r="AF1213" s="53"/>
    </x:row>
    <x:row r="1214">
      <x:c r="A1214" s="53"/>
      <x:c r="B1214" s="53"/>
      <x:c r="C1214" s="53"/>
      <x:c r="D1214" s="53"/>
      <x:c r="E1214" s="53"/>
      <x:c r="F1214" s="53"/>
      <x:c r="G1214" s="53"/>
      <x:c r="H1214" s="53"/>
      <x:c r="I1214" s="53"/>
      <x:c r="J1214" s="53"/>
      <x:c r="K1214" s="53"/>
      <x:c r="L1214" s="53"/>
      <x:c r="M1214" s="53"/>
      <x:c r="N1214" s="53"/>
      <x:c r="O1214" s="53"/>
      <x:c r="P1214" s="53"/>
      <x:c r="Q1214" s="53"/>
      <x:c r="R1214" s="53"/>
      <x:c r="S1214" s="53"/>
      <x:c r="T1214" s="53"/>
      <x:c r="U1214" s="53"/>
      <x:c r="V1214" s="53"/>
      <x:c r="W1214" s="53"/>
      <x:c r="X1214" s="53"/>
      <x:c r="Y1214" s="53"/>
      <x:c r="Z1214" s="53"/>
      <x:c r="AA1214" s="53"/>
      <x:c r="AB1214" s="53"/>
      <x:c r="AC1214" s="53"/>
      <x:c r="AD1214" s="53"/>
      <x:c r="AE1214" s="53"/>
      <x:c r="AF1214" s="53"/>
    </x:row>
    <x:row r="1215">
      <x:c r="A1215" s="53"/>
      <x:c r="B1215" s="53"/>
      <x:c r="C1215" s="53"/>
      <x:c r="D1215" s="53"/>
      <x:c r="E1215" s="53"/>
      <x:c r="F1215" s="53"/>
      <x:c r="G1215" s="53"/>
      <x:c r="H1215" s="53"/>
      <x:c r="I1215" s="53"/>
      <x:c r="J1215" s="53"/>
      <x:c r="K1215" s="53"/>
      <x:c r="L1215" s="53"/>
      <x:c r="M1215" s="53"/>
      <x:c r="N1215" s="53"/>
      <x:c r="O1215" s="53"/>
      <x:c r="P1215" s="53"/>
      <x:c r="Q1215" s="53"/>
      <x:c r="R1215" s="53"/>
      <x:c r="S1215" s="53"/>
      <x:c r="T1215" s="53"/>
      <x:c r="U1215" s="53"/>
      <x:c r="V1215" s="53"/>
      <x:c r="W1215" s="53"/>
      <x:c r="X1215" s="53"/>
      <x:c r="Y1215" s="53"/>
      <x:c r="Z1215" s="53"/>
      <x:c r="AA1215" s="53"/>
      <x:c r="AB1215" s="53"/>
      <x:c r="AC1215" s="53"/>
      <x:c r="AD1215" s="53"/>
      <x:c r="AE1215" s="53"/>
      <x:c r="AF1215" s="53"/>
    </x:row>
    <x:row r="1216">
      <x:c r="A1216" s="53"/>
      <x:c r="B1216" s="53"/>
      <x:c r="C1216" s="53"/>
      <x:c r="D1216" s="53"/>
      <x:c r="E1216" s="53"/>
      <x:c r="F1216" s="53"/>
      <x:c r="G1216" s="53"/>
      <x:c r="H1216" s="53"/>
      <x:c r="I1216" s="53"/>
      <x:c r="J1216" s="53"/>
      <x:c r="K1216" s="53"/>
      <x:c r="L1216" s="53"/>
      <x:c r="M1216" s="53"/>
      <x:c r="N1216" s="53"/>
      <x:c r="O1216" s="53"/>
      <x:c r="P1216" s="53"/>
      <x:c r="Q1216" s="53"/>
      <x:c r="R1216" s="53"/>
      <x:c r="S1216" s="53"/>
      <x:c r="T1216" s="53"/>
      <x:c r="U1216" s="53"/>
      <x:c r="V1216" s="53"/>
      <x:c r="W1216" s="53"/>
      <x:c r="X1216" s="53"/>
      <x:c r="Y1216" s="53"/>
      <x:c r="Z1216" s="53"/>
      <x:c r="AA1216" s="53"/>
      <x:c r="AB1216" s="53"/>
      <x:c r="AC1216" s="53"/>
      <x:c r="AD1216" s="53"/>
      <x:c r="AE1216" s="53"/>
      <x:c r="AF1216" s="53"/>
    </x:row>
    <x:row r="1217">
      <x:c r="A1217" s="53"/>
      <x:c r="B1217" s="53"/>
      <x:c r="C1217" s="53"/>
      <x:c r="D1217" s="53"/>
      <x:c r="E1217" s="53"/>
      <x:c r="F1217" s="53"/>
      <x:c r="G1217" s="53"/>
      <x:c r="H1217" s="53"/>
      <x:c r="I1217" s="53"/>
      <x:c r="J1217" s="53"/>
      <x:c r="K1217" s="53"/>
      <x:c r="L1217" s="53"/>
      <x:c r="M1217" s="53"/>
      <x:c r="N1217" s="53"/>
      <x:c r="O1217" s="53"/>
      <x:c r="P1217" s="53"/>
      <x:c r="Q1217" s="53"/>
      <x:c r="R1217" s="53"/>
      <x:c r="S1217" s="53"/>
      <x:c r="T1217" s="53"/>
      <x:c r="U1217" s="53"/>
      <x:c r="V1217" s="53"/>
      <x:c r="W1217" s="53"/>
      <x:c r="X1217" s="53"/>
      <x:c r="Y1217" s="53"/>
      <x:c r="Z1217" s="53"/>
      <x:c r="AA1217" s="53"/>
      <x:c r="AB1217" s="53"/>
      <x:c r="AC1217" s="53"/>
      <x:c r="AD1217" s="53"/>
      <x:c r="AE1217" s="53"/>
      <x:c r="AF1217" s="53"/>
    </x:row>
    <x:row r="1218">
      <x:c r="A1218" s="53"/>
      <x:c r="B1218" s="53"/>
      <x:c r="C1218" s="53"/>
      <x:c r="D1218" s="53"/>
      <x:c r="E1218" s="53"/>
      <x:c r="F1218" s="53"/>
      <x:c r="G1218" s="53"/>
      <x:c r="H1218" s="53"/>
      <x:c r="I1218" s="53"/>
      <x:c r="J1218" s="53"/>
      <x:c r="K1218" s="53"/>
      <x:c r="L1218" s="53"/>
      <x:c r="M1218" s="53"/>
      <x:c r="N1218" s="53"/>
      <x:c r="O1218" s="53"/>
      <x:c r="P1218" s="53"/>
      <x:c r="Q1218" s="53"/>
      <x:c r="R1218" s="53"/>
      <x:c r="S1218" s="53"/>
      <x:c r="T1218" s="53"/>
      <x:c r="U1218" s="53"/>
      <x:c r="V1218" s="53"/>
      <x:c r="W1218" s="53"/>
      <x:c r="X1218" s="53"/>
      <x:c r="Y1218" s="53"/>
      <x:c r="Z1218" s="53"/>
      <x:c r="AA1218" s="53"/>
      <x:c r="AB1218" s="53"/>
      <x:c r="AC1218" s="53"/>
      <x:c r="AD1218" s="53"/>
      <x:c r="AE1218" s="53"/>
      <x:c r="AF1218" s="53"/>
    </x:row>
    <x:row r="1219">
      <x:c r="A1219" s="53"/>
      <x:c r="B1219" s="53"/>
      <x:c r="C1219" s="53"/>
      <x:c r="D1219" s="53"/>
      <x:c r="E1219" s="53"/>
      <x:c r="F1219" s="53"/>
      <x:c r="G1219" s="53"/>
      <x:c r="H1219" s="53"/>
      <x:c r="I1219" s="53"/>
      <x:c r="J1219" s="53"/>
      <x:c r="K1219" s="53"/>
      <x:c r="L1219" s="53"/>
      <x:c r="M1219" s="53"/>
      <x:c r="N1219" s="53"/>
      <x:c r="O1219" s="53"/>
      <x:c r="P1219" s="53"/>
      <x:c r="Q1219" s="53"/>
      <x:c r="R1219" s="53"/>
      <x:c r="S1219" s="53"/>
      <x:c r="T1219" s="53"/>
      <x:c r="U1219" s="53"/>
      <x:c r="V1219" s="53"/>
      <x:c r="W1219" s="53"/>
      <x:c r="X1219" s="53"/>
      <x:c r="Y1219" s="53"/>
      <x:c r="Z1219" s="53"/>
      <x:c r="AA1219" s="53"/>
      <x:c r="AB1219" s="53"/>
      <x:c r="AC1219" s="53"/>
      <x:c r="AD1219" s="53"/>
      <x:c r="AE1219" s="53"/>
      <x:c r="AF1219" s="53"/>
    </x:row>
    <x:row r="1220">
      <x:c r="A1220" s="53"/>
      <x:c r="B1220" s="53"/>
      <x:c r="C1220" s="53"/>
      <x:c r="D1220" s="53"/>
      <x:c r="E1220" s="53"/>
      <x:c r="F1220" s="53"/>
      <x:c r="G1220" s="53"/>
      <x:c r="H1220" s="53"/>
      <x:c r="I1220" s="53"/>
      <x:c r="J1220" s="53"/>
      <x:c r="K1220" s="53"/>
      <x:c r="L1220" s="53"/>
      <x:c r="M1220" s="53"/>
      <x:c r="N1220" s="53"/>
      <x:c r="O1220" s="53"/>
      <x:c r="P1220" s="53"/>
      <x:c r="Q1220" s="53"/>
      <x:c r="R1220" s="53"/>
      <x:c r="S1220" s="53"/>
      <x:c r="T1220" s="53"/>
      <x:c r="U1220" s="53"/>
      <x:c r="V1220" s="53"/>
      <x:c r="W1220" s="53"/>
      <x:c r="X1220" s="53"/>
      <x:c r="Y1220" s="53"/>
      <x:c r="Z1220" s="53"/>
      <x:c r="AA1220" s="53"/>
      <x:c r="AB1220" s="53"/>
      <x:c r="AC1220" s="53"/>
      <x:c r="AD1220" s="53"/>
      <x:c r="AE1220" s="53"/>
      <x:c r="AF1220" s="53"/>
    </x:row>
    <x:row r="1221">
      <x:c r="A1221" s="53"/>
      <x:c r="B1221" s="53"/>
      <x:c r="C1221" s="53"/>
      <x:c r="D1221" s="53"/>
      <x:c r="E1221" s="53"/>
      <x:c r="F1221" s="53"/>
      <x:c r="G1221" s="53"/>
      <x:c r="H1221" s="53"/>
      <x:c r="I1221" s="53"/>
      <x:c r="J1221" s="53"/>
      <x:c r="K1221" s="53"/>
      <x:c r="L1221" s="53"/>
      <x:c r="M1221" s="53"/>
      <x:c r="N1221" s="53"/>
      <x:c r="O1221" s="53"/>
      <x:c r="P1221" s="53"/>
      <x:c r="Q1221" s="53"/>
      <x:c r="R1221" s="53"/>
      <x:c r="S1221" s="53"/>
      <x:c r="T1221" s="53"/>
      <x:c r="U1221" s="53"/>
      <x:c r="V1221" s="53"/>
      <x:c r="W1221" s="53"/>
      <x:c r="X1221" s="53"/>
      <x:c r="Y1221" s="53"/>
      <x:c r="Z1221" s="53"/>
      <x:c r="AA1221" s="53"/>
      <x:c r="AB1221" s="53"/>
      <x:c r="AC1221" s="53"/>
      <x:c r="AD1221" s="53"/>
      <x:c r="AE1221" s="53"/>
      <x:c r="AF1221" s="53"/>
    </x:row>
    <x:row r="1222">
      <x:c r="A1222" s="53"/>
      <x:c r="B1222" s="53"/>
      <x:c r="C1222" s="53"/>
      <x:c r="D1222" s="53"/>
      <x:c r="E1222" s="53"/>
      <x:c r="F1222" s="53"/>
      <x:c r="G1222" s="53"/>
      <x:c r="H1222" s="53"/>
      <x:c r="I1222" s="53"/>
      <x:c r="J1222" s="53"/>
      <x:c r="K1222" s="53"/>
      <x:c r="L1222" s="53"/>
      <x:c r="M1222" s="53"/>
      <x:c r="N1222" s="53"/>
      <x:c r="O1222" s="53"/>
      <x:c r="P1222" s="53"/>
      <x:c r="Q1222" s="53"/>
      <x:c r="R1222" s="53"/>
      <x:c r="S1222" s="53"/>
      <x:c r="T1222" s="53"/>
      <x:c r="U1222" s="53"/>
      <x:c r="V1222" s="53"/>
      <x:c r="W1222" s="53"/>
      <x:c r="X1222" s="53"/>
      <x:c r="Y1222" s="53"/>
      <x:c r="Z1222" s="53"/>
      <x:c r="AA1222" s="53"/>
      <x:c r="AB1222" s="53"/>
      <x:c r="AC1222" s="53"/>
      <x:c r="AD1222" s="53"/>
      <x:c r="AE1222" s="53"/>
      <x:c r="AF1222" s="53"/>
    </x:row>
    <x:row r="1223">
      <x:c r="A1223" s="53"/>
      <x:c r="B1223" s="53"/>
      <x:c r="C1223" s="53"/>
      <x:c r="D1223" s="53"/>
      <x:c r="E1223" s="53"/>
      <x:c r="F1223" s="53"/>
      <x:c r="G1223" s="53"/>
      <x:c r="H1223" s="53"/>
      <x:c r="I1223" s="53"/>
      <x:c r="J1223" s="53"/>
      <x:c r="K1223" s="53"/>
      <x:c r="L1223" s="53"/>
      <x:c r="M1223" s="53"/>
      <x:c r="N1223" s="53"/>
      <x:c r="O1223" s="53"/>
      <x:c r="P1223" s="53"/>
      <x:c r="Q1223" s="53"/>
      <x:c r="R1223" s="53"/>
      <x:c r="S1223" s="53"/>
      <x:c r="T1223" s="53"/>
      <x:c r="U1223" s="53"/>
      <x:c r="V1223" s="53"/>
      <x:c r="W1223" s="53"/>
      <x:c r="X1223" s="53"/>
      <x:c r="Y1223" s="53"/>
      <x:c r="Z1223" s="53"/>
      <x:c r="AA1223" s="53"/>
      <x:c r="AB1223" s="53"/>
      <x:c r="AC1223" s="53"/>
      <x:c r="AD1223" s="53"/>
      <x:c r="AE1223" s="53"/>
      <x:c r="AF1223" s="53"/>
    </x:row>
    <x:row r="1224">
      <x:c r="A1224" s="53"/>
      <x:c r="B1224" s="53"/>
      <x:c r="C1224" s="53"/>
      <x:c r="D1224" s="53"/>
      <x:c r="E1224" s="53"/>
      <x:c r="F1224" s="53"/>
      <x:c r="G1224" s="53"/>
      <x:c r="H1224" s="53"/>
      <x:c r="I1224" s="53"/>
      <x:c r="J1224" s="53"/>
      <x:c r="K1224" s="53"/>
      <x:c r="L1224" s="53"/>
      <x:c r="M1224" s="53"/>
      <x:c r="N1224" s="53"/>
      <x:c r="O1224" s="53"/>
      <x:c r="P1224" s="53"/>
      <x:c r="Q1224" s="53"/>
      <x:c r="R1224" s="53"/>
      <x:c r="S1224" s="53"/>
      <x:c r="T1224" s="53"/>
      <x:c r="U1224" s="53"/>
      <x:c r="V1224" s="53"/>
      <x:c r="W1224" s="53"/>
      <x:c r="X1224" s="53"/>
      <x:c r="Y1224" s="53"/>
      <x:c r="Z1224" s="53"/>
      <x:c r="AA1224" s="53"/>
      <x:c r="AB1224" s="53"/>
      <x:c r="AC1224" s="53"/>
      <x:c r="AD1224" s="53"/>
      <x:c r="AE1224" s="53"/>
      <x:c r="AF1224" s="53"/>
    </x:row>
    <x:row r="1225">
      <x:c r="A1225" s="53"/>
      <x:c r="B1225" s="53"/>
      <x:c r="C1225" s="53"/>
      <x:c r="D1225" s="53"/>
      <x:c r="E1225" s="53"/>
      <x:c r="F1225" s="53"/>
      <x:c r="G1225" s="53"/>
      <x:c r="H1225" s="53"/>
      <x:c r="I1225" s="53"/>
      <x:c r="J1225" s="53"/>
      <x:c r="K1225" s="53"/>
      <x:c r="L1225" s="53"/>
      <x:c r="M1225" s="53"/>
      <x:c r="N1225" s="53"/>
      <x:c r="O1225" s="53"/>
      <x:c r="P1225" s="53"/>
      <x:c r="Q1225" s="53"/>
      <x:c r="R1225" s="53"/>
      <x:c r="S1225" s="53"/>
      <x:c r="T1225" s="53"/>
      <x:c r="U1225" s="53"/>
      <x:c r="V1225" s="53"/>
      <x:c r="W1225" s="53"/>
      <x:c r="X1225" s="53"/>
      <x:c r="Y1225" s="53"/>
      <x:c r="Z1225" s="53"/>
      <x:c r="AA1225" s="53"/>
      <x:c r="AB1225" s="53"/>
      <x:c r="AC1225" s="53"/>
      <x:c r="AD1225" s="53"/>
      <x:c r="AE1225" s="53"/>
      <x:c r="AF1225" s="53"/>
    </x:row>
    <x:row r="1226">
      <x:c r="A1226" s="53"/>
      <x:c r="B1226" s="53"/>
      <x:c r="C1226" s="53"/>
      <x:c r="D1226" s="53"/>
      <x:c r="E1226" s="53"/>
      <x:c r="F1226" s="53"/>
      <x:c r="G1226" s="53"/>
      <x:c r="H1226" s="53"/>
      <x:c r="I1226" s="53"/>
      <x:c r="J1226" s="53"/>
      <x:c r="K1226" s="53"/>
      <x:c r="L1226" s="53"/>
      <x:c r="M1226" s="53"/>
      <x:c r="N1226" s="53"/>
      <x:c r="O1226" s="53"/>
      <x:c r="P1226" s="53"/>
      <x:c r="Q1226" s="53"/>
      <x:c r="R1226" s="53"/>
      <x:c r="S1226" s="53"/>
      <x:c r="T1226" s="53"/>
      <x:c r="U1226" s="53"/>
      <x:c r="V1226" s="53"/>
      <x:c r="W1226" s="53"/>
      <x:c r="X1226" s="53"/>
      <x:c r="Y1226" s="53"/>
      <x:c r="Z1226" s="53"/>
      <x:c r="AA1226" s="53"/>
      <x:c r="AB1226" s="53"/>
      <x:c r="AC1226" s="53"/>
      <x:c r="AD1226" s="53"/>
      <x:c r="AE1226" s="53"/>
      <x:c r="AF1226" s="53"/>
    </x:row>
    <x:row r="1227">
      <x:c r="A1227" s="53"/>
      <x:c r="B1227" s="53"/>
      <x:c r="C1227" s="53"/>
      <x:c r="D1227" s="53"/>
      <x:c r="E1227" s="53"/>
      <x:c r="F1227" s="53"/>
      <x:c r="G1227" s="53"/>
      <x:c r="H1227" s="53"/>
      <x:c r="I1227" s="53"/>
      <x:c r="J1227" s="53"/>
      <x:c r="K1227" s="53"/>
      <x:c r="L1227" s="53"/>
      <x:c r="M1227" s="53"/>
      <x:c r="N1227" s="53"/>
      <x:c r="O1227" s="53"/>
      <x:c r="P1227" s="53"/>
      <x:c r="Q1227" s="53"/>
      <x:c r="R1227" s="53"/>
      <x:c r="S1227" s="53"/>
      <x:c r="T1227" s="53"/>
      <x:c r="U1227" s="53"/>
      <x:c r="V1227" s="53"/>
      <x:c r="W1227" s="53"/>
      <x:c r="X1227" s="53"/>
      <x:c r="Y1227" s="53"/>
      <x:c r="Z1227" s="53"/>
      <x:c r="AA1227" s="53"/>
      <x:c r="AB1227" s="53"/>
      <x:c r="AC1227" s="53"/>
      <x:c r="AD1227" s="53"/>
      <x:c r="AE1227" s="53"/>
      <x:c r="AF1227" s="53"/>
    </x:row>
    <x:row r="1228">
      <x:c r="A1228" s="53"/>
      <x:c r="B1228" s="53"/>
      <x:c r="C1228" s="53"/>
      <x:c r="D1228" s="53"/>
      <x:c r="E1228" s="53"/>
      <x:c r="F1228" s="53"/>
      <x:c r="G1228" s="53"/>
      <x:c r="H1228" s="53"/>
      <x:c r="I1228" s="53"/>
      <x:c r="J1228" s="53"/>
      <x:c r="K1228" s="53"/>
      <x:c r="L1228" s="53"/>
      <x:c r="M1228" s="53"/>
      <x:c r="N1228" s="53"/>
      <x:c r="O1228" s="53"/>
      <x:c r="P1228" s="53"/>
      <x:c r="Q1228" s="53"/>
      <x:c r="R1228" s="53"/>
      <x:c r="S1228" s="53"/>
      <x:c r="T1228" s="53"/>
      <x:c r="U1228" s="53"/>
      <x:c r="V1228" s="53"/>
      <x:c r="W1228" s="53"/>
      <x:c r="X1228" s="53"/>
      <x:c r="Y1228" s="53"/>
      <x:c r="Z1228" s="53"/>
      <x:c r="AA1228" s="53"/>
      <x:c r="AB1228" s="53"/>
      <x:c r="AC1228" s="53"/>
      <x:c r="AD1228" s="53"/>
      <x:c r="AE1228" s="53"/>
      <x:c r="AF1228" s="53"/>
    </x:row>
    <x:row r="1229">
      <x:c r="A1229" s="53"/>
      <x:c r="B1229" s="53"/>
      <x:c r="C1229" s="53"/>
      <x:c r="D1229" s="53"/>
      <x:c r="E1229" s="53"/>
      <x:c r="F1229" s="53"/>
      <x:c r="G1229" s="53"/>
      <x:c r="H1229" s="53"/>
      <x:c r="I1229" s="53"/>
      <x:c r="J1229" s="53"/>
      <x:c r="K1229" s="53"/>
      <x:c r="L1229" s="53"/>
      <x:c r="M1229" s="53"/>
      <x:c r="N1229" s="53"/>
      <x:c r="O1229" s="53"/>
      <x:c r="P1229" s="53"/>
      <x:c r="Q1229" s="53"/>
      <x:c r="R1229" s="53"/>
      <x:c r="S1229" s="53"/>
      <x:c r="T1229" s="53"/>
      <x:c r="U1229" s="53"/>
      <x:c r="V1229" s="53"/>
      <x:c r="W1229" s="53"/>
      <x:c r="X1229" s="53"/>
      <x:c r="Y1229" s="53"/>
      <x:c r="Z1229" s="53"/>
      <x:c r="AA1229" s="53"/>
      <x:c r="AB1229" s="53"/>
      <x:c r="AC1229" s="53"/>
      <x:c r="AD1229" s="53"/>
      <x:c r="AE1229" s="53"/>
      <x:c r="AF1229" s="53"/>
    </x:row>
    <x:row r="1230">
      <x:c r="A1230" s="53"/>
      <x:c r="B1230" s="53"/>
      <x:c r="C1230" s="53"/>
      <x:c r="D1230" s="53"/>
      <x:c r="E1230" s="53"/>
      <x:c r="F1230" s="53"/>
      <x:c r="G1230" s="53"/>
      <x:c r="H1230" s="53"/>
      <x:c r="I1230" s="53"/>
      <x:c r="J1230" s="53"/>
      <x:c r="K1230" s="53"/>
      <x:c r="L1230" s="53"/>
      <x:c r="M1230" s="53"/>
      <x:c r="N1230" s="53"/>
      <x:c r="O1230" s="53"/>
      <x:c r="P1230" s="53"/>
      <x:c r="Q1230" s="53"/>
      <x:c r="R1230" s="53"/>
      <x:c r="S1230" s="53"/>
      <x:c r="T1230" s="53"/>
      <x:c r="U1230" s="53"/>
      <x:c r="V1230" s="53"/>
      <x:c r="W1230" s="53"/>
      <x:c r="X1230" s="53"/>
      <x:c r="Y1230" s="53"/>
      <x:c r="Z1230" s="53"/>
      <x:c r="AA1230" s="53"/>
      <x:c r="AB1230" s="53"/>
      <x:c r="AC1230" s="53"/>
      <x:c r="AD1230" s="53"/>
      <x:c r="AE1230" s="53"/>
      <x:c r="AF1230" s="53"/>
    </x:row>
    <x:row r="1231">
      <x:c r="A1231" s="53"/>
      <x:c r="B1231" s="53"/>
      <x:c r="C1231" s="53"/>
      <x:c r="D1231" s="53"/>
      <x:c r="E1231" s="53"/>
      <x:c r="F1231" s="53"/>
      <x:c r="G1231" s="53"/>
      <x:c r="H1231" s="53"/>
      <x:c r="I1231" s="53"/>
      <x:c r="J1231" s="53"/>
      <x:c r="K1231" s="53"/>
      <x:c r="L1231" s="53"/>
      <x:c r="M1231" s="53"/>
      <x:c r="N1231" s="53"/>
      <x:c r="O1231" s="53"/>
      <x:c r="P1231" s="53"/>
      <x:c r="Q1231" s="53"/>
      <x:c r="R1231" s="53"/>
      <x:c r="S1231" s="53"/>
      <x:c r="T1231" s="53"/>
      <x:c r="U1231" s="53"/>
      <x:c r="V1231" s="53"/>
      <x:c r="W1231" s="53"/>
      <x:c r="X1231" s="53"/>
      <x:c r="Y1231" s="53"/>
      <x:c r="Z1231" s="53"/>
      <x:c r="AA1231" s="53"/>
      <x:c r="AB1231" s="53"/>
      <x:c r="AC1231" s="53"/>
      <x:c r="AD1231" s="53"/>
      <x:c r="AE1231" s="53"/>
      <x:c r="AF1231" s="53"/>
    </x:row>
    <x:row r="1232">
      <x:c r="A1232" s="53"/>
      <x:c r="B1232" s="53"/>
      <x:c r="C1232" s="53"/>
      <x:c r="D1232" s="53"/>
      <x:c r="E1232" s="53"/>
      <x:c r="F1232" s="53"/>
      <x:c r="G1232" s="53"/>
      <x:c r="H1232" s="53"/>
      <x:c r="I1232" s="53"/>
      <x:c r="J1232" s="53"/>
      <x:c r="K1232" s="53"/>
      <x:c r="L1232" s="53"/>
      <x:c r="M1232" s="53"/>
      <x:c r="N1232" s="53"/>
      <x:c r="O1232" s="53"/>
      <x:c r="P1232" s="53"/>
      <x:c r="Q1232" s="53"/>
      <x:c r="R1232" s="53"/>
      <x:c r="S1232" s="53"/>
      <x:c r="T1232" s="53"/>
      <x:c r="U1232" s="53"/>
      <x:c r="V1232" s="53"/>
      <x:c r="W1232" s="53"/>
      <x:c r="X1232" s="53"/>
      <x:c r="Y1232" s="53"/>
      <x:c r="Z1232" s="53"/>
      <x:c r="AA1232" s="53"/>
      <x:c r="AB1232" s="53"/>
      <x:c r="AC1232" s="53"/>
      <x:c r="AD1232" s="53"/>
      <x:c r="AE1232" s="53"/>
      <x:c r="AF1232" s="53"/>
    </x:row>
    <x:row r="1233">
      <x:c r="A1233" s="53"/>
      <x:c r="B1233" s="53"/>
      <x:c r="C1233" s="53"/>
      <x:c r="D1233" s="53"/>
      <x:c r="E1233" s="53"/>
      <x:c r="F1233" s="53"/>
      <x:c r="G1233" s="53"/>
      <x:c r="H1233" s="53"/>
      <x:c r="I1233" s="53"/>
      <x:c r="J1233" s="53"/>
      <x:c r="K1233" s="53"/>
      <x:c r="L1233" s="53"/>
      <x:c r="M1233" s="53"/>
      <x:c r="N1233" s="53"/>
      <x:c r="O1233" s="53"/>
      <x:c r="P1233" s="53"/>
      <x:c r="Q1233" s="53"/>
      <x:c r="R1233" s="53"/>
      <x:c r="S1233" s="53"/>
      <x:c r="T1233" s="53"/>
      <x:c r="U1233" s="53"/>
      <x:c r="V1233" s="53"/>
      <x:c r="W1233" s="53"/>
      <x:c r="X1233" s="53"/>
      <x:c r="Y1233" s="53"/>
      <x:c r="Z1233" s="53"/>
      <x:c r="AA1233" s="53"/>
      <x:c r="AB1233" s="53"/>
      <x:c r="AC1233" s="53"/>
      <x:c r="AD1233" s="53"/>
      <x:c r="AE1233" s="53"/>
      <x:c r="AF1233" s="53"/>
    </x:row>
    <x:row r="1234">
      <x:c r="A1234" s="53"/>
      <x:c r="B1234" s="53"/>
      <x:c r="C1234" s="53"/>
      <x:c r="D1234" s="53"/>
      <x:c r="E1234" s="53"/>
      <x:c r="F1234" s="53"/>
      <x:c r="G1234" s="53"/>
      <x:c r="H1234" s="53"/>
      <x:c r="I1234" s="53"/>
      <x:c r="J1234" s="53"/>
      <x:c r="K1234" s="53"/>
      <x:c r="L1234" s="53"/>
      <x:c r="M1234" s="53"/>
      <x:c r="N1234" s="53"/>
      <x:c r="O1234" s="53"/>
      <x:c r="P1234" s="53"/>
      <x:c r="Q1234" s="53"/>
      <x:c r="R1234" s="53"/>
      <x:c r="S1234" s="53"/>
      <x:c r="T1234" s="53"/>
      <x:c r="U1234" s="53"/>
      <x:c r="V1234" s="53"/>
      <x:c r="W1234" s="53"/>
      <x:c r="X1234" s="53"/>
      <x:c r="Y1234" s="53"/>
      <x:c r="Z1234" s="53"/>
      <x:c r="AA1234" s="53"/>
      <x:c r="AB1234" s="53"/>
      <x:c r="AC1234" s="53"/>
      <x:c r="AD1234" s="53"/>
      <x:c r="AE1234" s="53"/>
      <x:c r="AF1234" s="53"/>
    </x:row>
    <x:row r="1235">
      <x:c r="A1235" s="53"/>
      <x:c r="B1235" s="53"/>
      <x:c r="C1235" s="53"/>
      <x:c r="D1235" s="53"/>
      <x:c r="E1235" s="53"/>
      <x:c r="F1235" s="53"/>
      <x:c r="G1235" s="53"/>
      <x:c r="H1235" s="53"/>
      <x:c r="I1235" s="53"/>
      <x:c r="J1235" s="53"/>
      <x:c r="K1235" s="53"/>
      <x:c r="L1235" s="53"/>
      <x:c r="M1235" s="53"/>
      <x:c r="N1235" s="53"/>
      <x:c r="O1235" s="53"/>
      <x:c r="P1235" s="53"/>
      <x:c r="Q1235" s="53"/>
      <x:c r="R1235" s="53"/>
      <x:c r="S1235" s="53"/>
      <x:c r="T1235" s="53"/>
      <x:c r="U1235" s="53"/>
      <x:c r="V1235" s="53"/>
      <x:c r="W1235" s="53"/>
      <x:c r="X1235" s="53"/>
      <x:c r="Y1235" s="53"/>
      <x:c r="Z1235" s="53"/>
      <x:c r="AA1235" s="53"/>
      <x:c r="AB1235" s="53"/>
      <x:c r="AC1235" s="53"/>
      <x:c r="AD1235" s="53"/>
      <x:c r="AE1235" s="53"/>
      <x:c r="AF1235" s="53"/>
    </x:row>
    <x:row r="1236">
      <x:c r="A1236" s="53"/>
      <x:c r="B1236" s="53"/>
      <x:c r="C1236" s="53"/>
      <x:c r="D1236" s="53"/>
      <x:c r="E1236" s="53"/>
      <x:c r="F1236" s="53"/>
      <x:c r="G1236" s="53"/>
      <x:c r="H1236" s="53"/>
      <x:c r="I1236" s="53"/>
      <x:c r="J1236" s="53"/>
      <x:c r="K1236" s="53"/>
      <x:c r="L1236" s="53"/>
      <x:c r="M1236" s="53"/>
      <x:c r="N1236" s="53"/>
      <x:c r="O1236" s="53"/>
      <x:c r="P1236" s="53"/>
      <x:c r="Q1236" s="53"/>
      <x:c r="R1236" s="53"/>
      <x:c r="S1236" s="53"/>
      <x:c r="T1236" s="53"/>
      <x:c r="U1236" s="53"/>
      <x:c r="V1236" s="53"/>
      <x:c r="W1236" s="53"/>
      <x:c r="X1236" s="53"/>
      <x:c r="Y1236" s="53"/>
      <x:c r="Z1236" s="53"/>
      <x:c r="AA1236" s="53"/>
      <x:c r="AB1236" s="53"/>
      <x:c r="AC1236" s="53"/>
      <x:c r="AD1236" s="53"/>
      <x:c r="AE1236" s="53"/>
      <x:c r="AF1236" s="53"/>
    </x:row>
    <x:row r="1237">
      <x:c r="A1237" s="53"/>
      <x:c r="B1237" s="53"/>
      <x:c r="C1237" s="53"/>
      <x:c r="D1237" s="53"/>
      <x:c r="E1237" s="53"/>
      <x:c r="F1237" s="53"/>
      <x:c r="G1237" s="53"/>
      <x:c r="H1237" s="53"/>
      <x:c r="I1237" s="53"/>
      <x:c r="J1237" s="53"/>
      <x:c r="K1237" s="53"/>
      <x:c r="L1237" s="53"/>
      <x:c r="M1237" s="53"/>
      <x:c r="N1237" s="53"/>
      <x:c r="O1237" s="53"/>
      <x:c r="P1237" s="53"/>
      <x:c r="Q1237" s="53"/>
      <x:c r="R1237" s="53"/>
      <x:c r="S1237" s="53"/>
      <x:c r="T1237" s="53"/>
      <x:c r="U1237" s="53"/>
      <x:c r="V1237" s="53"/>
      <x:c r="W1237" s="53"/>
      <x:c r="X1237" s="53"/>
      <x:c r="Y1237" s="53"/>
      <x:c r="Z1237" s="53"/>
      <x:c r="AA1237" s="53"/>
      <x:c r="AB1237" s="53"/>
      <x:c r="AC1237" s="53"/>
      <x:c r="AD1237" s="53"/>
      <x:c r="AE1237" s="53"/>
      <x:c r="AF1237" s="53"/>
    </x:row>
    <x:row r="1238">
      <x:c r="A1238" s="53"/>
      <x:c r="B1238" s="53"/>
      <x:c r="C1238" s="53"/>
      <x:c r="D1238" s="53"/>
      <x:c r="E1238" s="53"/>
      <x:c r="F1238" s="53"/>
      <x:c r="G1238" s="53"/>
      <x:c r="H1238" s="53"/>
      <x:c r="I1238" s="53"/>
      <x:c r="J1238" s="53"/>
      <x:c r="K1238" s="53"/>
      <x:c r="L1238" s="53"/>
      <x:c r="M1238" s="53"/>
      <x:c r="N1238" s="53"/>
      <x:c r="O1238" s="53"/>
      <x:c r="P1238" s="53"/>
      <x:c r="Q1238" s="53"/>
      <x:c r="R1238" s="53"/>
      <x:c r="S1238" s="53"/>
      <x:c r="T1238" s="53"/>
      <x:c r="U1238" s="53"/>
      <x:c r="V1238" s="53"/>
      <x:c r="W1238" s="53"/>
      <x:c r="X1238" s="53"/>
      <x:c r="Y1238" s="53"/>
      <x:c r="Z1238" s="53"/>
      <x:c r="AA1238" s="53"/>
      <x:c r="AB1238" s="53"/>
      <x:c r="AC1238" s="53"/>
      <x:c r="AD1238" s="53"/>
      <x:c r="AE1238" s="53"/>
      <x:c r="AF1238" s="53"/>
    </x:row>
    <x:row r="1239">
      <x:c r="A1239" s="53"/>
      <x:c r="B1239" s="53"/>
      <x:c r="C1239" s="53"/>
      <x:c r="D1239" s="53"/>
      <x:c r="E1239" s="53"/>
      <x:c r="F1239" s="53"/>
      <x:c r="G1239" s="53"/>
      <x:c r="H1239" s="53"/>
      <x:c r="I1239" s="53"/>
      <x:c r="J1239" s="53"/>
      <x:c r="K1239" s="53"/>
      <x:c r="L1239" s="53"/>
      <x:c r="M1239" s="53"/>
      <x:c r="N1239" s="53"/>
      <x:c r="O1239" s="53"/>
      <x:c r="P1239" s="53"/>
      <x:c r="Q1239" s="53"/>
      <x:c r="R1239" s="53"/>
      <x:c r="S1239" s="53"/>
      <x:c r="T1239" s="53"/>
      <x:c r="U1239" s="53"/>
      <x:c r="V1239" s="53"/>
      <x:c r="W1239" s="53"/>
      <x:c r="X1239" s="53"/>
      <x:c r="Y1239" s="53"/>
      <x:c r="Z1239" s="53"/>
      <x:c r="AA1239" s="53"/>
      <x:c r="AB1239" s="53"/>
      <x:c r="AC1239" s="53"/>
      <x:c r="AD1239" s="53"/>
      <x:c r="AE1239" s="53"/>
      <x:c r="AF1239" s="53"/>
    </x:row>
    <x:row r="1240">
      <x:c r="A1240" s="53"/>
      <x:c r="B1240" s="53"/>
      <x:c r="C1240" s="53"/>
      <x:c r="D1240" s="53"/>
      <x:c r="E1240" s="53"/>
      <x:c r="F1240" s="53"/>
      <x:c r="G1240" s="53"/>
      <x:c r="H1240" s="53"/>
      <x:c r="I1240" s="53"/>
      <x:c r="J1240" s="53"/>
      <x:c r="K1240" s="53"/>
      <x:c r="L1240" s="53"/>
      <x:c r="M1240" s="53"/>
      <x:c r="N1240" s="53"/>
      <x:c r="O1240" s="53"/>
      <x:c r="P1240" s="53"/>
      <x:c r="Q1240" s="53"/>
      <x:c r="R1240" s="53"/>
      <x:c r="S1240" s="53"/>
      <x:c r="T1240" s="53"/>
      <x:c r="U1240" s="53"/>
      <x:c r="V1240" s="53"/>
      <x:c r="W1240" s="53"/>
      <x:c r="X1240" s="53"/>
      <x:c r="Y1240" s="53"/>
      <x:c r="Z1240" s="53"/>
      <x:c r="AA1240" s="53"/>
      <x:c r="AB1240" s="53"/>
      <x:c r="AC1240" s="53"/>
      <x:c r="AD1240" s="53"/>
      <x:c r="AE1240" s="53"/>
      <x:c r="AF1240" s="53"/>
    </x:row>
    <x:row r="1241">
      <x:c r="A1241" s="53"/>
      <x:c r="B1241" s="53"/>
      <x:c r="C1241" s="53"/>
      <x:c r="D1241" s="53"/>
      <x:c r="E1241" s="53"/>
      <x:c r="F1241" s="53"/>
      <x:c r="G1241" s="53"/>
      <x:c r="H1241" s="53"/>
      <x:c r="I1241" s="53"/>
      <x:c r="J1241" s="53"/>
      <x:c r="K1241" s="53"/>
      <x:c r="L1241" s="53"/>
      <x:c r="M1241" s="53"/>
      <x:c r="N1241" s="53"/>
      <x:c r="O1241" s="53"/>
      <x:c r="P1241" s="53"/>
      <x:c r="Q1241" s="53"/>
      <x:c r="R1241" s="53"/>
      <x:c r="S1241" s="53"/>
      <x:c r="T1241" s="53"/>
      <x:c r="U1241" s="53"/>
      <x:c r="V1241" s="53"/>
      <x:c r="W1241" s="53"/>
      <x:c r="X1241" s="53"/>
      <x:c r="Y1241" s="53"/>
      <x:c r="Z1241" s="53"/>
      <x:c r="AA1241" s="53"/>
      <x:c r="AB1241" s="53"/>
      <x:c r="AC1241" s="53"/>
      <x:c r="AD1241" s="53"/>
      <x:c r="AE1241" s="53"/>
      <x:c r="AF1241" s="53"/>
    </x:row>
    <x:row r="1242">
      <x:c r="A1242" s="53"/>
      <x:c r="B1242" s="53"/>
      <x:c r="C1242" s="53"/>
      <x:c r="D1242" s="53"/>
      <x:c r="E1242" s="53"/>
      <x:c r="F1242" s="53"/>
      <x:c r="G1242" s="53"/>
      <x:c r="H1242" s="53"/>
      <x:c r="I1242" s="53"/>
      <x:c r="J1242" s="53"/>
      <x:c r="K1242" s="53"/>
      <x:c r="L1242" s="53"/>
      <x:c r="M1242" s="53"/>
      <x:c r="N1242" s="53"/>
      <x:c r="O1242" s="53"/>
      <x:c r="P1242" s="53"/>
      <x:c r="Q1242" s="53"/>
      <x:c r="R1242" s="53"/>
      <x:c r="S1242" s="53"/>
      <x:c r="T1242" s="53"/>
      <x:c r="U1242" s="53"/>
      <x:c r="V1242" s="53"/>
      <x:c r="W1242" s="53"/>
      <x:c r="X1242" s="53"/>
      <x:c r="Y1242" s="53"/>
      <x:c r="Z1242" s="53"/>
      <x:c r="AA1242" s="53"/>
      <x:c r="AB1242" s="53"/>
      <x:c r="AC1242" s="53"/>
      <x:c r="AD1242" s="53"/>
      <x:c r="AE1242" s="53"/>
      <x:c r="AF1242" s="53"/>
    </x:row>
    <x:row r="1243">
      <x:c r="A1243" s="53"/>
      <x:c r="B1243" s="53"/>
      <x:c r="C1243" s="53"/>
      <x:c r="D1243" s="53"/>
      <x:c r="E1243" s="53"/>
      <x:c r="F1243" s="53"/>
      <x:c r="G1243" s="53"/>
      <x:c r="H1243" s="53"/>
      <x:c r="I1243" s="53"/>
      <x:c r="J1243" s="53"/>
      <x:c r="K1243" s="53"/>
      <x:c r="L1243" s="53"/>
      <x:c r="M1243" s="53"/>
      <x:c r="N1243" s="53"/>
      <x:c r="O1243" s="53"/>
      <x:c r="P1243" s="53"/>
      <x:c r="Q1243" s="53"/>
      <x:c r="R1243" s="53"/>
      <x:c r="S1243" s="53"/>
      <x:c r="T1243" s="53"/>
      <x:c r="U1243" s="53"/>
      <x:c r="V1243" s="53"/>
      <x:c r="W1243" s="53"/>
      <x:c r="X1243" s="53"/>
      <x:c r="Y1243" s="53"/>
      <x:c r="Z1243" s="53"/>
      <x:c r="AA1243" s="53"/>
      <x:c r="AB1243" s="53"/>
      <x:c r="AC1243" s="53"/>
      <x:c r="AD1243" s="53"/>
      <x:c r="AE1243" s="53"/>
      <x:c r="AF1243" s="53"/>
    </x:row>
    <x:row r="1244">
      <x:c r="A1244" s="53"/>
      <x:c r="B1244" s="53"/>
      <x:c r="C1244" s="53"/>
      <x:c r="D1244" s="53"/>
      <x:c r="E1244" s="53"/>
      <x:c r="F1244" s="53"/>
      <x:c r="G1244" s="53"/>
      <x:c r="H1244" s="53"/>
      <x:c r="I1244" s="53"/>
      <x:c r="J1244" s="53"/>
      <x:c r="K1244" s="53"/>
      <x:c r="L1244" s="53"/>
      <x:c r="M1244" s="53"/>
      <x:c r="N1244" s="53"/>
      <x:c r="O1244" s="53"/>
      <x:c r="P1244" s="53"/>
      <x:c r="Q1244" s="53"/>
      <x:c r="R1244" s="53"/>
      <x:c r="S1244" s="53"/>
      <x:c r="T1244" s="53"/>
      <x:c r="U1244" s="53"/>
      <x:c r="V1244" s="53"/>
      <x:c r="W1244" s="53"/>
      <x:c r="X1244" s="53"/>
      <x:c r="Y1244" s="53"/>
      <x:c r="Z1244" s="53"/>
      <x:c r="AA1244" s="53"/>
      <x:c r="AB1244" s="53"/>
      <x:c r="AC1244" s="53"/>
      <x:c r="AD1244" s="53"/>
      <x:c r="AE1244" s="53"/>
      <x:c r="AF1244" s="53"/>
    </x:row>
    <x:row r="1245">
      <x:c r="A1245" s="53"/>
      <x:c r="B1245" s="53"/>
      <x:c r="C1245" s="53"/>
      <x:c r="D1245" s="53"/>
      <x:c r="E1245" s="53"/>
      <x:c r="F1245" s="53"/>
      <x:c r="G1245" s="53"/>
      <x:c r="H1245" s="53"/>
      <x:c r="I1245" s="53"/>
      <x:c r="J1245" s="53"/>
      <x:c r="K1245" s="53"/>
      <x:c r="L1245" s="53"/>
      <x:c r="M1245" s="53"/>
      <x:c r="N1245" s="53"/>
      <x:c r="O1245" s="53"/>
      <x:c r="P1245" s="53"/>
      <x:c r="Q1245" s="53"/>
      <x:c r="R1245" s="53"/>
      <x:c r="S1245" s="53"/>
      <x:c r="T1245" s="53"/>
      <x:c r="U1245" s="53"/>
      <x:c r="V1245" s="53"/>
      <x:c r="W1245" s="53"/>
      <x:c r="X1245" s="53"/>
      <x:c r="Y1245" s="53"/>
      <x:c r="Z1245" s="53"/>
      <x:c r="AA1245" s="53"/>
      <x:c r="AB1245" s="53"/>
      <x:c r="AC1245" s="53"/>
      <x:c r="AD1245" s="53"/>
      <x:c r="AE1245" s="53"/>
      <x:c r="AF1245" s="53"/>
    </x:row>
    <x:row r="1246">
      <x:c r="A1246" s="53"/>
      <x:c r="B1246" s="53"/>
      <x:c r="C1246" s="53"/>
      <x:c r="D1246" s="53"/>
      <x:c r="E1246" s="53"/>
      <x:c r="F1246" s="53"/>
      <x:c r="G1246" s="53"/>
      <x:c r="H1246" s="53"/>
      <x:c r="I1246" s="53"/>
      <x:c r="J1246" s="53"/>
      <x:c r="K1246" s="53"/>
      <x:c r="L1246" s="53"/>
      <x:c r="M1246" s="53"/>
      <x:c r="N1246" s="53"/>
      <x:c r="O1246" s="53"/>
      <x:c r="P1246" s="53"/>
      <x:c r="Q1246" s="53"/>
      <x:c r="R1246" s="53"/>
      <x:c r="S1246" s="53"/>
      <x:c r="T1246" s="53"/>
      <x:c r="U1246" s="53"/>
      <x:c r="V1246" s="53"/>
      <x:c r="W1246" s="53"/>
      <x:c r="X1246" s="53"/>
      <x:c r="Y1246" s="53"/>
      <x:c r="Z1246" s="53"/>
      <x:c r="AA1246" s="53"/>
      <x:c r="AB1246" s="53"/>
      <x:c r="AC1246" s="53"/>
      <x:c r="AD1246" s="53"/>
      <x:c r="AE1246" s="53"/>
      <x:c r="AF1246" s="53"/>
    </x:row>
    <x:row r="1247">
      <x:c r="A1247" s="53"/>
      <x:c r="B1247" s="53"/>
      <x:c r="C1247" s="53"/>
      <x:c r="D1247" s="53"/>
      <x:c r="E1247" s="53"/>
      <x:c r="F1247" s="53"/>
      <x:c r="G1247" s="53"/>
      <x:c r="H1247" s="53"/>
      <x:c r="I1247" s="53"/>
      <x:c r="J1247" s="53"/>
      <x:c r="K1247" s="53"/>
      <x:c r="L1247" s="53"/>
      <x:c r="M1247" s="53"/>
      <x:c r="N1247" s="53"/>
      <x:c r="O1247" s="53"/>
      <x:c r="P1247" s="53"/>
      <x:c r="Q1247" s="53"/>
      <x:c r="R1247" s="53"/>
      <x:c r="S1247" s="53"/>
      <x:c r="T1247" s="53"/>
      <x:c r="U1247" s="53"/>
      <x:c r="V1247" s="53"/>
      <x:c r="W1247" s="53"/>
      <x:c r="X1247" s="53"/>
      <x:c r="Y1247" s="53"/>
      <x:c r="Z1247" s="53"/>
      <x:c r="AA1247" s="53"/>
      <x:c r="AB1247" s="53"/>
      <x:c r="AC1247" s="53"/>
      <x:c r="AD1247" s="53"/>
      <x:c r="AE1247" s="53"/>
      <x:c r="AF1247" s="53"/>
    </x:row>
    <x:row r="1248">
      <x:c r="A1248" s="53"/>
      <x:c r="B1248" s="53"/>
      <x:c r="C1248" s="53"/>
      <x:c r="D1248" s="53"/>
      <x:c r="E1248" s="53"/>
      <x:c r="F1248" s="53"/>
      <x:c r="G1248" s="53"/>
      <x:c r="H1248" s="53"/>
      <x:c r="I1248" s="53"/>
      <x:c r="J1248" s="53"/>
      <x:c r="K1248" s="53"/>
      <x:c r="L1248" s="53"/>
      <x:c r="M1248" s="53"/>
      <x:c r="N1248" s="53"/>
      <x:c r="O1248" s="53"/>
      <x:c r="P1248" s="53"/>
      <x:c r="Q1248" s="53"/>
      <x:c r="R1248" s="53"/>
      <x:c r="S1248" s="53"/>
      <x:c r="T1248" s="53"/>
      <x:c r="U1248" s="53"/>
      <x:c r="V1248" s="53"/>
      <x:c r="W1248" s="53"/>
      <x:c r="X1248" s="53"/>
      <x:c r="Y1248" s="53"/>
      <x:c r="Z1248" s="53"/>
      <x:c r="AA1248" s="53"/>
      <x:c r="AB1248" s="53"/>
      <x:c r="AC1248" s="53"/>
      <x:c r="AD1248" s="53"/>
      <x:c r="AE1248" s="53"/>
      <x:c r="AF1248" s="53"/>
    </x:row>
    <x:row r="1249">
      <x:c r="A1249" s="53"/>
      <x:c r="B1249" s="53"/>
      <x:c r="C1249" s="53"/>
      <x:c r="D1249" s="53"/>
      <x:c r="E1249" s="53"/>
      <x:c r="F1249" s="53"/>
      <x:c r="G1249" s="53"/>
      <x:c r="H1249" s="53"/>
      <x:c r="I1249" s="53"/>
      <x:c r="J1249" s="53"/>
      <x:c r="K1249" s="53"/>
      <x:c r="L1249" s="53"/>
      <x:c r="M1249" s="53"/>
      <x:c r="N1249" s="53"/>
      <x:c r="O1249" s="53"/>
      <x:c r="P1249" s="53"/>
      <x:c r="Q1249" s="53"/>
      <x:c r="R1249" s="53"/>
      <x:c r="S1249" s="53"/>
      <x:c r="T1249" s="53"/>
      <x:c r="U1249" s="53"/>
      <x:c r="V1249" s="53"/>
      <x:c r="W1249" s="53"/>
      <x:c r="X1249" s="53"/>
      <x:c r="Y1249" s="53"/>
      <x:c r="Z1249" s="53"/>
      <x:c r="AA1249" s="53"/>
      <x:c r="AB1249" s="53"/>
      <x:c r="AC1249" s="53"/>
      <x:c r="AD1249" s="53"/>
      <x:c r="AE1249" s="53"/>
      <x:c r="AF1249" s="53"/>
    </x:row>
    <x:row r="1250">
      <x:c r="A1250" s="53"/>
      <x:c r="B1250" s="53"/>
      <x:c r="C1250" s="53"/>
      <x:c r="D1250" s="53"/>
      <x:c r="E1250" s="53"/>
      <x:c r="F1250" s="53"/>
      <x:c r="G1250" s="53"/>
      <x:c r="H1250" s="53"/>
      <x:c r="I1250" s="53"/>
      <x:c r="J1250" s="53"/>
      <x:c r="K1250" s="53"/>
      <x:c r="L1250" s="53"/>
      <x:c r="M1250" s="53"/>
      <x:c r="N1250" s="53"/>
      <x:c r="O1250" s="53"/>
      <x:c r="P1250" s="53"/>
      <x:c r="Q1250" s="53"/>
      <x:c r="R1250" s="53"/>
      <x:c r="S1250" s="53"/>
      <x:c r="T1250" s="53"/>
      <x:c r="U1250" s="53"/>
      <x:c r="V1250" s="53"/>
      <x:c r="W1250" s="53"/>
      <x:c r="X1250" s="53"/>
      <x:c r="Y1250" s="53"/>
      <x:c r="Z1250" s="53"/>
      <x:c r="AA1250" s="53"/>
      <x:c r="AB1250" s="53"/>
      <x:c r="AC1250" s="53"/>
      <x:c r="AD1250" s="53"/>
      <x:c r="AE1250" s="53"/>
      <x:c r="AF1250" s="53"/>
    </x:row>
    <x:row r="1251">
      <x:c r="A1251" s="53"/>
      <x:c r="B1251" s="53"/>
      <x:c r="C1251" s="53"/>
      <x:c r="D1251" s="53"/>
      <x:c r="E1251" s="53"/>
      <x:c r="F1251" s="53"/>
      <x:c r="G1251" s="53"/>
      <x:c r="H1251" s="53"/>
      <x:c r="I1251" s="53"/>
      <x:c r="J1251" s="53"/>
      <x:c r="K1251" s="53"/>
      <x:c r="L1251" s="53"/>
      <x:c r="M1251" s="53"/>
      <x:c r="N1251" s="53"/>
      <x:c r="O1251" s="53"/>
      <x:c r="P1251" s="53"/>
      <x:c r="Q1251" s="53"/>
      <x:c r="R1251" s="53"/>
      <x:c r="S1251" s="53"/>
      <x:c r="T1251" s="53"/>
      <x:c r="U1251" s="53"/>
      <x:c r="V1251" s="53"/>
      <x:c r="W1251" s="53"/>
      <x:c r="X1251" s="53"/>
      <x:c r="Y1251" s="53"/>
      <x:c r="Z1251" s="53"/>
      <x:c r="AA1251" s="53"/>
      <x:c r="AB1251" s="53"/>
      <x:c r="AC1251" s="53"/>
      <x:c r="AD1251" s="53"/>
      <x:c r="AE1251" s="53"/>
      <x:c r="AF1251" s="53"/>
    </x:row>
    <x:row r="1252">
      <x:c r="A1252" s="53"/>
      <x:c r="B1252" s="53"/>
      <x:c r="C1252" s="53"/>
      <x:c r="D1252" s="53"/>
      <x:c r="E1252" s="53"/>
      <x:c r="F1252" s="53"/>
      <x:c r="G1252" s="53"/>
      <x:c r="H1252" s="53"/>
      <x:c r="I1252" s="53"/>
      <x:c r="J1252" s="53"/>
      <x:c r="K1252" s="53"/>
      <x:c r="L1252" s="53"/>
      <x:c r="M1252" s="53"/>
      <x:c r="N1252" s="53"/>
      <x:c r="O1252" s="53"/>
      <x:c r="P1252" s="53"/>
      <x:c r="Q1252" s="53"/>
      <x:c r="R1252" s="53"/>
      <x:c r="S1252" s="53"/>
      <x:c r="T1252" s="53"/>
      <x:c r="U1252" s="53"/>
      <x:c r="V1252" s="53"/>
      <x:c r="W1252" s="53"/>
      <x:c r="X1252" s="53"/>
      <x:c r="Y1252" s="53"/>
      <x:c r="Z1252" s="53"/>
      <x:c r="AA1252" s="53"/>
      <x:c r="AB1252" s="53"/>
      <x:c r="AC1252" s="53"/>
      <x:c r="AD1252" s="53"/>
      <x:c r="AE1252" s="53"/>
      <x:c r="AF1252" s="53"/>
    </x:row>
    <x:row r="1253">
      <x:c r="A1253" s="53"/>
      <x:c r="B1253" s="53"/>
      <x:c r="C1253" s="53"/>
      <x:c r="D1253" s="53"/>
      <x:c r="E1253" s="53"/>
      <x:c r="F1253" s="53"/>
      <x:c r="G1253" s="53"/>
      <x:c r="H1253" s="53"/>
      <x:c r="I1253" s="53"/>
      <x:c r="J1253" s="53"/>
      <x:c r="K1253" s="53"/>
      <x:c r="L1253" s="53"/>
      <x:c r="M1253" s="53"/>
      <x:c r="N1253" s="53"/>
      <x:c r="O1253" s="53"/>
      <x:c r="P1253" s="53"/>
      <x:c r="Q1253" s="53"/>
      <x:c r="R1253" s="53"/>
      <x:c r="S1253" s="53"/>
      <x:c r="T1253" s="53"/>
      <x:c r="U1253" s="53"/>
      <x:c r="V1253" s="53"/>
      <x:c r="W1253" s="53"/>
      <x:c r="X1253" s="53"/>
      <x:c r="Y1253" s="53"/>
      <x:c r="Z1253" s="53"/>
      <x:c r="AA1253" s="53"/>
      <x:c r="AB1253" s="53"/>
      <x:c r="AC1253" s="53"/>
      <x:c r="AD1253" s="53"/>
      <x:c r="AE1253" s="53"/>
      <x:c r="AF1253" s="53"/>
    </x:row>
    <x:row r="1254">
      <x:c r="A1254" s="53"/>
      <x:c r="B1254" s="53"/>
      <x:c r="C1254" s="53"/>
      <x:c r="D1254" s="53"/>
      <x:c r="E1254" s="53"/>
      <x:c r="F1254" s="53"/>
      <x:c r="G1254" s="53"/>
      <x:c r="H1254" s="53"/>
      <x:c r="I1254" s="53"/>
      <x:c r="J1254" s="53"/>
      <x:c r="K1254" s="53"/>
      <x:c r="L1254" s="53"/>
      <x:c r="M1254" s="53"/>
      <x:c r="N1254" s="53"/>
      <x:c r="O1254" s="53"/>
      <x:c r="P1254" s="53"/>
      <x:c r="Q1254" s="53"/>
      <x:c r="R1254" s="53"/>
      <x:c r="S1254" s="53"/>
      <x:c r="T1254" s="53"/>
      <x:c r="U1254" s="53"/>
      <x:c r="V1254" s="53"/>
      <x:c r="W1254" s="53"/>
      <x:c r="X1254" s="53"/>
      <x:c r="Y1254" s="53"/>
      <x:c r="Z1254" s="53"/>
      <x:c r="AA1254" s="53"/>
      <x:c r="AB1254" s="53"/>
      <x:c r="AC1254" s="53"/>
      <x:c r="AD1254" s="53"/>
      <x:c r="AE1254" s="53"/>
      <x:c r="AF1254" s="53"/>
    </x:row>
    <x:row r="1255">
      <x:c r="A1255" s="53"/>
      <x:c r="B1255" s="53"/>
      <x:c r="C1255" s="53"/>
      <x:c r="D1255" s="53"/>
      <x:c r="E1255" s="53"/>
      <x:c r="F1255" s="53"/>
      <x:c r="G1255" s="53"/>
      <x:c r="H1255" s="53"/>
      <x:c r="I1255" s="53"/>
      <x:c r="J1255" s="53"/>
      <x:c r="K1255" s="53"/>
      <x:c r="L1255" s="53"/>
      <x:c r="M1255" s="53"/>
      <x:c r="N1255" s="53"/>
      <x:c r="O1255" s="53"/>
      <x:c r="P1255" s="53"/>
      <x:c r="Q1255" s="53"/>
      <x:c r="R1255" s="53"/>
      <x:c r="S1255" s="53"/>
      <x:c r="T1255" s="53"/>
      <x:c r="U1255" s="53"/>
      <x:c r="V1255" s="53"/>
      <x:c r="W1255" s="53"/>
      <x:c r="X1255" s="53"/>
      <x:c r="Y1255" s="53"/>
      <x:c r="Z1255" s="53"/>
      <x:c r="AA1255" s="53"/>
      <x:c r="AB1255" s="53"/>
      <x:c r="AC1255" s="53"/>
      <x:c r="AD1255" s="53"/>
      <x:c r="AE1255" s="53"/>
      <x:c r="AF1255" s="53"/>
    </x:row>
    <x:row r="1256">
      <x:c r="A1256" s="53"/>
      <x:c r="B1256" s="53"/>
      <x:c r="C1256" s="53"/>
      <x:c r="D1256" s="53"/>
      <x:c r="E1256" s="53"/>
      <x:c r="F1256" s="53"/>
      <x:c r="G1256" s="53"/>
      <x:c r="H1256" s="53"/>
      <x:c r="I1256" s="53"/>
      <x:c r="J1256" s="53"/>
      <x:c r="K1256" s="53"/>
      <x:c r="L1256" s="53"/>
      <x:c r="M1256" s="53"/>
      <x:c r="N1256" s="53"/>
      <x:c r="O1256" s="53"/>
      <x:c r="P1256" s="53"/>
      <x:c r="Q1256" s="53"/>
      <x:c r="R1256" s="53"/>
      <x:c r="S1256" s="53"/>
      <x:c r="T1256" s="53"/>
      <x:c r="U1256" s="53"/>
      <x:c r="V1256" s="53"/>
      <x:c r="W1256" s="53"/>
      <x:c r="X1256" s="53"/>
      <x:c r="Y1256" s="53"/>
      <x:c r="Z1256" s="53"/>
      <x:c r="AA1256" s="53"/>
      <x:c r="AB1256" s="53"/>
      <x:c r="AC1256" s="53"/>
      <x:c r="AD1256" s="53"/>
      <x:c r="AE1256" s="53"/>
      <x:c r="AF1256" s="53"/>
    </x:row>
    <x:row r="1257">
      <x:c r="A1257" s="53"/>
      <x:c r="B1257" s="53"/>
      <x:c r="C1257" s="53"/>
      <x:c r="D1257" s="53"/>
      <x:c r="E1257" s="53"/>
      <x:c r="F1257" s="53"/>
      <x:c r="G1257" s="53"/>
      <x:c r="H1257" s="53"/>
      <x:c r="I1257" s="53"/>
      <x:c r="J1257" s="53"/>
      <x:c r="K1257" s="53"/>
      <x:c r="L1257" s="53"/>
      <x:c r="M1257" s="53"/>
      <x:c r="N1257" s="53"/>
      <x:c r="O1257" s="53"/>
      <x:c r="P1257" s="53"/>
      <x:c r="Q1257" s="53"/>
      <x:c r="R1257" s="53"/>
      <x:c r="S1257" s="53"/>
      <x:c r="T1257" s="53"/>
      <x:c r="U1257" s="53"/>
      <x:c r="V1257" s="53"/>
      <x:c r="W1257" s="53"/>
      <x:c r="X1257" s="53"/>
      <x:c r="Y1257" s="53"/>
      <x:c r="Z1257" s="53"/>
      <x:c r="AA1257" s="53"/>
      <x:c r="AB1257" s="53"/>
      <x:c r="AC1257" s="53"/>
      <x:c r="AD1257" s="53"/>
      <x:c r="AE1257" s="53"/>
      <x:c r="AF1257" s="53"/>
    </x:row>
    <x:row r="1258">
      <x:c r="A1258" s="53"/>
      <x:c r="B1258" s="53"/>
      <x:c r="C1258" s="53"/>
      <x:c r="D1258" s="53"/>
      <x:c r="E1258" s="53"/>
      <x:c r="F1258" s="53"/>
      <x:c r="G1258" s="53"/>
      <x:c r="H1258" s="53"/>
      <x:c r="I1258" s="53"/>
      <x:c r="J1258" s="53"/>
      <x:c r="K1258" s="53"/>
      <x:c r="L1258" s="53"/>
      <x:c r="M1258" s="53"/>
      <x:c r="N1258" s="53"/>
      <x:c r="O1258" s="53"/>
      <x:c r="P1258" s="53"/>
      <x:c r="Q1258" s="53"/>
      <x:c r="R1258" s="53"/>
      <x:c r="S1258" s="53"/>
      <x:c r="T1258" s="53"/>
      <x:c r="U1258" s="53"/>
      <x:c r="V1258" s="53"/>
      <x:c r="W1258" s="53"/>
      <x:c r="X1258" s="53"/>
      <x:c r="Y1258" s="53"/>
      <x:c r="Z1258" s="53"/>
      <x:c r="AA1258" s="53"/>
      <x:c r="AB1258" s="53"/>
      <x:c r="AC1258" s="53"/>
      <x:c r="AD1258" s="53"/>
      <x:c r="AE1258" s="53"/>
      <x:c r="AF1258" s="53"/>
    </x:row>
    <x:row r="1259">
      <x:c r="A1259" s="53"/>
      <x:c r="B1259" s="53"/>
      <x:c r="C1259" s="53"/>
      <x:c r="D1259" s="53"/>
      <x:c r="E1259" s="53"/>
      <x:c r="F1259" s="53"/>
      <x:c r="G1259" s="53"/>
      <x:c r="H1259" s="53"/>
      <x:c r="I1259" s="53"/>
      <x:c r="J1259" s="53"/>
      <x:c r="K1259" s="53"/>
      <x:c r="L1259" s="53"/>
      <x:c r="M1259" s="53"/>
      <x:c r="N1259" s="53"/>
      <x:c r="O1259" s="53"/>
      <x:c r="P1259" s="53"/>
      <x:c r="Q1259" s="53"/>
      <x:c r="R1259" s="53"/>
      <x:c r="S1259" s="53"/>
      <x:c r="T1259" s="53"/>
      <x:c r="U1259" s="53"/>
      <x:c r="V1259" s="53"/>
      <x:c r="W1259" s="53"/>
      <x:c r="X1259" s="53"/>
      <x:c r="Y1259" s="53"/>
      <x:c r="Z1259" s="53"/>
      <x:c r="AA1259" s="53"/>
      <x:c r="AB1259" s="53"/>
      <x:c r="AC1259" s="53"/>
      <x:c r="AD1259" s="53"/>
      <x:c r="AE1259" s="53"/>
      <x:c r="AF1259" s="53"/>
    </x:row>
    <x:row r="1260">
      <x:c r="A1260" s="53"/>
      <x:c r="B1260" s="53"/>
      <x:c r="C1260" s="53"/>
      <x:c r="D1260" s="53"/>
      <x:c r="E1260" s="53"/>
      <x:c r="F1260" s="53"/>
      <x:c r="G1260" s="53"/>
      <x:c r="H1260" s="53"/>
      <x:c r="I1260" s="53"/>
      <x:c r="J1260" s="53"/>
      <x:c r="K1260" s="53"/>
      <x:c r="L1260" s="53"/>
      <x:c r="M1260" s="53"/>
      <x:c r="N1260" s="53"/>
      <x:c r="O1260" s="53"/>
      <x:c r="P1260" s="53"/>
      <x:c r="Q1260" s="53"/>
      <x:c r="R1260" s="53"/>
      <x:c r="S1260" s="53"/>
      <x:c r="T1260" s="53"/>
      <x:c r="U1260" s="53"/>
      <x:c r="V1260" s="53"/>
      <x:c r="W1260" s="53"/>
      <x:c r="X1260" s="53"/>
      <x:c r="Y1260" s="53"/>
      <x:c r="Z1260" s="53"/>
      <x:c r="AA1260" s="53"/>
      <x:c r="AB1260" s="53"/>
      <x:c r="AC1260" s="53"/>
      <x:c r="AD1260" s="53"/>
      <x:c r="AE1260" s="53"/>
      <x:c r="AF1260" s="53"/>
    </x:row>
    <x:row r="1261">
      <x:c r="A1261" s="53"/>
      <x:c r="B1261" s="53"/>
      <x:c r="C1261" s="53"/>
      <x:c r="D1261" s="53"/>
      <x:c r="E1261" s="53"/>
      <x:c r="F1261" s="53"/>
      <x:c r="G1261" s="53"/>
      <x:c r="H1261" s="53"/>
      <x:c r="I1261" s="53"/>
      <x:c r="J1261" s="53"/>
      <x:c r="K1261" s="53"/>
      <x:c r="L1261" s="53"/>
      <x:c r="M1261" s="53"/>
      <x:c r="N1261" s="53"/>
      <x:c r="O1261" s="53"/>
      <x:c r="P1261" s="53"/>
      <x:c r="Q1261" s="53"/>
      <x:c r="R1261" s="53"/>
      <x:c r="S1261" s="53"/>
      <x:c r="T1261" s="53"/>
      <x:c r="U1261" s="53"/>
      <x:c r="V1261" s="53"/>
      <x:c r="W1261" s="53"/>
      <x:c r="X1261" s="53"/>
      <x:c r="Y1261" s="53"/>
      <x:c r="Z1261" s="53"/>
      <x:c r="AA1261" s="53"/>
      <x:c r="AB1261" s="53"/>
      <x:c r="AC1261" s="53"/>
      <x:c r="AD1261" s="53"/>
      <x:c r="AE1261" s="53"/>
      <x:c r="AF1261" s="53"/>
    </x:row>
    <x:row r="1262">
      <x:c r="A1262" s="53"/>
      <x:c r="B1262" s="53"/>
      <x:c r="C1262" s="53"/>
      <x:c r="D1262" s="53"/>
      <x:c r="E1262" s="53"/>
      <x:c r="F1262" s="53"/>
      <x:c r="G1262" s="53"/>
      <x:c r="H1262" s="53"/>
      <x:c r="I1262" s="53"/>
      <x:c r="J1262" s="53"/>
      <x:c r="K1262" s="53"/>
      <x:c r="L1262" s="53"/>
      <x:c r="M1262" s="53"/>
      <x:c r="N1262" s="53"/>
      <x:c r="O1262" s="53"/>
      <x:c r="P1262" s="53"/>
      <x:c r="Q1262" s="53"/>
      <x:c r="R1262" s="53"/>
      <x:c r="S1262" s="53"/>
      <x:c r="T1262" s="53"/>
      <x:c r="U1262" s="53"/>
      <x:c r="V1262" s="53"/>
      <x:c r="W1262" s="53"/>
      <x:c r="X1262" s="53"/>
      <x:c r="Y1262" s="53"/>
      <x:c r="Z1262" s="53"/>
      <x:c r="AA1262" s="53"/>
      <x:c r="AB1262" s="53"/>
      <x:c r="AC1262" s="53"/>
      <x:c r="AD1262" s="53"/>
      <x:c r="AE1262" s="53"/>
      <x:c r="AF1262" s="53"/>
    </x:row>
    <x:row r="1263">
      <x:c r="A1263" s="53"/>
      <x:c r="B1263" s="53"/>
      <x:c r="C1263" s="53"/>
      <x:c r="D1263" s="53"/>
      <x:c r="E1263" s="53"/>
      <x:c r="F1263" s="53"/>
      <x:c r="G1263" s="53"/>
      <x:c r="H1263" s="53"/>
      <x:c r="I1263" s="53"/>
      <x:c r="J1263" s="53"/>
      <x:c r="K1263" s="53"/>
      <x:c r="L1263" s="53"/>
      <x:c r="M1263" s="53"/>
      <x:c r="N1263" s="53"/>
      <x:c r="O1263" s="53"/>
      <x:c r="P1263" s="53"/>
      <x:c r="Q1263" s="53"/>
      <x:c r="R1263" s="53"/>
      <x:c r="S1263" s="53"/>
      <x:c r="T1263" s="53"/>
      <x:c r="U1263" s="53"/>
      <x:c r="V1263" s="53"/>
      <x:c r="W1263" s="53"/>
      <x:c r="X1263" s="53"/>
      <x:c r="Y1263" s="53"/>
      <x:c r="Z1263" s="53"/>
      <x:c r="AA1263" s="53"/>
      <x:c r="AB1263" s="53"/>
      <x:c r="AC1263" s="53"/>
      <x:c r="AD1263" s="53"/>
      <x:c r="AE1263" s="53"/>
      <x:c r="AF1263" s="53"/>
    </x:row>
    <x:row r="1264">
      <x:c r="A1264" s="53"/>
      <x:c r="B1264" s="53"/>
      <x:c r="C1264" s="53"/>
      <x:c r="D1264" s="53"/>
      <x:c r="E1264" s="53"/>
      <x:c r="F1264" s="53"/>
      <x:c r="G1264" s="53"/>
      <x:c r="H1264" s="53"/>
      <x:c r="I1264" s="53"/>
      <x:c r="J1264" s="53"/>
      <x:c r="K1264" s="53"/>
      <x:c r="L1264" s="53"/>
      <x:c r="M1264" s="53"/>
      <x:c r="N1264" s="53"/>
      <x:c r="O1264" s="53"/>
      <x:c r="P1264" s="53"/>
      <x:c r="Q1264" s="53"/>
      <x:c r="R1264" s="53"/>
      <x:c r="S1264" s="53"/>
      <x:c r="T1264" s="53"/>
      <x:c r="U1264" s="53"/>
      <x:c r="V1264" s="53"/>
      <x:c r="W1264" s="53"/>
      <x:c r="X1264" s="53"/>
      <x:c r="Y1264" s="53"/>
      <x:c r="Z1264" s="53"/>
      <x:c r="AA1264" s="53"/>
      <x:c r="AB1264" s="53"/>
      <x:c r="AC1264" s="53"/>
      <x:c r="AD1264" s="53"/>
      <x:c r="AE1264" s="53"/>
      <x:c r="AF1264" s="53"/>
    </x:row>
    <x:row r="1265">
      <x:c r="A1265" s="53"/>
      <x:c r="B1265" s="53"/>
      <x:c r="C1265" s="53"/>
      <x:c r="D1265" s="53"/>
      <x:c r="E1265" s="53"/>
      <x:c r="F1265" s="53"/>
      <x:c r="G1265" s="53"/>
      <x:c r="H1265" s="53"/>
      <x:c r="I1265" s="53"/>
      <x:c r="J1265" s="53"/>
      <x:c r="K1265" s="53"/>
      <x:c r="L1265" s="53"/>
      <x:c r="M1265" s="53"/>
      <x:c r="N1265" s="53"/>
      <x:c r="O1265" s="53"/>
      <x:c r="P1265" s="53"/>
      <x:c r="Q1265" s="53"/>
      <x:c r="R1265" s="53"/>
      <x:c r="S1265" s="53"/>
      <x:c r="T1265" s="53"/>
      <x:c r="U1265" s="53"/>
      <x:c r="V1265" s="53"/>
      <x:c r="W1265" s="53"/>
      <x:c r="X1265" s="53"/>
      <x:c r="Y1265" s="53"/>
      <x:c r="Z1265" s="53"/>
      <x:c r="AA1265" s="53"/>
      <x:c r="AB1265" s="53"/>
      <x:c r="AC1265" s="53"/>
      <x:c r="AD1265" s="53"/>
      <x:c r="AE1265" s="53"/>
      <x:c r="AF1265" s="53"/>
    </x:row>
    <x:row r="1266">
      <x:c r="A1266" s="53"/>
      <x:c r="B1266" s="53"/>
      <x:c r="C1266" s="53"/>
      <x:c r="D1266" s="53"/>
      <x:c r="E1266" s="53"/>
      <x:c r="F1266" s="53"/>
      <x:c r="G1266" s="53"/>
      <x:c r="H1266" s="53"/>
      <x:c r="I1266" s="53"/>
      <x:c r="J1266" s="53"/>
      <x:c r="K1266" s="53"/>
      <x:c r="L1266" s="53"/>
      <x:c r="M1266" s="53"/>
      <x:c r="N1266" s="53"/>
      <x:c r="O1266" s="53"/>
      <x:c r="P1266" s="53"/>
      <x:c r="Q1266" s="53"/>
      <x:c r="R1266" s="53"/>
      <x:c r="S1266" s="53"/>
      <x:c r="T1266" s="53"/>
      <x:c r="U1266" s="53"/>
      <x:c r="V1266" s="53"/>
      <x:c r="W1266" s="53"/>
      <x:c r="X1266" s="53"/>
      <x:c r="Y1266" s="53"/>
      <x:c r="Z1266" s="53"/>
      <x:c r="AA1266" s="53"/>
      <x:c r="AB1266" s="53"/>
      <x:c r="AC1266" s="53"/>
      <x:c r="AD1266" s="53"/>
      <x:c r="AE1266" s="53"/>
      <x:c r="AF1266" s="53"/>
    </x:row>
    <x:row r="1267">
      <x:c r="A1267" s="53"/>
      <x:c r="B1267" s="53"/>
      <x:c r="C1267" s="53"/>
      <x:c r="D1267" s="53"/>
      <x:c r="E1267" s="53"/>
      <x:c r="F1267" s="53"/>
      <x:c r="G1267" s="53"/>
      <x:c r="H1267" s="53"/>
      <x:c r="I1267" s="53"/>
      <x:c r="J1267" s="53"/>
      <x:c r="K1267" s="53"/>
      <x:c r="L1267" s="53"/>
      <x:c r="M1267" s="53"/>
      <x:c r="N1267" s="53"/>
      <x:c r="O1267" s="53"/>
      <x:c r="P1267" s="53"/>
      <x:c r="Q1267" s="53"/>
      <x:c r="R1267" s="53"/>
      <x:c r="S1267" s="53"/>
      <x:c r="T1267" s="53"/>
      <x:c r="U1267" s="53"/>
      <x:c r="V1267" s="53"/>
      <x:c r="W1267" s="53"/>
      <x:c r="X1267" s="53"/>
      <x:c r="Y1267" s="53"/>
      <x:c r="Z1267" s="53"/>
      <x:c r="AA1267" s="53"/>
      <x:c r="AB1267" s="53"/>
      <x:c r="AC1267" s="53"/>
      <x:c r="AD1267" s="53"/>
      <x:c r="AE1267" s="53"/>
      <x:c r="AF1267" s="53"/>
    </x:row>
    <x:row r="1268">
      <x:c r="A1268" s="53"/>
      <x:c r="B1268" s="53"/>
      <x:c r="C1268" s="53"/>
      <x:c r="D1268" s="53"/>
      <x:c r="E1268" s="53"/>
      <x:c r="F1268" s="53"/>
      <x:c r="G1268" s="53"/>
      <x:c r="H1268" s="53"/>
      <x:c r="I1268" s="53"/>
      <x:c r="J1268" s="53"/>
      <x:c r="K1268" s="53"/>
      <x:c r="L1268" s="53"/>
      <x:c r="M1268" s="53"/>
      <x:c r="N1268" s="53"/>
      <x:c r="O1268" s="53"/>
      <x:c r="P1268" s="53"/>
      <x:c r="Q1268" s="53"/>
      <x:c r="R1268" s="53"/>
      <x:c r="S1268" s="53"/>
      <x:c r="T1268" s="53"/>
      <x:c r="U1268" s="53"/>
      <x:c r="V1268" s="53"/>
      <x:c r="W1268" s="53"/>
      <x:c r="X1268" s="53"/>
      <x:c r="Y1268" s="53"/>
      <x:c r="Z1268" s="53"/>
      <x:c r="AA1268" s="53"/>
      <x:c r="AB1268" s="53"/>
      <x:c r="AC1268" s="53"/>
      <x:c r="AD1268" s="53"/>
      <x:c r="AE1268" s="53"/>
      <x:c r="AF1268" s="53"/>
    </x:row>
    <x:row r="1269">
      <x:c r="A1269" s="53"/>
      <x:c r="B1269" s="53"/>
      <x:c r="C1269" s="53"/>
      <x:c r="D1269" s="53"/>
      <x:c r="E1269" s="53"/>
      <x:c r="F1269" s="53"/>
      <x:c r="G1269" s="53"/>
      <x:c r="H1269" s="53"/>
      <x:c r="I1269" s="53"/>
      <x:c r="J1269" s="53"/>
      <x:c r="K1269" s="53"/>
      <x:c r="L1269" s="53"/>
      <x:c r="M1269" s="53"/>
      <x:c r="N1269" s="53"/>
      <x:c r="O1269" s="53"/>
      <x:c r="P1269" s="53"/>
      <x:c r="Q1269" s="53"/>
      <x:c r="R1269" s="53"/>
      <x:c r="S1269" s="53"/>
      <x:c r="T1269" s="53"/>
      <x:c r="U1269" s="53"/>
      <x:c r="V1269" s="53"/>
      <x:c r="W1269" s="53"/>
      <x:c r="X1269" s="53"/>
      <x:c r="Y1269" s="53"/>
      <x:c r="Z1269" s="53"/>
      <x:c r="AA1269" s="53"/>
      <x:c r="AB1269" s="53"/>
      <x:c r="AC1269" s="53"/>
      <x:c r="AD1269" s="53"/>
      <x:c r="AE1269" s="53"/>
      <x:c r="AF1269" s="53"/>
    </x:row>
    <x:row r="1270">
      <x:c r="A1270" s="53"/>
      <x:c r="B1270" s="53"/>
      <x:c r="C1270" s="53"/>
      <x:c r="D1270" s="53"/>
      <x:c r="E1270" s="53"/>
      <x:c r="F1270" s="53"/>
      <x:c r="G1270" s="53"/>
      <x:c r="H1270" s="53"/>
      <x:c r="I1270" s="53"/>
      <x:c r="J1270" s="53"/>
      <x:c r="K1270" s="53"/>
      <x:c r="L1270" s="53"/>
      <x:c r="M1270" s="53"/>
      <x:c r="N1270" s="53"/>
      <x:c r="O1270" s="53"/>
      <x:c r="P1270" s="53"/>
      <x:c r="Q1270" s="53"/>
      <x:c r="R1270" s="53"/>
      <x:c r="S1270" s="53"/>
      <x:c r="T1270" s="53"/>
      <x:c r="U1270" s="53"/>
      <x:c r="V1270" s="53"/>
      <x:c r="W1270" s="53"/>
      <x:c r="X1270" s="53"/>
      <x:c r="Y1270" s="53"/>
      <x:c r="Z1270" s="53"/>
      <x:c r="AA1270" s="53"/>
      <x:c r="AB1270" s="53"/>
      <x:c r="AC1270" s="53"/>
      <x:c r="AD1270" s="53"/>
      <x:c r="AE1270" s="53"/>
      <x:c r="AF1270" s="53"/>
    </x:row>
    <x:row r="1271">
      <x:c r="A1271" s="53"/>
      <x:c r="B1271" s="53"/>
      <x:c r="C1271" s="53"/>
      <x:c r="D1271" s="53"/>
      <x:c r="E1271" s="53"/>
      <x:c r="F1271" s="53"/>
      <x:c r="G1271" s="53"/>
      <x:c r="H1271" s="53"/>
      <x:c r="I1271" s="53"/>
      <x:c r="J1271" s="53"/>
      <x:c r="K1271" s="53"/>
      <x:c r="L1271" s="53"/>
      <x:c r="M1271" s="53"/>
      <x:c r="N1271" s="53"/>
      <x:c r="O1271" s="53"/>
      <x:c r="P1271" s="53"/>
      <x:c r="Q1271" s="53"/>
      <x:c r="R1271" s="53"/>
      <x:c r="S1271" s="53"/>
      <x:c r="T1271" s="53"/>
      <x:c r="U1271" s="53"/>
      <x:c r="V1271" s="53"/>
      <x:c r="W1271" s="53"/>
      <x:c r="X1271" s="53"/>
      <x:c r="Y1271" s="53"/>
      <x:c r="Z1271" s="53"/>
      <x:c r="AA1271" s="53"/>
      <x:c r="AB1271" s="53"/>
      <x:c r="AC1271" s="53"/>
      <x:c r="AD1271" s="53"/>
      <x:c r="AE1271" s="53"/>
      <x:c r="AF1271" s="53"/>
    </x:row>
    <x:row r="1272">
      <x:c r="A1272" s="53"/>
      <x:c r="B1272" s="53"/>
      <x:c r="C1272" s="53"/>
      <x:c r="D1272" s="53"/>
      <x:c r="E1272" s="53"/>
      <x:c r="F1272" s="53"/>
      <x:c r="G1272" s="53"/>
      <x:c r="H1272" s="53"/>
      <x:c r="I1272" s="53"/>
      <x:c r="J1272" s="53"/>
      <x:c r="K1272" s="53"/>
      <x:c r="L1272" s="53"/>
      <x:c r="M1272" s="53"/>
      <x:c r="N1272" s="53"/>
      <x:c r="O1272" s="53"/>
      <x:c r="P1272" s="53"/>
      <x:c r="Q1272" s="53"/>
      <x:c r="R1272" s="53"/>
      <x:c r="S1272" s="53"/>
      <x:c r="T1272" s="53"/>
      <x:c r="U1272" s="53"/>
      <x:c r="V1272" s="53"/>
      <x:c r="W1272" s="53"/>
      <x:c r="X1272" s="53"/>
      <x:c r="Y1272" s="53"/>
      <x:c r="Z1272" s="53"/>
      <x:c r="AA1272" s="53"/>
      <x:c r="AB1272" s="53"/>
      <x:c r="AC1272" s="53"/>
      <x:c r="AD1272" s="53"/>
      <x:c r="AE1272" s="53"/>
      <x:c r="AF1272" s="53"/>
    </x:row>
    <x:row r="1273">
      <x:c r="A1273" s="53"/>
      <x:c r="B1273" s="53"/>
      <x:c r="C1273" s="53"/>
      <x:c r="D1273" s="53"/>
      <x:c r="E1273" s="53"/>
      <x:c r="F1273" s="53"/>
      <x:c r="G1273" s="53"/>
      <x:c r="H1273" s="53"/>
      <x:c r="I1273" s="53"/>
      <x:c r="J1273" s="53"/>
      <x:c r="K1273" s="53"/>
      <x:c r="L1273" s="53"/>
      <x:c r="M1273" s="53"/>
      <x:c r="N1273" s="53"/>
      <x:c r="O1273" s="53"/>
      <x:c r="P1273" s="53"/>
      <x:c r="Q1273" s="53"/>
      <x:c r="R1273" s="53"/>
      <x:c r="S1273" s="53"/>
      <x:c r="T1273" s="53"/>
      <x:c r="U1273" s="53"/>
      <x:c r="V1273" s="53"/>
      <x:c r="W1273" s="53"/>
      <x:c r="X1273" s="53"/>
      <x:c r="Y1273" s="53"/>
      <x:c r="Z1273" s="53"/>
      <x:c r="AA1273" s="53"/>
      <x:c r="AB1273" s="53"/>
      <x:c r="AC1273" s="53"/>
      <x:c r="AD1273" s="53"/>
      <x:c r="AE1273" s="53"/>
      <x:c r="AF1273" s="53"/>
    </x:row>
    <x:row r="1274">
      <x:c r="A1274" s="53"/>
      <x:c r="B1274" s="53"/>
      <x:c r="C1274" s="53"/>
      <x:c r="D1274" s="53"/>
      <x:c r="E1274" s="53"/>
      <x:c r="F1274" s="53"/>
      <x:c r="G1274" s="53"/>
      <x:c r="H1274" s="53"/>
      <x:c r="I1274" s="53"/>
      <x:c r="J1274" s="53"/>
      <x:c r="K1274" s="53"/>
      <x:c r="L1274" s="53"/>
      <x:c r="M1274" s="53"/>
      <x:c r="N1274" s="53"/>
      <x:c r="O1274" s="53"/>
      <x:c r="P1274" s="53"/>
      <x:c r="Q1274" s="53"/>
      <x:c r="R1274" s="53"/>
      <x:c r="S1274" s="53"/>
      <x:c r="T1274" s="53"/>
      <x:c r="U1274" s="53"/>
      <x:c r="V1274" s="53"/>
      <x:c r="W1274" s="53"/>
      <x:c r="X1274" s="53"/>
      <x:c r="Y1274" s="53"/>
      <x:c r="Z1274" s="53"/>
      <x:c r="AA1274" s="53"/>
      <x:c r="AB1274" s="53"/>
      <x:c r="AC1274" s="53"/>
      <x:c r="AD1274" s="53"/>
      <x:c r="AE1274" s="53"/>
      <x:c r="AF1274" s="53"/>
    </x:row>
    <x:row r="1275">
      <x:c r="A1275" s="53"/>
      <x:c r="B1275" s="53"/>
      <x:c r="C1275" s="53"/>
      <x:c r="D1275" s="53"/>
      <x:c r="E1275" s="53"/>
      <x:c r="F1275" s="53"/>
      <x:c r="G1275" s="53"/>
      <x:c r="H1275" s="53"/>
      <x:c r="I1275" s="53"/>
      <x:c r="J1275" s="53"/>
      <x:c r="K1275" s="53"/>
      <x:c r="L1275" s="53"/>
      <x:c r="M1275" s="53"/>
      <x:c r="N1275" s="53"/>
      <x:c r="O1275" s="53"/>
      <x:c r="P1275" s="53"/>
      <x:c r="Q1275" s="53"/>
      <x:c r="R1275" s="53"/>
      <x:c r="S1275" s="53"/>
      <x:c r="T1275" s="53"/>
      <x:c r="U1275" s="53"/>
      <x:c r="V1275" s="53"/>
      <x:c r="W1275" s="53"/>
      <x:c r="X1275" s="53"/>
      <x:c r="Y1275" s="53"/>
      <x:c r="Z1275" s="53"/>
      <x:c r="AA1275" s="53"/>
      <x:c r="AB1275" s="53"/>
      <x:c r="AC1275" s="53"/>
      <x:c r="AD1275" s="53"/>
      <x:c r="AE1275" s="53"/>
      <x:c r="AF1275" s="53"/>
    </x:row>
    <x:row r="1276">
      <x:c r="A1276" s="53"/>
      <x:c r="B1276" s="53"/>
      <x:c r="C1276" s="53"/>
      <x:c r="D1276" s="53"/>
      <x:c r="E1276" s="53"/>
      <x:c r="F1276" s="53"/>
      <x:c r="G1276" s="53"/>
      <x:c r="H1276" s="53"/>
      <x:c r="I1276" s="53"/>
      <x:c r="J1276" s="53"/>
      <x:c r="K1276" s="53"/>
      <x:c r="L1276" s="53"/>
      <x:c r="M1276" s="53"/>
      <x:c r="N1276" s="53"/>
      <x:c r="O1276" s="53"/>
      <x:c r="P1276" s="53"/>
      <x:c r="Q1276" s="53"/>
      <x:c r="R1276" s="53"/>
      <x:c r="S1276" s="53"/>
      <x:c r="T1276" s="53"/>
      <x:c r="U1276" s="53"/>
      <x:c r="V1276" s="53"/>
      <x:c r="W1276" s="53"/>
      <x:c r="X1276" s="53"/>
      <x:c r="Y1276" s="53"/>
      <x:c r="Z1276" s="53"/>
      <x:c r="AA1276" s="53"/>
      <x:c r="AB1276" s="53"/>
      <x:c r="AC1276" s="53"/>
      <x:c r="AD1276" s="53"/>
      <x:c r="AE1276" s="53"/>
      <x:c r="AF1276" s="53"/>
    </x:row>
    <x:row r="1277">
      <x:c r="A1277" s="53"/>
      <x:c r="B1277" s="53"/>
      <x:c r="C1277" s="53"/>
      <x:c r="D1277" s="53"/>
      <x:c r="E1277" s="53"/>
      <x:c r="F1277" s="53"/>
      <x:c r="G1277" s="53"/>
      <x:c r="H1277" s="53"/>
      <x:c r="I1277" s="53"/>
      <x:c r="J1277" s="53"/>
      <x:c r="K1277" s="53"/>
      <x:c r="L1277" s="53"/>
      <x:c r="M1277" s="53"/>
      <x:c r="N1277" s="53"/>
      <x:c r="O1277" s="53"/>
      <x:c r="P1277" s="53"/>
      <x:c r="Q1277" s="53"/>
      <x:c r="R1277" s="53"/>
      <x:c r="S1277" s="53"/>
      <x:c r="T1277" s="53"/>
      <x:c r="U1277" s="53"/>
      <x:c r="V1277" s="53"/>
      <x:c r="W1277" s="53"/>
      <x:c r="X1277" s="53"/>
      <x:c r="Y1277" s="53"/>
      <x:c r="Z1277" s="53"/>
      <x:c r="AA1277" s="53"/>
      <x:c r="AB1277" s="53"/>
      <x:c r="AC1277" s="53"/>
      <x:c r="AD1277" s="53"/>
      <x:c r="AE1277" s="53"/>
      <x:c r="AF1277" s="53"/>
    </x:row>
    <x:row r="1278">
      <x:c r="A1278" s="53"/>
      <x:c r="B1278" s="53"/>
      <x:c r="C1278" s="53"/>
      <x:c r="D1278" s="53"/>
      <x:c r="E1278" s="53"/>
      <x:c r="F1278" s="53"/>
      <x:c r="G1278" s="53"/>
      <x:c r="H1278" s="53"/>
      <x:c r="I1278" s="53"/>
      <x:c r="J1278" s="53"/>
      <x:c r="K1278" s="53"/>
      <x:c r="L1278" s="53"/>
      <x:c r="M1278" s="53"/>
      <x:c r="N1278" s="53"/>
      <x:c r="O1278" s="53"/>
      <x:c r="P1278" s="53"/>
      <x:c r="Q1278" s="53"/>
      <x:c r="R1278" s="53"/>
      <x:c r="S1278" s="53"/>
      <x:c r="T1278" s="53"/>
      <x:c r="U1278" s="53"/>
      <x:c r="V1278" s="53"/>
      <x:c r="W1278" s="53"/>
      <x:c r="X1278" s="53"/>
      <x:c r="Y1278" s="53"/>
      <x:c r="Z1278" s="53"/>
      <x:c r="AA1278" s="53"/>
      <x:c r="AB1278" s="53"/>
      <x:c r="AC1278" s="53"/>
      <x:c r="AD1278" s="53"/>
      <x:c r="AE1278" s="53"/>
      <x:c r="AF1278" s="53"/>
    </x:row>
    <x:row r="1279">
      <x:c r="A1279" s="53"/>
      <x:c r="B1279" s="53"/>
      <x:c r="C1279" s="53"/>
      <x:c r="D1279" s="53"/>
      <x:c r="E1279" s="53"/>
      <x:c r="F1279" s="53"/>
      <x:c r="G1279" s="53"/>
      <x:c r="H1279" s="53"/>
      <x:c r="I1279" s="53"/>
      <x:c r="J1279" s="53"/>
      <x:c r="K1279" s="53"/>
      <x:c r="L1279" s="53"/>
      <x:c r="M1279" s="53"/>
      <x:c r="N1279" s="53"/>
      <x:c r="O1279" s="53"/>
      <x:c r="P1279" s="53"/>
      <x:c r="Q1279" s="53"/>
      <x:c r="R1279" s="53"/>
      <x:c r="S1279" s="53"/>
      <x:c r="T1279" s="53"/>
      <x:c r="U1279" s="53"/>
      <x:c r="V1279" s="53"/>
      <x:c r="W1279" s="53"/>
      <x:c r="X1279" s="53"/>
      <x:c r="Y1279" s="53"/>
      <x:c r="Z1279" s="53"/>
      <x:c r="AA1279" s="53"/>
      <x:c r="AB1279" s="53"/>
      <x:c r="AC1279" s="53"/>
      <x:c r="AD1279" s="53"/>
      <x:c r="AE1279" s="53"/>
      <x:c r="AF1279" s="53"/>
    </x:row>
    <x:row r="1280">
      <x:c r="A1280" s="53"/>
      <x:c r="B1280" s="53"/>
      <x:c r="C1280" s="53"/>
      <x:c r="D1280" s="53"/>
      <x:c r="E1280" s="53"/>
      <x:c r="F1280" s="53"/>
      <x:c r="G1280" s="53"/>
      <x:c r="H1280" s="53"/>
      <x:c r="I1280" s="53"/>
      <x:c r="J1280" s="53"/>
      <x:c r="K1280" s="53"/>
      <x:c r="L1280" s="53"/>
      <x:c r="M1280" s="53"/>
      <x:c r="N1280" s="53"/>
      <x:c r="O1280" s="53"/>
      <x:c r="P1280" s="53"/>
      <x:c r="Q1280" s="53"/>
      <x:c r="R1280" s="53"/>
      <x:c r="S1280" s="53"/>
      <x:c r="T1280" s="53"/>
      <x:c r="U1280" s="53"/>
      <x:c r="V1280" s="53"/>
      <x:c r="W1280" s="53"/>
      <x:c r="X1280" s="53"/>
      <x:c r="Y1280" s="53"/>
      <x:c r="Z1280" s="53"/>
      <x:c r="AA1280" s="53"/>
      <x:c r="AB1280" s="53"/>
      <x:c r="AC1280" s="53"/>
      <x:c r="AD1280" s="53"/>
      <x:c r="AE1280" s="53"/>
      <x:c r="AF1280" s="53"/>
    </x:row>
    <x:row r="1281">
      <x:c r="A1281" s="53"/>
      <x:c r="B1281" s="53"/>
      <x:c r="C1281" s="53"/>
      <x:c r="D1281" s="53"/>
      <x:c r="E1281" s="53"/>
      <x:c r="F1281" s="53"/>
      <x:c r="G1281" s="53"/>
      <x:c r="H1281" s="53"/>
      <x:c r="I1281" s="53"/>
      <x:c r="J1281" s="53"/>
      <x:c r="K1281" s="53"/>
      <x:c r="L1281" s="53"/>
      <x:c r="M1281" s="53"/>
      <x:c r="N1281" s="53"/>
      <x:c r="O1281" s="53"/>
      <x:c r="P1281" s="53"/>
      <x:c r="Q1281" s="53"/>
      <x:c r="R1281" s="53"/>
      <x:c r="S1281" s="53"/>
      <x:c r="T1281" s="53"/>
      <x:c r="U1281" s="53"/>
      <x:c r="V1281" s="53"/>
      <x:c r="W1281" s="53"/>
      <x:c r="X1281" s="53"/>
      <x:c r="Y1281" s="53"/>
      <x:c r="Z1281" s="53"/>
      <x:c r="AA1281" s="53"/>
      <x:c r="AB1281" s="53"/>
      <x:c r="AC1281" s="53"/>
      <x:c r="AD1281" s="53"/>
      <x:c r="AE1281" s="53"/>
      <x:c r="AF1281" s="53"/>
    </x:row>
    <x:row r="1282">
      <x:c r="A1282" s="53"/>
      <x:c r="B1282" s="53"/>
      <x:c r="C1282" s="53"/>
      <x:c r="D1282" s="53"/>
      <x:c r="E1282" s="53"/>
      <x:c r="F1282" s="53"/>
      <x:c r="G1282" s="53"/>
      <x:c r="H1282" s="53"/>
      <x:c r="I1282" s="53"/>
      <x:c r="J1282" s="53"/>
      <x:c r="K1282" s="53"/>
      <x:c r="L1282" s="53"/>
      <x:c r="M1282" s="53"/>
      <x:c r="N1282" s="53"/>
      <x:c r="O1282" s="53"/>
      <x:c r="P1282" s="53"/>
      <x:c r="Q1282" s="53"/>
      <x:c r="R1282" s="53"/>
      <x:c r="S1282" s="53"/>
      <x:c r="T1282" s="53"/>
      <x:c r="U1282" s="53"/>
      <x:c r="V1282" s="53"/>
      <x:c r="W1282" s="53"/>
      <x:c r="X1282" s="53"/>
      <x:c r="Y1282" s="53"/>
      <x:c r="Z1282" s="53"/>
      <x:c r="AA1282" s="53"/>
      <x:c r="AB1282" s="53"/>
      <x:c r="AC1282" s="53"/>
      <x:c r="AD1282" s="53"/>
      <x:c r="AE1282" s="53"/>
      <x:c r="AF1282" s="53"/>
    </x:row>
    <x:row r="1283">
      <x:c r="A1283" s="53"/>
      <x:c r="B1283" s="53"/>
      <x:c r="C1283" s="53"/>
      <x:c r="D1283" s="53"/>
      <x:c r="E1283" s="53"/>
      <x:c r="F1283" s="53"/>
      <x:c r="G1283" s="53"/>
      <x:c r="H1283" s="53"/>
      <x:c r="I1283" s="53"/>
      <x:c r="J1283" s="53"/>
      <x:c r="K1283" s="53"/>
      <x:c r="L1283" s="53"/>
      <x:c r="M1283" s="53"/>
      <x:c r="N1283" s="53"/>
      <x:c r="O1283" s="53"/>
      <x:c r="P1283" s="53"/>
      <x:c r="Q1283" s="53"/>
      <x:c r="R1283" s="53"/>
      <x:c r="S1283" s="53"/>
      <x:c r="T1283" s="53"/>
      <x:c r="U1283" s="53"/>
      <x:c r="V1283" s="53"/>
      <x:c r="W1283" s="53"/>
      <x:c r="X1283" s="53"/>
      <x:c r="Y1283" s="53"/>
      <x:c r="Z1283" s="53"/>
      <x:c r="AA1283" s="53"/>
      <x:c r="AB1283" s="53"/>
      <x:c r="AC1283" s="53"/>
      <x:c r="AD1283" s="53"/>
      <x:c r="AE1283" s="53"/>
      <x:c r="AF1283" s="53"/>
    </x:row>
    <x:row r="1284">
      <x:c r="A1284" s="53"/>
      <x:c r="B1284" s="53"/>
      <x:c r="C1284" s="53"/>
      <x:c r="D1284" s="53"/>
      <x:c r="E1284" s="53"/>
      <x:c r="F1284" s="53"/>
      <x:c r="G1284" s="53"/>
      <x:c r="H1284" s="53"/>
      <x:c r="I1284" s="53"/>
      <x:c r="J1284" s="53"/>
      <x:c r="K1284" s="53"/>
      <x:c r="L1284" s="53"/>
      <x:c r="M1284" s="53"/>
      <x:c r="N1284" s="53"/>
      <x:c r="O1284" s="53"/>
      <x:c r="P1284" s="53"/>
      <x:c r="Q1284" s="53"/>
      <x:c r="R1284" s="53"/>
      <x:c r="S1284" s="53"/>
      <x:c r="T1284" s="53"/>
      <x:c r="U1284" s="53"/>
      <x:c r="V1284" s="53"/>
      <x:c r="W1284" s="53"/>
      <x:c r="X1284" s="53"/>
      <x:c r="Y1284" s="53"/>
      <x:c r="Z1284" s="53"/>
      <x:c r="AA1284" s="53"/>
      <x:c r="AB1284" s="53"/>
      <x:c r="AC1284" s="53"/>
      <x:c r="AD1284" s="53"/>
      <x:c r="AE1284" s="53"/>
      <x:c r="AF1284" s="53"/>
    </x:row>
    <x:row r="1285">
      <x:c r="A1285" s="53"/>
      <x:c r="B1285" s="53"/>
      <x:c r="C1285" s="53"/>
      <x:c r="D1285" s="53"/>
      <x:c r="E1285" s="53"/>
      <x:c r="F1285" s="53"/>
      <x:c r="G1285" s="53"/>
      <x:c r="H1285" s="53"/>
      <x:c r="I1285" s="53"/>
      <x:c r="J1285" s="53"/>
      <x:c r="K1285" s="53"/>
      <x:c r="L1285" s="53"/>
      <x:c r="M1285" s="53"/>
      <x:c r="N1285" s="53"/>
      <x:c r="O1285" s="53"/>
      <x:c r="P1285" s="53"/>
      <x:c r="Q1285" s="53"/>
      <x:c r="R1285" s="53"/>
      <x:c r="S1285" s="53"/>
      <x:c r="T1285" s="53"/>
      <x:c r="U1285" s="53"/>
      <x:c r="V1285" s="53"/>
      <x:c r="W1285" s="53"/>
      <x:c r="X1285" s="53"/>
      <x:c r="Y1285" s="53"/>
      <x:c r="Z1285" s="53"/>
      <x:c r="AA1285" s="53"/>
      <x:c r="AB1285" s="53"/>
      <x:c r="AC1285" s="53"/>
      <x:c r="AD1285" s="53"/>
      <x:c r="AE1285" s="53"/>
      <x:c r="AF1285" s="53"/>
    </x:row>
    <x:row r="1286">
      <x:c r="A1286" s="53"/>
      <x:c r="B1286" s="53"/>
      <x:c r="C1286" s="53"/>
      <x:c r="D1286" s="53"/>
      <x:c r="E1286" s="53"/>
      <x:c r="F1286" s="53"/>
      <x:c r="G1286" s="53"/>
      <x:c r="H1286" s="53"/>
      <x:c r="I1286" s="53"/>
      <x:c r="J1286" s="53"/>
      <x:c r="K1286" s="53"/>
      <x:c r="L1286" s="53"/>
      <x:c r="M1286" s="53"/>
      <x:c r="N1286" s="53"/>
      <x:c r="O1286" s="53"/>
      <x:c r="P1286" s="53"/>
      <x:c r="Q1286" s="53"/>
      <x:c r="R1286" s="53"/>
      <x:c r="S1286" s="53"/>
      <x:c r="T1286" s="53"/>
      <x:c r="U1286" s="53"/>
      <x:c r="V1286" s="53"/>
      <x:c r="W1286" s="53"/>
      <x:c r="X1286" s="53"/>
      <x:c r="Y1286" s="53"/>
      <x:c r="Z1286" s="53"/>
      <x:c r="AA1286" s="53"/>
      <x:c r="AB1286" s="53"/>
      <x:c r="AC1286" s="53"/>
      <x:c r="AD1286" s="53"/>
      <x:c r="AE1286" s="53"/>
      <x:c r="AF1286" s="53"/>
    </x:row>
    <x:row r="1287">
      <x:c r="A1287" s="53"/>
      <x:c r="B1287" s="53"/>
      <x:c r="C1287" s="53"/>
      <x:c r="D1287" s="53"/>
      <x:c r="E1287" s="53"/>
      <x:c r="F1287" s="53"/>
      <x:c r="G1287" s="53"/>
      <x:c r="H1287" s="53"/>
      <x:c r="I1287" s="53"/>
      <x:c r="J1287" s="53"/>
      <x:c r="K1287" s="53"/>
      <x:c r="L1287" s="53"/>
      <x:c r="M1287" s="53"/>
      <x:c r="N1287" s="53"/>
      <x:c r="O1287" s="53"/>
      <x:c r="P1287" s="53"/>
      <x:c r="Q1287" s="53"/>
      <x:c r="R1287" s="53"/>
      <x:c r="S1287" s="53"/>
      <x:c r="T1287" s="53"/>
      <x:c r="U1287" s="53"/>
      <x:c r="V1287" s="53"/>
      <x:c r="W1287" s="53"/>
      <x:c r="X1287" s="53"/>
      <x:c r="Y1287" s="53"/>
      <x:c r="Z1287" s="53"/>
      <x:c r="AA1287" s="53"/>
      <x:c r="AB1287" s="53"/>
      <x:c r="AC1287" s="53"/>
      <x:c r="AD1287" s="53"/>
      <x:c r="AE1287" s="53"/>
      <x:c r="AF1287" s="53"/>
    </x:row>
    <x:row r="1288">
      <x:c r="A1288" s="53"/>
      <x:c r="B1288" s="53"/>
      <x:c r="C1288" s="53"/>
      <x:c r="D1288" s="53"/>
      <x:c r="E1288" s="53"/>
      <x:c r="F1288" s="53"/>
      <x:c r="G1288" s="53"/>
      <x:c r="H1288" s="53"/>
      <x:c r="I1288" s="53"/>
      <x:c r="J1288" s="53"/>
      <x:c r="K1288" s="53"/>
      <x:c r="L1288" s="53"/>
      <x:c r="M1288" s="53"/>
      <x:c r="N1288" s="53"/>
      <x:c r="O1288" s="53"/>
      <x:c r="P1288" s="53"/>
      <x:c r="Q1288" s="53"/>
      <x:c r="R1288" s="53"/>
      <x:c r="S1288" s="53"/>
      <x:c r="T1288" s="53"/>
      <x:c r="U1288" s="53"/>
      <x:c r="V1288" s="53"/>
      <x:c r="W1288" s="53"/>
      <x:c r="X1288" s="53"/>
      <x:c r="Y1288" s="53"/>
      <x:c r="Z1288" s="53"/>
      <x:c r="AA1288" s="53"/>
      <x:c r="AB1288" s="53"/>
      <x:c r="AC1288" s="53"/>
      <x:c r="AD1288" s="53"/>
      <x:c r="AE1288" s="53"/>
      <x:c r="AF1288" s="53"/>
    </x:row>
    <x:row r="1289">
      <x:c r="A1289" s="53"/>
      <x:c r="B1289" s="53"/>
      <x:c r="C1289" s="53"/>
      <x:c r="D1289" s="53"/>
      <x:c r="E1289" s="53"/>
      <x:c r="F1289" s="53"/>
      <x:c r="G1289" s="53"/>
      <x:c r="H1289" s="53"/>
      <x:c r="I1289" s="53"/>
      <x:c r="J1289" s="53"/>
      <x:c r="K1289" s="53"/>
      <x:c r="L1289" s="53"/>
      <x:c r="M1289" s="53"/>
      <x:c r="N1289" s="53"/>
      <x:c r="O1289" s="53"/>
      <x:c r="P1289" s="53"/>
      <x:c r="Q1289" s="53"/>
      <x:c r="R1289" s="53"/>
      <x:c r="S1289" s="53"/>
      <x:c r="T1289" s="53"/>
      <x:c r="U1289" s="53"/>
      <x:c r="V1289" s="53"/>
      <x:c r="W1289" s="53"/>
      <x:c r="X1289" s="53"/>
      <x:c r="Y1289" s="53"/>
      <x:c r="Z1289" s="53"/>
      <x:c r="AA1289" s="53"/>
      <x:c r="AB1289" s="53"/>
      <x:c r="AC1289" s="53"/>
      <x:c r="AD1289" s="53"/>
      <x:c r="AE1289" s="53"/>
      <x:c r="AF1289" s="53"/>
    </x:row>
    <x:row r="1290">
      <x:c r="A1290" s="53"/>
      <x:c r="B1290" s="53"/>
      <x:c r="C1290" s="53"/>
      <x:c r="D1290" s="53"/>
      <x:c r="E1290" s="53"/>
      <x:c r="F1290" s="53"/>
      <x:c r="G1290" s="53"/>
      <x:c r="H1290" s="53"/>
      <x:c r="I1290" s="53"/>
      <x:c r="J1290" s="53"/>
      <x:c r="K1290" s="53"/>
      <x:c r="L1290" s="53"/>
      <x:c r="M1290" s="53"/>
      <x:c r="N1290" s="53"/>
      <x:c r="O1290" s="53"/>
      <x:c r="P1290" s="53"/>
      <x:c r="Q1290" s="53"/>
      <x:c r="R1290" s="53"/>
      <x:c r="S1290" s="53"/>
      <x:c r="T1290" s="53"/>
      <x:c r="U1290" s="53"/>
      <x:c r="V1290" s="53"/>
      <x:c r="W1290" s="53"/>
      <x:c r="X1290" s="53"/>
      <x:c r="Y1290" s="53"/>
      <x:c r="Z1290" s="53"/>
      <x:c r="AA1290" s="53"/>
      <x:c r="AB1290" s="53"/>
      <x:c r="AC1290" s="53"/>
      <x:c r="AD1290" s="53"/>
      <x:c r="AE1290" s="53"/>
      <x:c r="AF1290" s="53"/>
    </x:row>
    <x:row r="1291">
      <x:c r="A1291" s="53"/>
      <x:c r="B1291" s="53"/>
      <x:c r="C1291" s="53"/>
      <x:c r="D1291" s="53"/>
      <x:c r="E1291" s="53"/>
      <x:c r="F1291" s="53"/>
      <x:c r="G1291" s="53"/>
      <x:c r="H1291" s="53"/>
      <x:c r="I1291" s="53"/>
      <x:c r="J1291" s="53"/>
      <x:c r="K1291" s="53"/>
      <x:c r="L1291" s="53"/>
      <x:c r="M1291" s="53"/>
      <x:c r="N1291" s="53"/>
      <x:c r="O1291" s="53"/>
      <x:c r="P1291" s="53"/>
      <x:c r="Q1291" s="53"/>
      <x:c r="R1291" s="53"/>
      <x:c r="S1291" s="53"/>
      <x:c r="T1291" s="53"/>
      <x:c r="U1291" s="53"/>
      <x:c r="V1291" s="53"/>
      <x:c r="W1291" s="53"/>
      <x:c r="X1291" s="53"/>
      <x:c r="Y1291" s="53"/>
      <x:c r="Z1291" s="53"/>
      <x:c r="AA1291" s="53"/>
      <x:c r="AB1291" s="53"/>
      <x:c r="AC1291" s="53"/>
      <x:c r="AD1291" s="53"/>
      <x:c r="AE1291" s="53"/>
      <x:c r="AF1291" s="53"/>
    </x:row>
    <x:row r="1292">
      <x:c r="A1292" s="53"/>
      <x:c r="B1292" s="53"/>
      <x:c r="C1292" s="53"/>
      <x:c r="D1292" s="53"/>
      <x:c r="E1292" s="53"/>
      <x:c r="F1292" s="53"/>
      <x:c r="G1292" s="53"/>
      <x:c r="H1292" s="53"/>
      <x:c r="I1292" s="53"/>
      <x:c r="J1292" s="53"/>
      <x:c r="K1292" s="53"/>
      <x:c r="L1292" s="53"/>
      <x:c r="M1292" s="53"/>
      <x:c r="N1292" s="53"/>
      <x:c r="O1292" s="53"/>
      <x:c r="P1292" s="53"/>
      <x:c r="Q1292" s="53"/>
      <x:c r="R1292" s="53"/>
      <x:c r="S1292" s="53"/>
      <x:c r="T1292" s="53"/>
      <x:c r="U1292" s="53"/>
      <x:c r="V1292" s="53"/>
      <x:c r="W1292" s="53"/>
      <x:c r="X1292" s="53"/>
      <x:c r="Y1292" s="53"/>
      <x:c r="Z1292" s="53"/>
      <x:c r="AA1292" s="53"/>
      <x:c r="AB1292" s="53"/>
      <x:c r="AC1292" s="53"/>
      <x:c r="AD1292" s="53"/>
      <x:c r="AE1292" s="53"/>
      <x:c r="AF1292" s="53"/>
    </x:row>
    <x:row r="1293">
      <x:c r="A1293" s="53"/>
      <x:c r="B1293" s="53"/>
      <x:c r="C1293" s="53"/>
      <x:c r="D1293" s="53"/>
      <x:c r="E1293" s="53"/>
      <x:c r="F1293" s="53"/>
      <x:c r="G1293" s="53"/>
      <x:c r="H1293" s="53"/>
      <x:c r="I1293" s="53"/>
      <x:c r="J1293" s="53"/>
      <x:c r="K1293" s="53"/>
      <x:c r="L1293" s="53"/>
      <x:c r="M1293" s="53"/>
      <x:c r="N1293" s="53"/>
      <x:c r="O1293" s="53"/>
      <x:c r="P1293" s="53"/>
      <x:c r="Q1293" s="53"/>
      <x:c r="R1293" s="53"/>
      <x:c r="S1293" s="53"/>
      <x:c r="T1293" s="53"/>
      <x:c r="U1293" s="53"/>
      <x:c r="V1293" s="53"/>
      <x:c r="W1293" s="53"/>
      <x:c r="X1293" s="53"/>
      <x:c r="Y1293" s="53"/>
      <x:c r="Z1293" s="53"/>
      <x:c r="AA1293" s="53"/>
      <x:c r="AB1293" s="53"/>
      <x:c r="AC1293" s="53"/>
      <x:c r="AD1293" s="53"/>
      <x:c r="AE1293" s="53"/>
      <x:c r="AF1293" s="53"/>
    </x:row>
    <x:row r="1294">
      <x:c r="A1294" s="53"/>
      <x:c r="B1294" s="53"/>
      <x:c r="C1294" s="53"/>
      <x:c r="D1294" s="53"/>
      <x:c r="E1294" s="53"/>
      <x:c r="F1294" s="53"/>
      <x:c r="G1294" s="53"/>
      <x:c r="H1294" s="53"/>
      <x:c r="I1294" s="53"/>
      <x:c r="J1294" s="53"/>
      <x:c r="K1294" s="53"/>
      <x:c r="L1294" s="53"/>
      <x:c r="M1294" s="53"/>
      <x:c r="N1294" s="53"/>
      <x:c r="O1294" s="53"/>
      <x:c r="P1294" s="53"/>
      <x:c r="Q1294" s="53"/>
      <x:c r="R1294" s="53"/>
      <x:c r="S1294" s="53"/>
      <x:c r="T1294" s="53"/>
      <x:c r="U1294" s="53"/>
      <x:c r="V1294" s="53"/>
      <x:c r="W1294" s="53"/>
      <x:c r="X1294" s="53"/>
      <x:c r="Y1294" s="53"/>
      <x:c r="Z1294" s="53"/>
      <x:c r="AA1294" s="53"/>
      <x:c r="AB1294" s="53"/>
      <x:c r="AC1294" s="53"/>
      <x:c r="AD1294" s="53"/>
      <x:c r="AE1294" s="53"/>
      <x:c r="AF1294" s="53"/>
    </x:row>
    <x:row r="1295">
      <x:c r="A1295" s="53"/>
      <x:c r="B1295" s="53"/>
      <x:c r="C1295" s="53"/>
      <x:c r="D1295" s="53"/>
      <x:c r="E1295" s="53"/>
      <x:c r="F1295" s="53"/>
      <x:c r="G1295" s="53"/>
      <x:c r="H1295" s="53"/>
      <x:c r="I1295" s="53"/>
      <x:c r="J1295" s="53"/>
      <x:c r="K1295" s="53"/>
      <x:c r="L1295" s="53"/>
      <x:c r="M1295" s="53"/>
      <x:c r="N1295" s="53"/>
      <x:c r="O1295" s="53"/>
      <x:c r="P1295" s="53"/>
      <x:c r="Q1295" s="53"/>
      <x:c r="R1295" s="53"/>
      <x:c r="S1295" s="53"/>
      <x:c r="T1295" s="53"/>
      <x:c r="U1295" s="53"/>
      <x:c r="V1295" s="53"/>
      <x:c r="W1295" s="53"/>
      <x:c r="X1295" s="53"/>
      <x:c r="Y1295" s="53"/>
      <x:c r="Z1295" s="53"/>
      <x:c r="AA1295" s="53"/>
      <x:c r="AB1295" s="53"/>
      <x:c r="AC1295" s="53"/>
      <x:c r="AD1295" s="53"/>
      <x:c r="AE1295" s="53"/>
      <x:c r="AF1295" s="53"/>
    </x:row>
    <x:row r="1296">
      <x:c r="A1296" s="53"/>
      <x:c r="B1296" s="53"/>
      <x:c r="C1296" s="53"/>
      <x:c r="D1296" s="53"/>
      <x:c r="E1296" s="53"/>
      <x:c r="F1296" s="53"/>
      <x:c r="G1296" s="53"/>
      <x:c r="H1296" s="53"/>
      <x:c r="I1296" s="53"/>
      <x:c r="J1296" s="53"/>
      <x:c r="K1296" s="53"/>
      <x:c r="L1296" s="53"/>
      <x:c r="M1296" s="53"/>
      <x:c r="N1296" s="53"/>
      <x:c r="O1296" s="53"/>
      <x:c r="P1296" s="53"/>
      <x:c r="Q1296" s="53"/>
      <x:c r="R1296" s="53"/>
      <x:c r="S1296" s="53"/>
      <x:c r="T1296" s="53"/>
      <x:c r="U1296" s="53"/>
      <x:c r="V1296" s="53"/>
      <x:c r="W1296" s="53"/>
      <x:c r="X1296" s="53"/>
      <x:c r="Y1296" s="53"/>
      <x:c r="Z1296" s="53"/>
      <x:c r="AA1296" s="53"/>
      <x:c r="AB1296" s="53"/>
      <x:c r="AC1296" s="53"/>
      <x:c r="AD1296" s="53"/>
      <x:c r="AE1296" s="53"/>
      <x:c r="AF1296" s="53"/>
    </x:row>
    <x:row r="1297">
      <x:c r="A1297" s="53"/>
      <x:c r="B1297" s="53"/>
      <x:c r="C1297" s="53"/>
      <x:c r="D1297" s="53"/>
      <x:c r="E1297" s="53"/>
      <x:c r="F1297" s="53"/>
      <x:c r="G1297" s="53"/>
      <x:c r="H1297" s="53"/>
      <x:c r="I1297" s="53"/>
      <x:c r="J1297" s="53"/>
      <x:c r="K1297" s="53"/>
      <x:c r="L1297" s="53"/>
      <x:c r="M1297" s="53"/>
      <x:c r="N1297" s="53"/>
      <x:c r="O1297" s="53"/>
      <x:c r="P1297" s="53"/>
      <x:c r="Q1297" s="53"/>
      <x:c r="R1297" s="53"/>
      <x:c r="S1297" s="53"/>
      <x:c r="T1297" s="53"/>
      <x:c r="U1297" s="53"/>
      <x:c r="V1297" s="53"/>
      <x:c r="W1297" s="53"/>
      <x:c r="X1297" s="53"/>
      <x:c r="Y1297" s="53"/>
      <x:c r="Z1297" s="53"/>
      <x:c r="AA1297" s="53"/>
      <x:c r="AB1297" s="53"/>
      <x:c r="AC1297" s="53"/>
      <x:c r="AD1297" s="53"/>
      <x:c r="AE1297" s="53"/>
      <x:c r="AF1297" s="53"/>
    </x:row>
    <x:row r="1298">
      <x:c r="A1298" s="53"/>
      <x:c r="B1298" s="53"/>
      <x:c r="C1298" s="53"/>
      <x:c r="D1298" s="53"/>
      <x:c r="E1298" s="53"/>
      <x:c r="F1298" s="53"/>
      <x:c r="G1298" s="53"/>
      <x:c r="H1298" s="53"/>
      <x:c r="I1298" s="53"/>
      <x:c r="J1298" s="53"/>
      <x:c r="K1298" s="53"/>
      <x:c r="L1298" s="53"/>
      <x:c r="M1298" s="53"/>
      <x:c r="N1298" s="53"/>
      <x:c r="O1298" s="53"/>
      <x:c r="P1298" s="53"/>
      <x:c r="Q1298" s="53"/>
      <x:c r="R1298" s="53"/>
      <x:c r="S1298" s="53"/>
      <x:c r="T1298" s="53"/>
      <x:c r="U1298" s="53"/>
      <x:c r="V1298" s="53"/>
      <x:c r="W1298" s="53"/>
      <x:c r="X1298" s="53"/>
      <x:c r="Y1298" s="53"/>
      <x:c r="Z1298" s="53"/>
      <x:c r="AA1298" s="53"/>
      <x:c r="AB1298" s="53"/>
      <x:c r="AC1298" s="53"/>
      <x:c r="AD1298" s="53"/>
      <x:c r="AE1298" s="53"/>
      <x:c r="AF1298" s="53"/>
    </x:row>
    <x:row r="1299">
      <x:c r="A1299" s="53"/>
      <x:c r="B1299" s="53"/>
      <x:c r="C1299" s="53"/>
      <x:c r="D1299" s="53"/>
      <x:c r="E1299" s="53"/>
      <x:c r="F1299" s="53"/>
      <x:c r="G1299" s="53"/>
      <x:c r="H1299" s="53"/>
      <x:c r="I1299" s="53"/>
      <x:c r="J1299" s="53"/>
      <x:c r="K1299" s="53"/>
      <x:c r="L1299" s="53"/>
      <x:c r="M1299" s="53"/>
      <x:c r="N1299" s="53"/>
      <x:c r="O1299" s="53"/>
      <x:c r="P1299" s="53"/>
      <x:c r="Q1299" s="53"/>
      <x:c r="R1299" s="53"/>
      <x:c r="S1299" s="53"/>
      <x:c r="T1299" s="53"/>
      <x:c r="U1299" s="53"/>
      <x:c r="V1299" s="53"/>
      <x:c r="W1299" s="53"/>
      <x:c r="X1299" s="53"/>
      <x:c r="Y1299" s="53"/>
      <x:c r="Z1299" s="53"/>
      <x:c r="AA1299" s="53"/>
      <x:c r="AB1299" s="53"/>
      <x:c r="AC1299" s="53"/>
      <x:c r="AD1299" s="53"/>
      <x:c r="AE1299" s="53"/>
      <x:c r="AF1299" s="53"/>
    </x:row>
    <x:row r="1300">
      <x:c r="A1300" s="53"/>
      <x:c r="B1300" s="53"/>
      <x:c r="C1300" s="53"/>
      <x:c r="D1300" s="53"/>
      <x:c r="E1300" s="53"/>
      <x:c r="F1300" s="53"/>
      <x:c r="G1300" s="53"/>
      <x:c r="H1300" s="53"/>
      <x:c r="I1300" s="53"/>
      <x:c r="J1300" s="53"/>
      <x:c r="K1300" s="53"/>
      <x:c r="L1300" s="53"/>
      <x:c r="M1300" s="53"/>
      <x:c r="N1300" s="53"/>
      <x:c r="O1300" s="53"/>
      <x:c r="P1300" s="53"/>
      <x:c r="Q1300" s="53"/>
      <x:c r="R1300" s="53"/>
      <x:c r="S1300" s="53"/>
      <x:c r="T1300" s="53"/>
      <x:c r="U1300" s="53"/>
      <x:c r="V1300" s="53"/>
      <x:c r="W1300" s="53"/>
      <x:c r="X1300" s="53"/>
      <x:c r="Y1300" s="53"/>
      <x:c r="Z1300" s="53"/>
      <x:c r="AA1300" s="53"/>
      <x:c r="AB1300" s="53"/>
      <x:c r="AC1300" s="53"/>
      <x:c r="AD1300" s="53"/>
      <x:c r="AE1300" s="53"/>
      <x:c r="AF1300" s="53"/>
    </x:row>
    <x:row r="1301">
      <x:c r="A1301" s="53"/>
      <x:c r="B1301" s="53"/>
      <x:c r="C1301" s="53"/>
      <x:c r="D1301" s="53"/>
      <x:c r="E1301" s="53"/>
      <x:c r="F1301" s="53"/>
      <x:c r="G1301" s="53"/>
      <x:c r="H1301" s="53"/>
      <x:c r="I1301" s="53"/>
      <x:c r="J1301" s="53"/>
      <x:c r="K1301" s="53"/>
      <x:c r="L1301" s="53"/>
      <x:c r="M1301" s="53"/>
      <x:c r="N1301" s="53"/>
      <x:c r="O1301" s="53"/>
      <x:c r="P1301" s="53"/>
      <x:c r="Q1301" s="53"/>
      <x:c r="R1301" s="53"/>
      <x:c r="S1301" s="53"/>
      <x:c r="T1301" s="53"/>
      <x:c r="U1301" s="53"/>
      <x:c r="V1301" s="53"/>
      <x:c r="W1301" s="53"/>
      <x:c r="X1301" s="53"/>
      <x:c r="Y1301" s="53"/>
      <x:c r="Z1301" s="53"/>
      <x:c r="AA1301" s="53"/>
      <x:c r="AB1301" s="53"/>
      <x:c r="AC1301" s="53"/>
      <x:c r="AD1301" s="53"/>
      <x:c r="AE1301" s="53"/>
      <x:c r="AF1301" s="53"/>
    </x:row>
    <x:row r="1302">
      <x:c r="A1302" s="53"/>
      <x:c r="B1302" s="53"/>
      <x:c r="C1302" s="53"/>
      <x:c r="D1302" s="53"/>
      <x:c r="E1302" s="53"/>
      <x:c r="F1302" s="53"/>
      <x:c r="G1302" s="53"/>
      <x:c r="H1302" s="53"/>
      <x:c r="I1302" s="53"/>
      <x:c r="J1302" s="53"/>
      <x:c r="K1302" s="53"/>
      <x:c r="L1302" s="53"/>
      <x:c r="M1302" s="53"/>
      <x:c r="N1302" s="53"/>
      <x:c r="O1302" s="53"/>
      <x:c r="P1302" s="53"/>
      <x:c r="Q1302" s="53"/>
      <x:c r="R1302" s="53"/>
      <x:c r="S1302" s="53"/>
      <x:c r="T1302" s="53"/>
      <x:c r="U1302" s="53"/>
      <x:c r="V1302" s="53"/>
      <x:c r="W1302" s="53"/>
      <x:c r="X1302" s="53"/>
      <x:c r="Y1302" s="53"/>
      <x:c r="Z1302" s="53"/>
      <x:c r="AA1302" s="53"/>
      <x:c r="AB1302" s="53"/>
      <x:c r="AC1302" s="53"/>
      <x:c r="AD1302" s="53"/>
      <x:c r="AE1302" s="53"/>
      <x:c r="AF1302" s="53"/>
    </x:row>
    <x:row r="1303">
      <x:c r="A1303" s="53"/>
      <x:c r="B1303" s="53"/>
      <x:c r="C1303" s="53"/>
      <x:c r="D1303" s="53"/>
      <x:c r="E1303" s="53"/>
      <x:c r="F1303" s="53"/>
      <x:c r="G1303" s="53"/>
      <x:c r="H1303" s="53"/>
      <x:c r="I1303" s="53"/>
      <x:c r="J1303" s="53"/>
      <x:c r="K1303" s="53"/>
      <x:c r="L1303" s="53"/>
      <x:c r="M1303" s="53"/>
      <x:c r="N1303" s="53"/>
      <x:c r="O1303" s="53"/>
      <x:c r="P1303" s="53"/>
      <x:c r="Q1303" s="53"/>
      <x:c r="R1303" s="53"/>
      <x:c r="S1303" s="53"/>
      <x:c r="T1303" s="53"/>
      <x:c r="U1303" s="53"/>
      <x:c r="V1303" s="53"/>
      <x:c r="W1303" s="53"/>
      <x:c r="X1303" s="53"/>
      <x:c r="Y1303" s="53"/>
      <x:c r="Z1303" s="53"/>
      <x:c r="AA1303" s="53"/>
      <x:c r="AB1303" s="53"/>
      <x:c r="AC1303" s="53"/>
      <x:c r="AD1303" s="53"/>
      <x:c r="AE1303" s="53"/>
      <x:c r="AF1303" s="53"/>
    </x:row>
    <x:row r="1304">
      <x:c r="A1304" s="53"/>
      <x:c r="B1304" s="53"/>
      <x:c r="C1304" s="53"/>
      <x:c r="D1304" s="53"/>
      <x:c r="E1304" s="53"/>
      <x:c r="F1304" s="53"/>
      <x:c r="G1304" s="53"/>
      <x:c r="H1304" s="53"/>
      <x:c r="I1304" s="53"/>
      <x:c r="J1304" s="53"/>
      <x:c r="K1304" s="53"/>
      <x:c r="L1304" s="53"/>
      <x:c r="M1304" s="53"/>
      <x:c r="N1304" s="53"/>
      <x:c r="O1304" s="53"/>
      <x:c r="P1304" s="53"/>
      <x:c r="Q1304" s="53"/>
      <x:c r="R1304" s="53"/>
      <x:c r="S1304" s="53"/>
      <x:c r="T1304" s="53"/>
      <x:c r="U1304" s="53"/>
      <x:c r="V1304" s="53"/>
      <x:c r="W1304" s="53"/>
      <x:c r="X1304" s="53"/>
      <x:c r="Y1304" s="53"/>
      <x:c r="Z1304" s="53"/>
      <x:c r="AA1304" s="53"/>
      <x:c r="AB1304" s="53"/>
      <x:c r="AC1304" s="53"/>
      <x:c r="AD1304" s="53"/>
      <x:c r="AE1304" s="53"/>
      <x:c r="AF1304" s="53"/>
    </x:row>
    <x:row r="1305">
      <x:c r="A1305" s="53"/>
      <x:c r="B1305" s="53"/>
      <x:c r="C1305" s="53"/>
      <x:c r="D1305" s="53"/>
      <x:c r="E1305" s="53"/>
      <x:c r="F1305" s="53"/>
      <x:c r="G1305" s="53"/>
      <x:c r="H1305" s="53"/>
      <x:c r="I1305" s="53"/>
      <x:c r="J1305" s="53"/>
      <x:c r="K1305" s="53"/>
      <x:c r="L1305" s="53"/>
      <x:c r="M1305" s="53"/>
      <x:c r="N1305" s="53"/>
      <x:c r="O1305" s="53"/>
      <x:c r="P1305" s="53"/>
      <x:c r="Q1305" s="53"/>
      <x:c r="R1305" s="53"/>
      <x:c r="S1305" s="53"/>
      <x:c r="T1305" s="53"/>
      <x:c r="U1305" s="53"/>
      <x:c r="V1305" s="53"/>
      <x:c r="W1305" s="53"/>
      <x:c r="X1305" s="53"/>
      <x:c r="Y1305" s="53"/>
      <x:c r="Z1305" s="53"/>
      <x:c r="AA1305" s="53"/>
      <x:c r="AB1305" s="53"/>
      <x:c r="AC1305" s="53"/>
      <x:c r="AD1305" s="53"/>
      <x:c r="AE1305" s="53"/>
      <x:c r="AF1305" s="53"/>
    </x:row>
    <x:row r="1306">
      <x:c r="A1306" s="53"/>
      <x:c r="B1306" s="53"/>
      <x:c r="C1306" s="53"/>
      <x:c r="D1306" s="53"/>
      <x:c r="E1306" s="53"/>
      <x:c r="F1306" s="53"/>
      <x:c r="G1306" s="53"/>
      <x:c r="H1306" s="53"/>
      <x:c r="I1306" s="53"/>
      <x:c r="J1306" s="53"/>
      <x:c r="K1306" s="53"/>
      <x:c r="L1306" s="53"/>
      <x:c r="M1306" s="53"/>
      <x:c r="N1306" s="53"/>
      <x:c r="O1306" s="53"/>
      <x:c r="P1306" s="53"/>
      <x:c r="Q1306" s="53"/>
      <x:c r="R1306" s="53"/>
      <x:c r="S1306" s="53"/>
      <x:c r="T1306" s="53"/>
      <x:c r="U1306" s="53"/>
      <x:c r="V1306" s="53"/>
      <x:c r="W1306" s="53"/>
      <x:c r="X1306" s="53"/>
      <x:c r="Y1306" s="53"/>
      <x:c r="Z1306" s="53"/>
      <x:c r="AA1306" s="53"/>
      <x:c r="AB1306" s="53"/>
      <x:c r="AC1306" s="53"/>
      <x:c r="AD1306" s="53"/>
      <x:c r="AE1306" s="53"/>
      <x:c r="AF1306" s="53"/>
    </x:row>
    <x:row r="1307">
      <x:c r="A1307" s="53"/>
      <x:c r="B1307" s="53"/>
      <x:c r="C1307" s="53"/>
      <x:c r="D1307" s="53"/>
      <x:c r="E1307" s="53"/>
      <x:c r="F1307" s="53"/>
      <x:c r="G1307" s="53"/>
      <x:c r="H1307" s="53"/>
      <x:c r="I1307" s="53"/>
      <x:c r="J1307" s="53"/>
      <x:c r="K1307" s="53"/>
      <x:c r="L1307" s="53"/>
      <x:c r="M1307" s="53"/>
      <x:c r="N1307" s="53"/>
      <x:c r="O1307" s="53"/>
      <x:c r="P1307" s="53"/>
      <x:c r="Q1307" s="53"/>
      <x:c r="R1307" s="53"/>
      <x:c r="S1307" s="53"/>
      <x:c r="T1307" s="53"/>
      <x:c r="U1307" s="53"/>
      <x:c r="V1307" s="53"/>
      <x:c r="W1307" s="53"/>
      <x:c r="X1307" s="53"/>
      <x:c r="Y1307" s="53"/>
      <x:c r="Z1307" s="53"/>
      <x:c r="AA1307" s="53"/>
      <x:c r="AB1307" s="53"/>
      <x:c r="AC1307" s="53"/>
      <x:c r="AD1307" s="53"/>
      <x:c r="AE1307" s="53"/>
      <x:c r="AF1307" s="53"/>
    </x:row>
    <x:row r="1308">
      <x:c r="A1308" s="53"/>
      <x:c r="B1308" s="53"/>
      <x:c r="C1308" s="53"/>
      <x:c r="D1308" s="53"/>
      <x:c r="E1308" s="53"/>
      <x:c r="F1308" s="53"/>
      <x:c r="G1308" s="53"/>
      <x:c r="H1308" s="53"/>
      <x:c r="I1308" s="53"/>
      <x:c r="J1308" s="53"/>
      <x:c r="K1308" s="53"/>
      <x:c r="L1308" s="53"/>
      <x:c r="M1308" s="53"/>
      <x:c r="N1308" s="53"/>
      <x:c r="O1308" s="53"/>
      <x:c r="P1308" s="53"/>
      <x:c r="Q1308" s="53"/>
      <x:c r="R1308" s="53"/>
      <x:c r="S1308" s="53"/>
      <x:c r="T1308" s="53"/>
      <x:c r="U1308" s="53"/>
      <x:c r="V1308" s="53"/>
      <x:c r="W1308" s="53"/>
      <x:c r="X1308" s="53"/>
      <x:c r="Y1308" s="53"/>
      <x:c r="Z1308" s="53"/>
      <x:c r="AA1308" s="53"/>
      <x:c r="AB1308" s="53"/>
      <x:c r="AC1308" s="53"/>
      <x:c r="AD1308" s="53"/>
      <x:c r="AE1308" s="53"/>
      <x:c r="AF1308" s="53"/>
    </x:row>
    <x:row r="1309">
      <x:c r="A1309" s="53"/>
      <x:c r="B1309" s="53"/>
      <x:c r="C1309" s="53"/>
      <x:c r="D1309" s="53"/>
      <x:c r="E1309" s="53"/>
      <x:c r="F1309" s="53"/>
      <x:c r="G1309" s="53"/>
      <x:c r="H1309" s="53"/>
      <x:c r="I1309" s="53"/>
      <x:c r="J1309" s="53"/>
      <x:c r="K1309" s="53"/>
      <x:c r="L1309" s="53"/>
      <x:c r="M1309" s="53"/>
      <x:c r="N1309" s="53"/>
      <x:c r="O1309" s="53"/>
      <x:c r="P1309" s="53"/>
      <x:c r="Q1309" s="53"/>
      <x:c r="R1309" s="53"/>
      <x:c r="S1309" s="53"/>
      <x:c r="T1309" s="53"/>
      <x:c r="U1309" s="53"/>
      <x:c r="V1309" s="53"/>
      <x:c r="W1309" s="53"/>
      <x:c r="X1309" s="53"/>
      <x:c r="Y1309" s="53"/>
      <x:c r="Z1309" s="53"/>
      <x:c r="AA1309" s="53"/>
      <x:c r="AB1309" s="53"/>
      <x:c r="AC1309" s="53"/>
      <x:c r="AD1309" s="53"/>
      <x:c r="AE1309" s="53"/>
      <x:c r="AF1309" s="53"/>
    </x:row>
    <x:row r="1310">
      <x:c r="A1310" s="53"/>
      <x:c r="B1310" s="53"/>
      <x:c r="C1310" s="53"/>
      <x:c r="D1310" s="53"/>
      <x:c r="E1310" s="53"/>
      <x:c r="F1310" s="53"/>
      <x:c r="G1310" s="53"/>
      <x:c r="H1310" s="53"/>
      <x:c r="I1310" s="53"/>
      <x:c r="J1310" s="53"/>
      <x:c r="K1310" s="53"/>
      <x:c r="L1310" s="53"/>
      <x:c r="M1310" s="53"/>
      <x:c r="N1310" s="53"/>
      <x:c r="O1310" s="53"/>
      <x:c r="P1310" s="53"/>
      <x:c r="Q1310" s="53"/>
      <x:c r="R1310" s="53"/>
      <x:c r="S1310" s="53"/>
      <x:c r="T1310" s="53"/>
      <x:c r="U1310" s="53"/>
      <x:c r="V1310" s="53"/>
      <x:c r="W1310" s="53"/>
      <x:c r="X1310" s="53"/>
      <x:c r="Y1310" s="53"/>
      <x:c r="Z1310" s="53"/>
      <x:c r="AA1310" s="53"/>
      <x:c r="AB1310" s="53"/>
      <x:c r="AC1310" s="53"/>
      <x:c r="AD1310" s="53"/>
      <x:c r="AE1310" s="53"/>
      <x:c r="AF1310" s="53"/>
    </x:row>
    <x:row r="1311">
      <x:c r="A1311" s="53"/>
      <x:c r="B1311" s="53"/>
      <x:c r="C1311" s="53"/>
      <x:c r="D1311" s="53"/>
      <x:c r="E1311" s="53"/>
      <x:c r="F1311" s="53"/>
      <x:c r="G1311" s="53"/>
      <x:c r="H1311" s="53"/>
      <x:c r="I1311" s="53"/>
      <x:c r="J1311" s="53"/>
      <x:c r="K1311" s="53"/>
      <x:c r="L1311" s="53"/>
      <x:c r="M1311" s="53"/>
      <x:c r="N1311" s="53"/>
      <x:c r="O1311" s="53"/>
      <x:c r="P1311" s="53"/>
      <x:c r="Q1311" s="53"/>
      <x:c r="R1311" s="53"/>
      <x:c r="S1311" s="53"/>
      <x:c r="T1311" s="53"/>
      <x:c r="U1311" s="53"/>
      <x:c r="V1311" s="53"/>
      <x:c r="W1311" s="53"/>
      <x:c r="X1311" s="53"/>
      <x:c r="Y1311" s="53"/>
      <x:c r="Z1311" s="53"/>
      <x:c r="AA1311" s="53"/>
      <x:c r="AB1311" s="53"/>
      <x:c r="AC1311" s="53"/>
      <x:c r="AD1311" s="53"/>
      <x:c r="AE1311" s="53"/>
      <x:c r="AF1311" s="53"/>
    </x:row>
    <x:row r="1312">
      <x:c r="A1312" s="53"/>
      <x:c r="B1312" s="53"/>
      <x:c r="C1312" s="53"/>
      <x:c r="D1312" s="53"/>
      <x:c r="E1312" s="53"/>
      <x:c r="F1312" s="53"/>
      <x:c r="G1312" s="53"/>
      <x:c r="H1312" s="53"/>
      <x:c r="I1312" s="53"/>
      <x:c r="J1312" s="53"/>
      <x:c r="K1312" s="53"/>
      <x:c r="L1312" s="53"/>
      <x:c r="M1312" s="53"/>
      <x:c r="N1312" s="53"/>
      <x:c r="O1312" s="53"/>
      <x:c r="P1312" s="53"/>
      <x:c r="Q1312" s="53"/>
      <x:c r="R1312" s="53"/>
      <x:c r="S1312" s="53"/>
      <x:c r="T1312" s="53"/>
      <x:c r="U1312" s="53"/>
      <x:c r="V1312" s="53"/>
      <x:c r="W1312" s="53"/>
      <x:c r="X1312" s="53"/>
      <x:c r="Y1312" s="53"/>
      <x:c r="Z1312" s="53"/>
      <x:c r="AA1312" s="53"/>
      <x:c r="AB1312" s="53"/>
      <x:c r="AC1312" s="53"/>
      <x:c r="AD1312" s="53"/>
      <x:c r="AE1312" s="53"/>
      <x:c r="AF1312" s="53"/>
    </x:row>
    <x:row r="1313">
      <x:c r="A1313" s="53"/>
      <x:c r="B1313" s="53"/>
      <x:c r="C1313" s="53"/>
      <x:c r="D1313" s="53"/>
      <x:c r="E1313" s="53"/>
      <x:c r="F1313" s="53"/>
      <x:c r="G1313" s="53"/>
      <x:c r="H1313" s="53"/>
      <x:c r="I1313" s="53"/>
      <x:c r="J1313" s="53"/>
      <x:c r="K1313" s="53"/>
      <x:c r="L1313" s="53"/>
      <x:c r="M1313" s="53"/>
      <x:c r="N1313" s="53"/>
      <x:c r="O1313" s="53"/>
      <x:c r="P1313" s="53"/>
      <x:c r="Q1313" s="53"/>
      <x:c r="R1313" s="53"/>
      <x:c r="S1313" s="53"/>
      <x:c r="T1313" s="53"/>
      <x:c r="U1313" s="53"/>
      <x:c r="V1313" s="53"/>
      <x:c r="W1313" s="53"/>
      <x:c r="X1313" s="53"/>
      <x:c r="Y1313" s="53"/>
      <x:c r="Z1313" s="53"/>
      <x:c r="AA1313" s="53"/>
      <x:c r="AB1313" s="53"/>
      <x:c r="AC1313" s="53"/>
      <x:c r="AD1313" s="53"/>
      <x:c r="AE1313" s="53"/>
      <x:c r="AF1313" s="53"/>
    </x:row>
    <x:row r="1314">
      <x:c r="A1314" s="53"/>
      <x:c r="B1314" s="53"/>
      <x:c r="C1314" s="53"/>
      <x:c r="D1314" s="53"/>
      <x:c r="E1314" s="53"/>
      <x:c r="F1314" s="53"/>
      <x:c r="G1314" s="53"/>
      <x:c r="H1314" s="53"/>
      <x:c r="I1314" s="53"/>
      <x:c r="J1314" s="53"/>
      <x:c r="K1314" s="53"/>
      <x:c r="L1314" s="53"/>
      <x:c r="M1314" s="53"/>
      <x:c r="N1314" s="53"/>
      <x:c r="O1314" s="53"/>
      <x:c r="P1314" s="53"/>
      <x:c r="Q1314" s="53"/>
      <x:c r="R1314" s="53"/>
      <x:c r="S1314" s="53"/>
      <x:c r="T1314" s="53"/>
      <x:c r="U1314" s="53"/>
      <x:c r="V1314" s="53"/>
      <x:c r="W1314" s="53"/>
      <x:c r="X1314" s="53"/>
      <x:c r="Y1314" s="53"/>
      <x:c r="Z1314" s="53"/>
      <x:c r="AA1314" s="53"/>
      <x:c r="AB1314" s="53"/>
      <x:c r="AC1314" s="53"/>
      <x:c r="AD1314" s="53"/>
      <x:c r="AE1314" s="53"/>
      <x:c r="AF1314" s="53"/>
    </x:row>
    <x:row r="1315">
      <x:c r="A1315" s="53"/>
      <x:c r="B1315" s="53"/>
      <x:c r="C1315" s="53"/>
      <x:c r="D1315" s="53"/>
      <x:c r="E1315" s="53"/>
      <x:c r="F1315" s="53"/>
      <x:c r="G1315" s="53"/>
      <x:c r="H1315" s="53"/>
      <x:c r="I1315" s="53"/>
      <x:c r="J1315" s="53"/>
      <x:c r="K1315" s="53"/>
      <x:c r="L1315" s="53"/>
      <x:c r="M1315" s="53"/>
      <x:c r="N1315" s="53"/>
      <x:c r="O1315" s="53"/>
      <x:c r="P1315" s="53"/>
      <x:c r="Q1315" s="53"/>
      <x:c r="R1315" s="53"/>
      <x:c r="S1315" s="53"/>
      <x:c r="T1315" s="53"/>
      <x:c r="U1315" s="53"/>
      <x:c r="V1315" s="53"/>
      <x:c r="W1315" s="53"/>
      <x:c r="X1315" s="53"/>
      <x:c r="Y1315" s="53"/>
      <x:c r="Z1315" s="53"/>
      <x:c r="AA1315" s="53"/>
      <x:c r="AB1315" s="53"/>
      <x:c r="AC1315" s="53"/>
      <x:c r="AD1315" s="53"/>
      <x:c r="AE1315" s="53"/>
      <x:c r="AF1315" s="53"/>
    </x:row>
    <x:row r="1316">
      <x:c r="A1316" s="53"/>
      <x:c r="B1316" s="53"/>
      <x:c r="C1316" s="53"/>
      <x:c r="D1316" s="53"/>
      <x:c r="E1316" s="53"/>
      <x:c r="F1316" s="53"/>
      <x:c r="G1316" s="53"/>
      <x:c r="H1316" s="53"/>
      <x:c r="I1316" s="53"/>
      <x:c r="J1316" s="53"/>
      <x:c r="K1316" s="53"/>
      <x:c r="L1316" s="53"/>
      <x:c r="M1316" s="53"/>
      <x:c r="N1316" s="53"/>
      <x:c r="O1316" s="53"/>
      <x:c r="P1316" s="53"/>
      <x:c r="Q1316" s="53"/>
      <x:c r="R1316" s="53"/>
      <x:c r="S1316" s="53"/>
      <x:c r="T1316" s="53"/>
      <x:c r="U1316" s="53"/>
      <x:c r="V1316" s="53"/>
      <x:c r="W1316" s="53"/>
      <x:c r="X1316" s="53"/>
      <x:c r="Y1316" s="53"/>
      <x:c r="Z1316" s="53"/>
      <x:c r="AA1316" s="53"/>
      <x:c r="AB1316" s="53"/>
      <x:c r="AC1316" s="53"/>
      <x:c r="AD1316" s="53"/>
      <x:c r="AE1316" s="53"/>
      <x:c r="AF1316" s="53"/>
    </x:row>
    <x:row r="1317">
      <x:c r="A1317" s="53"/>
      <x:c r="B1317" s="53"/>
      <x:c r="C1317" s="53"/>
      <x:c r="D1317" s="53"/>
      <x:c r="E1317" s="53"/>
      <x:c r="F1317" s="53"/>
      <x:c r="G1317" s="53"/>
      <x:c r="H1317" s="53"/>
      <x:c r="I1317" s="53"/>
      <x:c r="J1317" s="53"/>
      <x:c r="K1317" s="53"/>
      <x:c r="L1317" s="53"/>
      <x:c r="M1317" s="53"/>
      <x:c r="N1317" s="53"/>
      <x:c r="O1317" s="53"/>
      <x:c r="P1317" s="53"/>
      <x:c r="Q1317" s="53"/>
      <x:c r="R1317" s="53"/>
      <x:c r="S1317" s="53"/>
      <x:c r="T1317" s="53"/>
      <x:c r="U1317" s="53"/>
      <x:c r="V1317" s="53"/>
      <x:c r="W1317" s="53"/>
      <x:c r="X1317" s="53"/>
      <x:c r="Y1317" s="53"/>
      <x:c r="Z1317" s="53"/>
      <x:c r="AA1317" s="53"/>
      <x:c r="AB1317" s="53"/>
      <x:c r="AC1317" s="53"/>
      <x:c r="AD1317" s="53"/>
      <x:c r="AE1317" s="53"/>
      <x:c r="AF1317" s="53"/>
    </x:row>
    <x:row r="1318">
      <x:c r="A1318" s="53"/>
      <x:c r="B1318" s="53"/>
      <x:c r="C1318" s="53"/>
      <x:c r="D1318" s="53"/>
      <x:c r="E1318" s="53"/>
      <x:c r="F1318" s="53"/>
      <x:c r="G1318" s="53"/>
      <x:c r="H1318" s="53"/>
      <x:c r="I1318" s="53"/>
      <x:c r="J1318" s="53"/>
      <x:c r="K1318" s="53"/>
      <x:c r="L1318" s="53"/>
      <x:c r="M1318" s="53"/>
      <x:c r="N1318" s="53"/>
      <x:c r="O1318" s="53"/>
      <x:c r="P1318" s="53"/>
      <x:c r="Q1318" s="53"/>
      <x:c r="R1318" s="53"/>
      <x:c r="S1318" s="53"/>
      <x:c r="T1318" s="53"/>
      <x:c r="U1318" s="53"/>
      <x:c r="V1318" s="53"/>
      <x:c r="W1318" s="53"/>
      <x:c r="X1318" s="53"/>
      <x:c r="Y1318" s="53"/>
      <x:c r="Z1318" s="53"/>
      <x:c r="AA1318" s="53"/>
      <x:c r="AB1318" s="53"/>
      <x:c r="AC1318" s="53"/>
      <x:c r="AD1318" s="53"/>
      <x:c r="AE1318" s="53"/>
      <x:c r="AF1318" s="53"/>
    </x:row>
    <x:row r="1319">
      <x:c r="A1319" s="53"/>
      <x:c r="B1319" s="53"/>
      <x:c r="C1319" s="53"/>
      <x:c r="D1319" s="53"/>
      <x:c r="E1319" s="53"/>
      <x:c r="F1319" s="53"/>
      <x:c r="G1319" s="53"/>
      <x:c r="H1319" s="53"/>
      <x:c r="I1319" s="53"/>
      <x:c r="J1319" s="53"/>
      <x:c r="K1319" s="53"/>
      <x:c r="L1319" s="53"/>
      <x:c r="M1319" s="53"/>
      <x:c r="N1319" s="53"/>
      <x:c r="O1319" s="53"/>
      <x:c r="P1319" s="53"/>
      <x:c r="Q1319" s="53"/>
      <x:c r="R1319" s="53"/>
      <x:c r="S1319" s="53"/>
      <x:c r="T1319" s="53"/>
      <x:c r="U1319" s="53"/>
      <x:c r="V1319" s="53"/>
      <x:c r="W1319" s="53"/>
      <x:c r="X1319" s="53"/>
      <x:c r="Y1319" s="53"/>
      <x:c r="Z1319" s="53"/>
      <x:c r="AA1319" s="53"/>
      <x:c r="AB1319" s="53"/>
      <x:c r="AC1319" s="53"/>
      <x:c r="AD1319" s="53"/>
      <x:c r="AE1319" s="53"/>
      <x:c r="AF1319" s="53"/>
    </x:row>
    <x:row r="1320">
      <x:c r="A1320" s="53"/>
      <x:c r="B1320" s="53"/>
      <x:c r="C1320" s="53"/>
      <x:c r="D1320" s="53"/>
      <x:c r="E1320" s="53"/>
      <x:c r="F1320" s="53"/>
      <x:c r="G1320" s="53"/>
      <x:c r="H1320" s="53"/>
      <x:c r="I1320" s="53"/>
      <x:c r="J1320" s="53"/>
      <x:c r="K1320" s="53"/>
      <x:c r="L1320" s="53"/>
      <x:c r="M1320" s="53"/>
      <x:c r="N1320" s="53"/>
      <x:c r="O1320" s="53"/>
      <x:c r="P1320" s="53"/>
      <x:c r="Q1320" s="53"/>
      <x:c r="R1320" s="53"/>
      <x:c r="S1320" s="53"/>
      <x:c r="T1320" s="53"/>
      <x:c r="U1320" s="53"/>
      <x:c r="V1320" s="53"/>
      <x:c r="W1320" s="53"/>
      <x:c r="X1320" s="53"/>
      <x:c r="Y1320" s="53"/>
      <x:c r="Z1320" s="53"/>
      <x:c r="AA1320" s="53"/>
      <x:c r="AB1320" s="53"/>
      <x:c r="AC1320" s="53"/>
      <x:c r="AD1320" s="53"/>
      <x:c r="AE1320" s="53"/>
      <x:c r="AF1320" s="53"/>
    </x:row>
    <x:row r="1321">
      <x:c r="A1321" s="53"/>
      <x:c r="B1321" s="53"/>
      <x:c r="C1321" s="53"/>
      <x:c r="D1321" s="53"/>
      <x:c r="E1321" s="53"/>
      <x:c r="F1321" s="53"/>
      <x:c r="G1321" s="53"/>
      <x:c r="H1321" s="53"/>
      <x:c r="I1321" s="53"/>
      <x:c r="J1321" s="53"/>
      <x:c r="K1321" s="53"/>
      <x:c r="L1321" s="53"/>
      <x:c r="M1321" s="53"/>
      <x:c r="N1321" s="53"/>
      <x:c r="O1321" s="53"/>
      <x:c r="P1321" s="53"/>
      <x:c r="Q1321" s="53"/>
      <x:c r="R1321" s="53"/>
      <x:c r="S1321" s="53"/>
      <x:c r="T1321" s="53"/>
      <x:c r="U1321" s="53"/>
      <x:c r="V1321" s="53"/>
      <x:c r="W1321" s="53"/>
      <x:c r="X1321" s="53"/>
      <x:c r="Y1321" s="53"/>
      <x:c r="Z1321" s="53"/>
      <x:c r="AA1321" s="53"/>
      <x:c r="AB1321" s="53"/>
      <x:c r="AC1321" s="53"/>
      <x:c r="AD1321" s="53"/>
      <x:c r="AE1321" s="53"/>
      <x:c r="AF1321" s="53"/>
    </x:row>
    <x:row r="1322">
      <x:c r="A1322" s="53"/>
      <x:c r="B1322" s="53"/>
      <x:c r="C1322" s="53"/>
      <x:c r="D1322" s="53"/>
      <x:c r="E1322" s="53"/>
      <x:c r="F1322" s="53"/>
      <x:c r="G1322" s="53"/>
      <x:c r="H1322" s="53"/>
      <x:c r="I1322" s="53"/>
      <x:c r="J1322" s="53"/>
      <x:c r="K1322" s="53"/>
      <x:c r="L1322" s="53"/>
      <x:c r="M1322" s="53"/>
      <x:c r="N1322" s="53"/>
      <x:c r="O1322" s="53"/>
      <x:c r="P1322" s="53"/>
      <x:c r="Q1322" s="53"/>
      <x:c r="R1322" s="53"/>
      <x:c r="S1322" s="53"/>
      <x:c r="T1322" s="53"/>
      <x:c r="U1322" s="53"/>
      <x:c r="V1322" s="53"/>
      <x:c r="W1322" s="53"/>
      <x:c r="X1322" s="53"/>
      <x:c r="Y1322" s="53"/>
      <x:c r="Z1322" s="53"/>
      <x:c r="AA1322" s="53"/>
      <x:c r="AB1322" s="53"/>
      <x:c r="AC1322" s="53"/>
      <x:c r="AD1322" s="53"/>
      <x:c r="AE1322" s="53"/>
      <x:c r="AF1322" s="53"/>
    </x:row>
    <x:row r="1323">
      <x:c r="A1323" s="53"/>
      <x:c r="B1323" s="53"/>
      <x:c r="C1323" s="53"/>
      <x:c r="D1323" s="53"/>
      <x:c r="E1323" s="53"/>
      <x:c r="F1323" s="53"/>
      <x:c r="G1323" s="53"/>
      <x:c r="H1323" s="53"/>
      <x:c r="I1323" s="53"/>
      <x:c r="J1323" s="53"/>
      <x:c r="K1323" s="53"/>
      <x:c r="L1323" s="53"/>
      <x:c r="M1323" s="53"/>
      <x:c r="N1323" s="53"/>
      <x:c r="O1323" s="53"/>
      <x:c r="P1323" s="53"/>
      <x:c r="Q1323" s="53"/>
      <x:c r="R1323" s="53"/>
      <x:c r="S1323" s="53"/>
      <x:c r="T1323" s="53"/>
      <x:c r="U1323" s="53"/>
      <x:c r="V1323" s="53"/>
      <x:c r="W1323" s="53"/>
      <x:c r="X1323" s="53"/>
      <x:c r="Y1323" s="53"/>
      <x:c r="Z1323" s="53"/>
      <x:c r="AA1323" s="53"/>
      <x:c r="AB1323" s="53"/>
      <x:c r="AC1323" s="53"/>
      <x:c r="AD1323" s="53"/>
      <x:c r="AE1323" s="53"/>
      <x:c r="AF1323" s="53"/>
    </x:row>
    <x:row r="1324">
      <x:c r="A1324" s="53"/>
      <x:c r="B1324" s="53"/>
      <x:c r="C1324" s="53"/>
      <x:c r="D1324" s="53"/>
      <x:c r="E1324" s="53"/>
      <x:c r="F1324" s="53"/>
      <x:c r="G1324" s="53"/>
      <x:c r="H1324" s="53"/>
      <x:c r="I1324" s="53"/>
      <x:c r="J1324" s="53"/>
      <x:c r="K1324" s="53"/>
      <x:c r="L1324" s="53"/>
      <x:c r="M1324" s="53"/>
      <x:c r="N1324" s="53"/>
      <x:c r="O1324" s="53"/>
      <x:c r="P1324" s="53"/>
      <x:c r="Q1324" s="53"/>
      <x:c r="R1324" s="53"/>
      <x:c r="S1324" s="53"/>
      <x:c r="T1324" s="53"/>
      <x:c r="U1324" s="53"/>
      <x:c r="V1324" s="53"/>
      <x:c r="W1324" s="53"/>
      <x:c r="X1324" s="53"/>
      <x:c r="Y1324" s="53"/>
      <x:c r="Z1324" s="53"/>
      <x:c r="AA1324" s="53"/>
      <x:c r="AB1324" s="53"/>
      <x:c r="AC1324" s="53"/>
      <x:c r="AD1324" s="53"/>
      <x:c r="AE1324" s="53"/>
      <x:c r="AF1324" s="53"/>
    </x:row>
    <x:row r="1325">
      <x:c r="A1325" s="53"/>
      <x:c r="B1325" s="53"/>
      <x:c r="C1325" s="53"/>
      <x:c r="D1325" s="53"/>
      <x:c r="E1325" s="53"/>
      <x:c r="F1325" s="53"/>
      <x:c r="G1325" s="53"/>
      <x:c r="H1325" s="53"/>
      <x:c r="I1325" s="53"/>
      <x:c r="J1325" s="53"/>
      <x:c r="K1325" s="53"/>
      <x:c r="L1325" s="53"/>
      <x:c r="M1325" s="53"/>
      <x:c r="N1325" s="53"/>
      <x:c r="O1325" s="53"/>
      <x:c r="P1325" s="53"/>
      <x:c r="Q1325" s="53"/>
      <x:c r="R1325" s="53"/>
      <x:c r="S1325" s="53"/>
      <x:c r="T1325" s="53"/>
      <x:c r="U1325" s="53"/>
      <x:c r="V1325" s="53"/>
      <x:c r="W1325" s="53"/>
      <x:c r="X1325" s="53"/>
      <x:c r="Y1325" s="53"/>
      <x:c r="Z1325" s="53"/>
      <x:c r="AA1325" s="53"/>
      <x:c r="AB1325" s="53"/>
      <x:c r="AC1325" s="53"/>
      <x:c r="AD1325" s="53"/>
      <x:c r="AE1325" s="53"/>
      <x:c r="AF1325" s="53"/>
    </x:row>
    <x:row r="1326">
      <x:c r="A1326" s="53"/>
      <x:c r="B1326" s="53"/>
      <x:c r="C1326" s="53"/>
      <x:c r="D1326" s="53"/>
      <x:c r="E1326" s="53"/>
      <x:c r="F1326" s="53"/>
      <x:c r="G1326" s="53"/>
      <x:c r="H1326" s="53"/>
      <x:c r="I1326" s="53"/>
      <x:c r="J1326" s="53"/>
      <x:c r="K1326" s="53"/>
      <x:c r="L1326" s="53"/>
      <x:c r="M1326" s="53"/>
      <x:c r="N1326" s="53"/>
      <x:c r="O1326" s="53"/>
      <x:c r="P1326" s="53"/>
      <x:c r="Q1326" s="53"/>
      <x:c r="R1326" s="53"/>
      <x:c r="S1326" s="53"/>
      <x:c r="T1326" s="53"/>
      <x:c r="U1326" s="53"/>
      <x:c r="V1326" s="53"/>
      <x:c r="W1326" s="53"/>
      <x:c r="X1326" s="53"/>
      <x:c r="Y1326" s="53"/>
      <x:c r="Z1326" s="53"/>
      <x:c r="AA1326" s="53"/>
      <x:c r="AB1326" s="53"/>
      <x:c r="AC1326" s="53"/>
      <x:c r="AD1326" s="53"/>
      <x:c r="AE1326" s="53"/>
      <x:c r="AF1326" s="53"/>
    </x:row>
    <x:row r="1327">
      <x:c r="A1327" s="53"/>
      <x:c r="B1327" s="53"/>
      <x:c r="C1327" s="53"/>
      <x:c r="D1327" s="53"/>
      <x:c r="E1327" s="53"/>
      <x:c r="F1327" s="53"/>
      <x:c r="G1327" s="53"/>
      <x:c r="H1327" s="53"/>
      <x:c r="I1327" s="53"/>
      <x:c r="J1327" s="53"/>
      <x:c r="K1327" s="53"/>
      <x:c r="L1327" s="53"/>
      <x:c r="M1327" s="53"/>
      <x:c r="N1327" s="53"/>
      <x:c r="O1327" s="53"/>
      <x:c r="P1327" s="53"/>
      <x:c r="Q1327" s="53"/>
      <x:c r="R1327" s="53"/>
      <x:c r="S1327" s="53"/>
      <x:c r="T1327" s="53"/>
      <x:c r="U1327" s="53"/>
      <x:c r="V1327" s="53"/>
      <x:c r="W1327" s="53"/>
      <x:c r="X1327" s="53"/>
      <x:c r="Y1327" s="53"/>
      <x:c r="Z1327" s="53"/>
      <x:c r="AA1327" s="53"/>
      <x:c r="AB1327" s="53"/>
      <x:c r="AC1327" s="53"/>
      <x:c r="AD1327" s="53"/>
      <x:c r="AE1327" s="53"/>
      <x:c r="AF1327" s="53"/>
    </x:row>
    <x:row r="1328">
      <x:c r="A1328" s="53"/>
      <x:c r="B1328" s="53"/>
      <x:c r="C1328" s="53"/>
      <x:c r="D1328" s="53"/>
      <x:c r="E1328" s="53"/>
      <x:c r="F1328" s="53"/>
      <x:c r="G1328" s="53"/>
      <x:c r="H1328" s="53"/>
      <x:c r="I1328" s="53"/>
      <x:c r="J1328" s="53"/>
      <x:c r="K1328" s="53"/>
      <x:c r="L1328" s="53"/>
      <x:c r="M1328" s="53"/>
      <x:c r="N1328" s="53"/>
      <x:c r="O1328" s="53"/>
      <x:c r="P1328" s="53"/>
      <x:c r="Q1328" s="53"/>
      <x:c r="R1328" s="53"/>
      <x:c r="S1328" s="53"/>
      <x:c r="T1328" s="53"/>
      <x:c r="U1328" s="53"/>
      <x:c r="V1328" s="53"/>
      <x:c r="W1328" s="53"/>
      <x:c r="X1328" s="53"/>
      <x:c r="Y1328" s="53"/>
      <x:c r="Z1328" s="53"/>
      <x:c r="AA1328" s="53"/>
      <x:c r="AB1328" s="53"/>
      <x:c r="AC1328" s="53"/>
      <x:c r="AD1328" s="53"/>
      <x:c r="AE1328" s="53"/>
      <x:c r="AF1328" s="53"/>
    </x:row>
    <x:row r="1329">
      <x:c r="A1329" s="53"/>
      <x:c r="B1329" s="53"/>
      <x:c r="C1329" s="53"/>
      <x:c r="D1329" s="53"/>
      <x:c r="E1329" s="53"/>
      <x:c r="F1329" s="53"/>
      <x:c r="G1329" s="53"/>
      <x:c r="H1329" s="53"/>
      <x:c r="I1329" s="53"/>
      <x:c r="J1329" s="53"/>
      <x:c r="K1329" s="53"/>
      <x:c r="L1329" s="53"/>
      <x:c r="M1329" s="53"/>
      <x:c r="N1329" s="53"/>
      <x:c r="O1329" s="53"/>
      <x:c r="P1329" s="53"/>
      <x:c r="Q1329" s="53"/>
      <x:c r="R1329" s="53"/>
      <x:c r="S1329" s="53"/>
      <x:c r="T1329" s="53"/>
      <x:c r="U1329" s="53"/>
      <x:c r="V1329" s="53"/>
      <x:c r="W1329" s="53"/>
      <x:c r="X1329" s="53"/>
      <x:c r="Y1329" s="53"/>
      <x:c r="Z1329" s="53"/>
      <x:c r="AA1329" s="53"/>
      <x:c r="AB1329" s="53"/>
      <x:c r="AC1329" s="53"/>
      <x:c r="AD1329" s="53"/>
      <x:c r="AE1329" s="53"/>
      <x:c r="AF1329" s="53"/>
    </x:row>
    <x:row r="1330">
      <x:c r="A1330" s="53"/>
      <x:c r="B1330" s="53"/>
      <x:c r="C1330" s="53"/>
      <x:c r="D1330" s="53"/>
      <x:c r="E1330" s="53"/>
      <x:c r="F1330" s="53"/>
      <x:c r="G1330" s="53"/>
      <x:c r="H1330" s="53"/>
      <x:c r="I1330" s="53"/>
      <x:c r="J1330" s="53"/>
      <x:c r="K1330" s="53"/>
      <x:c r="L1330" s="53"/>
      <x:c r="M1330" s="53"/>
      <x:c r="N1330" s="53"/>
      <x:c r="O1330" s="53"/>
      <x:c r="P1330" s="53"/>
      <x:c r="Q1330" s="53"/>
      <x:c r="R1330" s="53"/>
      <x:c r="S1330" s="53"/>
      <x:c r="T1330" s="53"/>
      <x:c r="U1330" s="53"/>
      <x:c r="V1330" s="53"/>
      <x:c r="W1330" s="53"/>
      <x:c r="X1330" s="53"/>
      <x:c r="Y1330" s="53"/>
      <x:c r="Z1330" s="53"/>
      <x:c r="AA1330" s="53"/>
      <x:c r="AB1330" s="53"/>
      <x:c r="AC1330" s="53"/>
      <x:c r="AD1330" s="53"/>
      <x:c r="AE1330" s="53"/>
      <x:c r="AF1330" s="53"/>
    </x:row>
    <x:row r="1331">
      <x:c r="A1331" s="53"/>
      <x:c r="B1331" s="53"/>
      <x:c r="C1331" s="53"/>
      <x:c r="D1331" s="53"/>
      <x:c r="E1331" s="53"/>
      <x:c r="F1331" s="53"/>
      <x:c r="G1331" s="53"/>
      <x:c r="H1331" s="53"/>
      <x:c r="I1331" s="53"/>
      <x:c r="J1331" s="53"/>
      <x:c r="K1331" s="53"/>
      <x:c r="L1331" s="53"/>
      <x:c r="M1331" s="53"/>
      <x:c r="N1331" s="53"/>
      <x:c r="O1331" s="53"/>
      <x:c r="P1331" s="53"/>
      <x:c r="Q1331" s="53"/>
      <x:c r="R1331" s="53"/>
      <x:c r="S1331" s="53"/>
      <x:c r="T1331" s="53"/>
      <x:c r="U1331" s="53"/>
      <x:c r="V1331" s="53"/>
      <x:c r="W1331" s="53"/>
      <x:c r="X1331" s="53"/>
      <x:c r="Y1331" s="53"/>
      <x:c r="Z1331" s="53"/>
      <x:c r="AA1331" s="53"/>
      <x:c r="AB1331" s="53"/>
      <x:c r="AC1331" s="53"/>
      <x:c r="AD1331" s="53"/>
      <x:c r="AE1331" s="53"/>
      <x:c r="AF1331" s="53"/>
    </x:row>
    <x:row r="1332">
      <x:c r="A1332" s="53"/>
      <x:c r="B1332" s="53"/>
      <x:c r="C1332" s="53"/>
      <x:c r="D1332" s="53"/>
      <x:c r="E1332" s="53"/>
      <x:c r="F1332" s="53"/>
      <x:c r="G1332" s="53"/>
      <x:c r="H1332" s="53"/>
      <x:c r="I1332" s="53"/>
      <x:c r="J1332" s="53"/>
      <x:c r="K1332" s="53"/>
      <x:c r="L1332" s="53"/>
      <x:c r="M1332" s="53"/>
      <x:c r="N1332" s="53"/>
      <x:c r="O1332" s="53"/>
      <x:c r="P1332" s="53"/>
      <x:c r="Q1332" s="53"/>
      <x:c r="R1332" s="53"/>
      <x:c r="S1332" s="53"/>
      <x:c r="T1332" s="53"/>
      <x:c r="U1332" s="53"/>
      <x:c r="V1332" s="53"/>
      <x:c r="W1332" s="53"/>
      <x:c r="X1332" s="53"/>
      <x:c r="Y1332" s="53"/>
      <x:c r="Z1332" s="53"/>
      <x:c r="AA1332" s="53"/>
      <x:c r="AB1332" s="53"/>
      <x:c r="AC1332" s="53"/>
      <x:c r="AD1332" s="53"/>
      <x:c r="AE1332" s="53"/>
      <x:c r="AF1332" s="53"/>
    </x:row>
    <x:row r="1333">
      <x:c r="A1333" s="53"/>
      <x:c r="B1333" s="53"/>
      <x:c r="C1333" s="53"/>
      <x:c r="D1333" s="53"/>
      <x:c r="E1333" s="53"/>
      <x:c r="F1333" s="53"/>
      <x:c r="G1333" s="53"/>
      <x:c r="H1333" s="53"/>
      <x:c r="I1333" s="53"/>
      <x:c r="J1333" s="53"/>
      <x:c r="K1333" s="53"/>
      <x:c r="L1333" s="53"/>
      <x:c r="M1333" s="53"/>
      <x:c r="N1333" s="53"/>
      <x:c r="O1333" s="53"/>
      <x:c r="P1333" s="53"/>
      <x:c r="Q1333" s="53"/>
      <x:c r="R1333" s="53"/>
      <x:c r="S1333" s="53"/>
      <x:c r="T1333" s="53"/>
      <x:c r="U1333" s="53"/>
      <x:c r="V1333" s="53"/>
      <x:c r="W1333" s="53"/>
      <x:c r="X1333" s="53"/>
      <x:c r="Y1333" s="53"/>
      <x:c r="Z1333" s="53"/>
      <x:c r="AA1333" s="53"/>
      <x:c r="AB1333" s="53"/>
      <x:c r="AC1333" s="53"/>
      <x:c r="AD1333" s="53"/>
      <x:c r="AE1333" s="53"/>
      <x:c r="AF1333" s="53"/>
    </x:row>
    <x:row r="1334">
      <x:c r="A1334" s="53"/>
      <x:c r="B1334" s="53"/>
      <x:c r="C1334" s="53"/>
      <x:c r="D1334" s="53"/>
      <x:c r="E1334" s="53"/>
      <x:c r="F1334" s="53"/>
      <x:c r="G1334" s="53"/>
      <x:c r="H1334" s="53"/>
      <x:c r="I1334" s="53"/>
      <x:c r="J1334" s="53"/>
      <x:c r="K1334" s="53"/>
      <x:c r="L1334" s="53"/>
      <x:c r="M1334" s="53"/>
      <x:c r="N1334" s="53"/>
      <x:c r="O1334" s="53"/>
      <x:c r="P1334" s="53"/>
      <x:c r="Q1334" s="53"/>
      <x:c r="R1334" s="53"/>
      <x:c r="S1334" s="53"/>
      <x:c r="T1334" s="53"/>
      <x:c r="U1334" s="53"/>
      <x:c r="V1334" s="53"/>
      <x:c r="W1334" s="53"/>
      <x:c r="X1334" s="53"/>
      <x:c r="Y1334" s="53"/>
      <x:c r="Z1334" s="53"/>
      <x:c r="AA1334" s="53"/>
      <x:c r="AB1334" s="53"/>
      <x:c r="AC1334" s="53"/>
      <x:c r="AD1334" s="53"/>
      <x:c r="AE1334" s="53"/>
      <x:c r="AF1334" s="53"/>
    </x:row>
    <x:row r="1335">
      <x:c r="A1335" s="53"/>
      <x:c r="B1335" s="53"/>
      <x:c r="C1335" s="53"/>
      <x:c r="D1335" s="53"/>
      <x:c r="E1335" s="53"/>
      <x:c r="F1335" s="53"/>
      <x:c r="G1335" s="53"/>
      <x:c r="H1335" s="53"/>
      <x:c r="I1335" s="53"/>
      <x:c r="J1335" s="53"/>
      <x:c r="K1335" s="53"/>
      <x:c r="L1335" s="53"/>
      <x:c r="M1335" s="53"/>
      <x:c r="N1335" s="53"/>
      <x:c r="O1335" s="53"/>
      <x:c r="P1335" s="53"/>
      <x:c r="Q1335" s="53"/>
      <x:c r="R1335" s="53"/>
      <x:c r="S1335" s="53"/>
      <x:c r="T1335" s="53"/>
      <x:c r="U1335" s="53"/>
      <x:c r="V1335" s="53"/>
      <x:c r="W1335" s="53"/>
      <x:c r="X1335" s="53"/>
      <x:c r="Y1335" s="53"/>
      <x:c r="Z1335" s="53"/>
      <x:c r="AA1335" s="53"/>
      <x:c r="AB1335" s="53"/>
      <x:c r="AC1335" s="53"/>
      <x:c r="AD1335" s="53"/>
      <x:c r="AE1335" s="53"/>
      <x:c r="AF1335" s="53"/>
    </x:row>
    <x:row r="1336">
      <x:c r="A1336" s="53"/>
      <x:c r="B1336" s="53"/>
      <x:c r="C1336" s="53"/>
      <x:c r="D1336" s="53"/>
      <x:c r="E1336" s="53"/>
      <x:c r="F1336" s="53"/>
      <x:c r="G1336" s="53"/>
      <x:c r="H1336" s="53"/>
      <x:c r="I1336" s="53"/>
      <x:c r="J1336" s="53"/>
      <x:c r="K1336" s="53"/>
      <x:c r="L1336" s="53"/>
      <x:c r="M1336" s="53"/>
      <x:c r="N1336" s="53"/>
      <x:c r="O1336" s="53"/>
      <x:c r="P1336" s="53"/>
      <x:c r="Q1336" s="53"/>
      <x:c r="R1336" s="53"/>
      <x:c r="S1336" s="53"/>
      <x:c r="T1336" s="53"/>
      <x:c r="U1336" s="53"/>
      <x:c r="V1336" s="53"/>
      <x:c r="W1336" s="53"/>
      <x:c r="X1336" s="53"/>
      <x:c r="Y1336" s="53"/>
      <x:c r="Z1336" s="53"/>
      <x:c r="AA1336" s="53"/>
      <x:c r="AB1336" s="53"/>
      <x:c r="AC1336" s="53"/>
      <x:c r="AD1336" s="53"/>
      <x:c r="AE1336" s="53"/>
      <x:c r="AF1336" s="53"/>
    </x:row>
    <x:row r="1337">
      <x:c r="A1337" s="53"/>
      <x:c r="B1337" s="53"/>
      <x:c r="C1337" s="53"/>
      <x:c r="D1337" s="53"/>
      <x:c r="E1337" s="53"/>
      <x:c r="F1337" s="53"/>
      <x:c r="G1337" s="53"/>
      <x:c r="H1337" s="53"/>
      <x:c r="I1337" s="53"/>
      <x:c r="J1337" s="53"/>
      <x:c r="K1337" s="53"/>
      <x:c r="L1337" s="53"/>
      <x:c r="M1337" s="53"/>
      <x:c r="N1337" s="53"/>
      <x:c r="O1337" s="53"/>
      <x:c r="P1337" s="53"/>
      <x:c r="Q1337" s="53"/>
      <x:c r="R1337" s="53"/>
      <x:c r="S1337" s="53"/>
      <x:c r="T1337" s="53"/>
      <x:c r="U1337" s="53"/>
      <x:c r="V1337" s="53"/>
      <x:c r="W1337" s="53"/>
      <x:c r="X1337" s="53"/>
      <x:c r="Y1337" s="53"/>
      <x:c r="Z1337" s="53"/>
      <x:c r="AA1337" s="53"/>
      <x:c r="AB1337" s="53"/>
      <x:c r="AC1337" s="53"/>
      <x:c r="AD1337" s="53"/>
      <x:c r="AE1337" s="53"/>
      <x:c r="AF1337" s="53"/>
    </x:row>
    <x:row r="1338">
      <x:c r="A1338" s="53"/>
      <x:c r="B1338" s="53"/>
      <x:c r="C1338" s="53"/>
      <x:c r="D1338" s="53"/>
      <x:c r="E1338" s="53"/>
      <x:c r="F1338" s="53"/>
      <x:c r="G1338" s="53"/>
      <x:c r="H1338" s="53"/>
      <x:c r="I1338" s="53"/>
      <x:c r="J1338" s="53"/>
      <x:c r="K1338" s="53"/>
      <x:c r="L1338" s="53"/>
      <x:c r="M1338" s="53"/>
      <x:c r="N1338" s="53"/>
      <x:c r="O1338" s="53"/>
      <x:c r="P1338" s="53"/>
      <x:c r="Q1338" s="53"/>
      <x:c r="R1338" s="53"/>
      <x:c r="S1338" s="53"/>
      <x:c r="T1338" s="53"/>
      <x:c r="U1338" s="53"/>
      <x:c r="V1338" s="53"/>
      <x:c r="W1338" s="53"/>
      <x:c r="X1338" s="53"/>
      <x:c r="Y1338" s="53"/>
      <x:c r="Z1338" s="53"/>
      <x:c r="AA1338" s="53"/>
      <x:c r="AB1338" s="53"/>
      <x:c r="AC1338" s="53"/>
      <x:c r="AD1338" s="53"/>
      <x:c r="AE1338" s="53"/>
      <x:c r="AF1338" s="53"/>
    </x:row>
    <x:row r="1339">
      <x:c r="A1339" s="53"/>
      <x:c r="B1339" s="53"/>
      <x:c r="C1339" s="53"/>
      <x:c r="D1339" s="53"/>
      <x:c r="E1339" s="53"/>
      <x:c r="F1339" s="53"/>
      <x:c r="G1339" s="53"/>
      <x:c r="H1339" s="53"/>
      <x:c r="I1339" s="53"/>
      <x:c r="J1339" s="53"/>
      <x:c r="K1339" s="53"/>
      <x:c r="L1339" s="53"/>
      <x:c r="M1339" s="53"/>
      <x:c r="N1339" s="53"/>
      <x:c r="O1339" s="53"/>
      <x:c r="P1339" s="53"/>
      <x:c r="Q1339" s="53"/>
      <x:c r="R1339" s="53"/>
      <x:c r="S1339" s="53"/>
      <x:c r="T1339" s="53"/>
      <x:c r="U1339" s="53"/>
      <x:c r="V1339" s="53"/>
      <x:c r="W1339" s="53"/>
      <x:c r="X1339" s="53"/>
      <x:c r="Y1339" s="53"/>
      <x:c r="Z1339" s="53"/>
      <x:c r="AA1339" s="53"/>
      <x:c r="AB1339" s="53"/>
      <x:c r="AC1339" s="53"/>
      <x:c r="AD1339" s="53"/>
      <x:c r="AE1339" s="53"/>
      <x:c r="AF1339" s="53"/>
    </x:row>
    <x:row r="1340">
      <x:c r="A1340" s="53"/>
      <x:c r="B1340" s="53"/>
      <x:c r="C1340" s="53"/>
      <x:c r="D1340" s="53"/>
      <x:c r="E1340" s="53"/>
      <x:c r="F1340" s="53"/>
      <x:c r="G1340" s="53"/>
      <x:c r="H1340" s="53"/>
      <x:c r="I1340" s="53"/>
      <x:c r="J1340" s="53"/>
      <x:c r="K1340" s="53"/>
      <x:c r="L1340" s="53"/>
      <x:c r="M1340" s="53"/>
      <x:c r="N1340" s="53"/>
      <x:c r="O1340" s="53"/>
      <x:c r="P1340" s="53"/>
      <x:c r="Q1340" s="53"/>
      <x:c r="R1340" s="53"/>
      <x:c r="S1340" s="53"/>
      <x:c r="T1340" s="53"/>
      <x:c r="U1340" s="53"/>
      <x:c r="V1340" s="53"/>
      <x:c r="W1340" s="53"/>
      <x:c r="X1340" s="53"/>
      <x:c r="Y1340" s="53"/>
      <x:c r="Z1340" s="53"/>
      <x:c r="AA1340" s="53"/>
      <x:c r="AB1340" s="53"/>
      <x:c r="AC1340" s="53"/>
      <x:c r="AD1340" s="53"/>
      <x:c r="AE1340" s="53"/>
      <x:c r="AF1340" s="53"/>
    </x:row>
    <x:row r="1341">
      <x:c r="A1341" s="53"/>
      <x:c r="B1341" s="53"/>
      <x:c r="C1341" s="53"/>
      <x:c r="D1341" s="53"/>
      <x:c r="E1341" s="53"/>
      <x:c r="F1341" s="53"/>
      <x:c r="G1341" s="53"/>
      <x:c r="H1341" s="53"/>
      <x:c r="I1341" s="53"/>
      <x:c r="J1341" s="53"/>
      <x:c r="K1341" s="53"/>
      <x:c r="L1341" s="53"/>
      <x:c r="M1341" s="53"/>
      <x:c r="N1341" s="53"/>
      <x:c r="O1341" s="53"/>
      <x:c r="P1341" s="53"/>
      <x:c r="Q1341" s="53"/>
      <x:c r="R1341" s="53"/>
      <x:c r="S1341" s="53"/>
      <x:c r="T1341" s="53"/>
      <x:c r="U1341" s="53"/>
      <x:c r="V1341" s="53"/>
      <x:c r="W1341" s="53"/>
      <x:c r="X1341" s="53"/>
      <x:c r="Y1341" s="53"/>
      <x:c r="Z1341" s="53"/>
      <x:c r="AA1341" s="53"/>
      <x:c r="AB1341" s="53"/>
      <x:c r="AC1341" s="53"/>
      <x:c r="AD1341" s="53"/>
      <x:c r="AE1341" s="53"/>
      <x:c r="AF1341" s="53"/>
    </x:row>
    <x:row r="1342">
      <x:c r="A1342" s="53"/>
      <x:c r="B1342" s="53"/>
      <x:c r="C1342" s="53"/>
      <x:c r="D1342" s="53"/>
      <x:c r="E1342" s="53"/>
      <x:c r="F1342" s="53"/>
      <x:c r="G1342" s="53"/>
      <x:c r="H1342" s="53"/>
      <x:c r="I1342" s="53"/>
      <x:c r="J1342" s="53"/>
      <x:c r="K1342" s="53"/>
      <x:c r="L1342" s="53"/>
      <x:c r="M1342" s="53"/>
      <x:c r="N1342" s="53"/>
      <x:c r="O1342" s="53"/>
      <x:c r="P1342" s="53"/>
      <x:c r="Q1342" s="53"/>
      <x:c r="R1342" s="53"/>
      <x:c r="S1342" s="53"/>
      <x:c r="T1342" s="53"/>
      <x:c r="U1342" s="53"/>
      <x:c r="V1342" s="53"/>
      <x:c r="W1342" s="53"/>
      <x:c r="X1342" s="53"/>
      <x:c r="Y1342" s="53"/>
      <x:c r="Z1342" s="53"/>
      <x:c r="AA1342" s="53"/>
      <x:c r="AB1342" s="53"/>
      <x:c r="AC1342" s="53"/>
      <x:c r="AD1342" s="53"/>
      <x:c r="AE1342" s="53"/>
      <x:c r="AF1342" s="53"/>
    </x:row>
    <x:row r="1343">
      <x:c r="A1343" s="53"/>
      <x:c r="B1343" s="53"/>
      <x:c r="C1343" s="53"/>
      <x:c r="D1343" s="53"/>
      <x:c r="E1343" s="53"/>
      <x:c r="F1343" s="53"/>
      <x:c r="G1343" s="53"/>
      <x:c r="H1343" s="53"/>
      <x:c r="I1343" s="53"/>
      <x:c r="J1343" s="53"/>
      <x:c r="K1343" s="53"/>
      <x:c r="L1343" s="53"/>
      <x:c r="M1343" s="53"/>
      <x:c r="N1343" s="53"/>
      <x:c r="O1343" s="53"/>
      <x:c r="P1343" s="53"/>
      <x:c r="Q1343" s="53"/>
      <x:c r="R1343" s="53"/>
      <x:c r="S1343" s="53"/>
      <x:c r="T1343" s="53"/>
      <x:c r="U1343" s="53"/>
      <x:c r="V1343" s="53"/>
      <x:c r="W1343" s="53"/>
      <x:c r="X1343" s="53"/>
      <x:c r="Y1343" s="53"/>
      <x:c r="Z1343" s="53"/>
      <x:c r="AA1343" s="53"/>
      <x:c r="AB1343" s="53"/>
      <x:c r="AC1343" s="53"/>
      <x:c r="AD1343" s="53"/>
      <x:c r="AE1343" s="53"/>
      <x:c r="AF1343" s="53"/>
    </x:row>
    <x:row r="1344">
      <x:c r="A1344" s="53"/>
      <x:c r="B1344" s="53"/>
      <x:c r="C1344" s="53"/>
      <x:c r="D1344" s="53"/>
      <x:c r="E1344" s="53"/>
      <x:c r="F1344" s="53"/>
      <x:c r="G1344" s="53"/>
      <x:c r="H1344" s="53"/>
      <x:c r="I1344" s="53"/>
      <x:c r="J1344" s="53"/>
      <x:c r="K1344" s="53"/>
      <x:c r="L1344" s="53"/>
      <x:c r="M1344" s="53"/>
      <x:c r="N1344" s="53"/>
      <x:c r="O1344" s="53"/>
      <x:c r="P1344" s="53"/>
      <x:c r="Q1344" s="53"/>
      <x:c r="R1344" s="53"/>
      <x:c r="S1344" s="53"/>
      <x:c r="T1344" s="53"/>
      <x:c r="U1344" s="53"/>
      <x:c r="V1344" s="53"/>
      <x:c r="W1344" s="53"/>
      <x:c r="X1344" s="53"/>
      <x:c r="Y1344" s="53"/>
      <x:c r="Z1344" s="53"/>
      <x:c r="AA1344" s="53"/>
      <x:c r="AB1344" s="53"/>
      <x:c r="AC1344" s="53"/>
      <x:c r="AD1344" s="53"/>
      <x:c r="AE1344" s="53"/>
      <x:c r="AF1344" s="53"/>
    </x:row>
    <x:row r="1345">
      <x:c r="A1345" s="53"/>
      <x:c r="B1345" s="53"/>
      <x:c r="C1345" s="53"/>
      <x:c r="D1345" s="53"/>
      <x:c r="E1345" s="53"/>
      <x:c r="F1345" s="53"/>
      <x:c r="G1345" s="53"/>
      <x:c r="H1345" s="53"/>
      <x:c r="I1345" s="53"/>
      <x:c r="J1345" s="53"/>
      <x:c r="K1345" s="53"/>
      <x:c r="L1345" s="53"/>
      <x:c r="M1345" s="53"/>
      <x:c r="N1345" s="53"/>
      <x:c r="O1345" s="53"/>
      <x:c r="P1345" s="53"/>
      <x:c r="Q1345" s="53"/>
      <x:c r="R1345" s="53"/>
      <x:c r="S1345" s="53"/>
      <x:c r="T1345" s="53"/>
      <x:c r="U1345" s="53"/>
      <x:c r="V1345" s="53"/>
      <x:c r="W1345" s="53"/>
      <x:c r="X1345" s="53"/>
      <x:c r="Y1345" s="53"/>
      <x:c r="Z1345" s="53"/>
      <x:c r="AA1345" s="53"/>
      <x:c r="AB1345" s="53"/>
      <x:c r="AC1345" s="53"/>
      <x:c r="AD1345" s="53"/>
      <x:c r="AE1345" s="53"/>
      <x:c r="AF1345" s="53"/>
    </x:row>
    <x:row r="1346">
      <x:c r="A1346" s="53"/>
      <x:c r="B1346" s="53"/>
      <x:c r="C1346" s="53"/>
      <x:c r="D1346" s="53"/>
      <x:c r="E1346" s="53"/>
      <x:c r="F1346" s="53"/>
      <x:c r="G1346" s="53"/>
      <x:c r="H1346" s="53"/>
      <x:c r="I1346" s="53"/>
      <x:c r="J1346" s="53"/>
      <x:c r="K1346" s="53"/>
      <x:c r="L1346" s="53"/>
      <x:c r="M1346" s="53"/>
      <x:c r="N1346" s="53"/>
      <x:c r="O1346" s="53"/>
      <x:c r="P1346" s="53"/>
      <x:c r="Q1346" s="53"/>
      <x:c r="R1346" s="53"/>
      <x:c r="S1346" s="53"/>
      <x:c r="T1346" s="53"/>
      <x:c r="U1346" s="53"/>
      <x:c r="V1346" s="53"/>
      <x:c r="W1346" s="53"/>
      <x:c r="X1346" s="53"/>
      <x:c r="Y1346" s="53"/>
      <x:c r="Z1346" s="53"/>
      <x:c r="AA1346" s="53"/>
      <x:c r="AB1346" s="53"/>
      <x:c r="AC1346" s="53"/>
      <x:c r="AD1346" s="53"/>
      <x:c r="AE1346" s="53"/>
      <x:c r="AF1346" s="53"/>
    </x:row>
    <x:row r="1347">
      <x:c r="A1347" s="53"/>
      <x:c r="B1347" s="53"/>
      <x:c r="C1347" s="53"/>
      <x:c r="D1347" s="53"/>
      <x:c r="E1347" s="53"/>
      <x:c r="F1347" s="53"/>
      <x:c r="G1347" s="53"/>
      <x:c r="H1347" s="53"/>
      <x:c r="I1347" s="53"/>
      <x:c r="J1347" s="53"/>
      <x:c r="K1347" s="53"/>
      <x:c r="L1347" s="53"/>
      <x:c r="M1347" s="53"/>
      <x:c r="N1347" s="53"/>
      <x:c r="O1347" s="53"/>
      <x:c r="P1347" s="53"/>
      <x:c r="Q1347" s="53"/>
      <x:c r="R1347" s="53"/>
      <x:c r="S1347" s="53"/>
      <x:c r="T1347" s="53"/>
      <x:c r="U1347" s="53"/>
      <x:c r="V1347" s="53"/>
      <x:c r="W1347" s="53"/>
      <x:c r="X1347" s="53"/>
      <x:c r="Y1347" s="53"/>
      <x:c r="Z1347" s="53"/>
      <x:c r="AA1347" s="53"/>
      <x:c r="AB1347" s="53"/>
      <x:c r="AC1347" s="53"/>
      <x:c r="AD1347" s="53"/>
      <x:c r="AE1347" s="53"/>
      <x:c r="AF1347" s="53"/>
    </x:row>
    <x:row r="1348">
      <x:c r="A1348" s="53"/>
      <x:c r="B1348" s="53"/>
      <x:c r="C1348" s="53"/>
      <x:c r="D1348" s="53"/>
      <x:c r="E1348" s="53"/>
      <x:c r="F1348" s="53"/>
      <x:c r="G1348" s="53"/>
      <x:c r="H1348" s="53"/>
      <x:c r="I1348" s="53"/>
      <x:c r="J1348" s="53"/>
      <x:c r="K1348" s="53"/>
      <x:c r="L1348" s="53"/>
      <x:c r="M1348" s="53"/>
      <x:c r="N1348" s="53"/>
      <x:c r="O1348" s="53"/>
      <x:c r="P1348" s="53"/>
      <x:c r="Q1348" s="53"/>
      <x:c r="R1348" s="53"/>
      <x:c r="S1348" s="53"/>
      <x:c r="T1348" s="53"/>
      <x:c r="U1348" s="53"/>
      <x:c r="V1348" s="53"/>
      <x:c r="W1348" s="53"/>
      <x:c r="X1348" s="53"/>
      <x:c r="Y1348" s="53"/>
      <x:c r="Z1348" s="53"/>
      <x:c r="AA1348" s="53"/>
      <x:c r="AB1348" s="53"/>
      <x:c r="AC1348" s="53"/>
      <x:c r="AD1348" s="53"/>
      <x:c r="AE1348" s="53"/>
      <x:c r="AF1348" s="53"/>
    </x:row>
    <x:row r="1349">
      <x:c r="A1349" s="53"/>
      <x:c r="B1349" s="53"/>
      <x:c r="C1349" s="53"/>
      <x:c r="D1349" s="53"/>
      <x:c r="E1349" s="53"/>
      <x:c r="F1349" s="53"/>
      <x:c r="G1349" s="53"/>
      <x:c r="H1349" s="53"/>
      <x:c r="I1349" s="53"/>
      <x:c r="J1349" s="53"/>
      <x:c r="K1349" s="53"/>
      <x:c r="L1349" s="53"/>
      <x:c r="M1349" s="53"/>
      <x:c r="N1349" s="53"/>
      <x:c r="O1349" s="53"/>
      <x:c r="P1349" s="53"/>
      <x:c r="Q1349" s="53"/>
      <x:c r="R1349" s="53"/>
      <x:c r="S1349" s="53"/>
      <x:c r="T1349" s="53"/>
      <x:c r="U1349" s="53"/>
      <x:c r="V1349" s="53"/>
      <x:c r="W1349" s="53"/>
      <x:c r="X1349" s="53"/>
      <x:c r="Y1349" s="53"/>
      <x:c r="Z1349" s="53"/>
      <x:c r="AA1349" s="53"/>
      <x:c r="AB1349" s="53"/>
      <x:c r="AC1349" s="53"/>
      <x:c r="AD1349" s="53"/>
      <x:c r="AE1349" s="53"/>
      <x:c r="AF1349" s="53"/>
    </x:row>
    <x:row r="1350">
      <x:c r="A1350" s="53"/>
      <x:c r="B1350" s="53"/>
      <x:c r="C1350" s="53"/>
      <x:c r="D1350" s="53"/>
      <x:c r="E1350" s="53"/>
      <x:c r="F1350" s="53"/>
      <x:c r="G1350" s="53"/>
      <x:c r="H1350" s="53"/>
      <x:c r="I1350" s="53"/>
      <x:c r="J1350" s="53"/>
      <x:c r="K1350" s="53"/>
      <x:c r="L1350" s="53"/>
      <x:c r="M1350" s="53"/>
      <x:c r="N1350" s="53"/>
      <x:c r="O1350" s="53"/>
      <x:c r="P1350" s="53"/>
      <x:c r="Q1350" s="53"/>
      <x:c r="R1350" s="53"/>
      <x:c r="S1350" s="53"/>
      <x:c r="T1350" s="53"/>
      <x:c r="U1350" s="53"/>
      <x:c r="V1350" s="53"/>
      <x:c r="W1350" s="53"/>
      <x:c r="X1350" s="53"/>
      <x:c r="Y1350" s="53"/>
      <x:c r="Z1350" s="53"/>
      <x:c r="AA1350" s="53"/>
      <x:c r="AB1350" s="53"/>
      <x:c r="AC1350" s="53"/>
      <x:c r="AD1350" s="53"/>
      <x:c r="AE1350" s="53"/>
      <x:c r="AF1350" s="53"/>
    </x:row>
    <x:row r="1351">
      <x:c r="A1351" s="53"/>
      <x:c r="B1351" s="53"/>
      <x:c r="C1351" s="53"/>
      <x:c r="D1351" s="53"/>
      <x:c r="E1351" s="53"/>
      <x:c r="F1351" s="53"/>
      <x:c r="G1351" s="53"/>
      <x:c r="H1351" s="53"/>
      <x:c r="I1351" s="53"/>
      <x:c r="J1351" s="53"/>
      <x:c r="K1351" s="53"/>
      <x:c r="L1351" s="53"/>
      <x:c r="M1351" s="53"/>
      <x:c r="N1351" s="53"/>
      <x:c r="O1351" s="53"/>
      <x:c r="P1351" s="53"/>
      <x:c r="Q1351" s="53"/>
      <x:c r="R1351" s="53"/>
      <x:c r="S1351" s="53"/>
      <x:c r="T1351" s="53"/>
      <x:c r="U1351" s="53"/>
      <x:c r="V1351" s="53"/>
      <x:c r="W1351" s="53"/>
      <x:c r="X1351" s="53"/>
      <x:c r="Y1351" s="53"/>
      <x:c r="Z1351" s="53"/>
      <x:c r="AA1351" s="53"/>
      <x:c r="AB1351" s="53"/>
      <x:c r="AC1351" s="53"/>
      <x:c r="AD1351" s="53"/>
      <x:c r="AE1351" s="53"/>
      <x:c r="AF1351" s="53"/>
    </x:row>
    <x:row r="1352">
      <x:c r="A1352" s="53"/>
      <x:c r="B1352" s="53"/>
      <x:c r="C1352" s="53"/>
      <x:c r="D1352" s="53"/>
      <x:c r="E1352" s="53"/>
      <x:c r="F1352" s="53"/>
      <x:c r="G1352" s="53"/>
      <x:c r="H1352" s="53"/>
      <x:c r="I1352" s="53"/>
      <x:c r="J1352" s="53"/>
      <x:c r="K1352" s="53"/>
      <x:c r="L1352" s="53"/>
      <x:c r="M1352" s="53"/>
      <x:c r="N1352" s="53"/>
      <x:c r="O1352" s="53"/>
      <x:c r="P1352" s="53"/>
      <x:c r="Q1352" s="53"/>
      <x:c r="R1352" s="53"/>
      <x:c r="S1352" s="53"/>
      <x:c r="T1352" s="53"/>
      <x:c r="U1352" s="53"/>
      <x:c r="V1352" s="53"/>
      <x:c r="W1352" s="53"/>
      <x:c r="X1352" s="53"/>
      <x:c r="Y1352" s="53"/>
      <x:c r="Z1352" s="53"/>
      <x:c r="AA1352" s="53"/>
      <x:c r="AB1352" s="53"/>
      <x:c r="AC1352" s="53"/>
      <x:c r="AD1352" s="53"/>
      <x:c r="AE1352" s="53"/>
      <x:c r="AF1352" s="53"/>
    </x:row>
    <x:row r="1353">
      <x:c r="A1353" s="53"/>
      <x:c r="B1353" s="53"/>
      <x:c r="C1353" s="53"/>
      <x:c r="D1353" s="53"/>
      <x:c r="E1353" s="53"/>
      <x:c r="F1353" s="53"/>
      <x:c r="G1353" s="53"/>
      <x:c r="H1353" s="53"/>
      <x:c r="I1353" s="53"/>
      <x:c r="J1353" s="53"/>
      <x:c r="K1353" s="53"/>
      <x:c r="L1353" s="53"/>
      <x:c r="M1353" s="53"/>
      <x:c r="N1353" s="53"/>
      <x:c r="O1353" s="53"/>
      <x:c r="P1353" s="53"/>
      <x:c r="Q1353" s="53"/>
      <x:c r="R1353" s="53"/>
      <x:c r="S1353" s="53"/>
      <x:c r="T1353" s="53"/>
      <x:c r="U1353" s="53"/>
      <x:c r="V1353" s="53"/>
      <x:c r="W1353" s="53"/>
      <x:c r="X1353" s="53"/>
      <x:c r="Y1353" s="53"/>
      <x:c r="Z1353" s="53"/>
      <x:c r="AA1353" s="53"/>
      <x:c r="AB1353" s="53"/>
      <x:c r="AC1353" s="53"/>
      <x:c r="AD1353" s="53"/>
      <x:c r="AE1353" s="53"/>
      <x:c r="AF1353" s="53"/>
    </x:row>
    <x:row r="1354">
      <x:c r="A1354" s="53"/>
      <x:c r="B1354" s="53"/>
      <x:c r="C1354" s="53"/>
      <x:c r="D1354" s="53"/>
      <x:c r="E1354" s="53"/>
      <x:c r="F1354" s="53"/>
      <x:c r="G1354" s="53"/>
      <x:c r="H1354" s="53"/>
      <x:c r="I1354" s="53"/>
      <x:c r="J1354" s="53"/>
      <x:c r="K1354" s="53"/>
      <x:c r="L1354" s="53"/>
      <x:c r="M1354" s="53"/>
      <x:c r="N1354" s="53"/>
      <x:c r="O1354" s="53"/>
      <x:c r="P1354" s="53"/>
      <x:c r="Q1354" s="53"/>
      <x:c r="R1354" s="53"/>
      <x:c r="S1354" s="53"/>
      <x:c r="T1354" s="53"/>
      <x:c r="U1354" s="53"/>
      <x:c r="V1354" s="53"/>
      <x:c r="W1354" s="53"/>
      <x:c r="X1354" s="53"/>
      <x:c r="Y1354" s="53"/>
      <x:c r="Z1354" s="53"/>
      <x:c r="AA1354" s="53"/>
      <x:c r="AB1354" s="53"/>
      <x:c r="AC1354" s="53"/>
      <x:c r="AD1354" s="53"/>
      <x:c r="AE1354" s="53"/>
      <x:c r="AF1354" s="53"/>
    </x:row>
    <x:row r="1355">
      <x:c r="A1355" s="53"/>
      <x:c r="B1355" s="53"/>
      <x:c r="C1355" s="53"/>
      <x:c r="D1355" s="53"/>
      <x:c r="E1355" s="53"/>
      <x:c r="F1355" s="53"/>
      <x:c r="G1355" s="53"/>
      <x:c r="H1355" s="53"/>
      <x:c r="I1355" s="53"/>
      <x:c r="J1355" s="53"/>
      <x:c r="K1355" s="53"/>
      <x:c r="L1355" s="53"/>
      <x:c r="M1355" s="53"/>
      <x:c r="N1355" s="53"/>
      <x:c r="O1355" s="53"/>
      <x:c r="P1355" s="53"/>
      <x:c r="Q1355" s="53"/>
      <x:c r="R1355" s="53"/>
      <x:c r="S1355" s="53"/>
      <x:c r="T1355" s="53"/>
      <x:c r="U1355" s="53"/>
      <x:c r="V1355" s="53"/>
      <x:c r="W1355" s="53"/>
      <x:c r="X1355" s="53"/>
      <x:c r="Y1355" s="53"/>
      <x:c r="Z1355" s="53"/>
      <x:c r="AA1355" s="53"/>
      <x:c r="AB1355" s="53"/>
      <x:c r="AC1355" s="53"/>
      <x:c r="AD1355" s="53"/>
      <x:c r="AE1355" s="53"/>
      <x:c r="AF1355" s="53"/>
    </x:row>
    <x:row r="1356">
      <x:c r="A1356" s="53"/>
      <x:c r="B1356" s="53"/>
      <x:c r="C1356" s="53"/>
      <x:c r="D1356" s="53"/>
      <x:c r="E1356" s="53"/>
      <x:c r="F1356" s="53"/>
      <x:c r="G1356" s="53"/>
      <x:c r="H1356" s="53"/>
      <x:c r="I1356" s="53"/>
      <x:c r="J1356" s="53"/>
      <x:c r="K1356" s="53"/>
      <x:c r="L1356" s="53"/>
      <x:c r="M1356" s="53"/>
      <x:c r="N1356" s="53"/>
      <x:c r="O1356" s="53"/>
      <x:c r="P1356" s="53"/>
      <x:c r="Q1356" s="53"/>
      <x:c r="R1356" s="53"/>
      <x:c r="S1356" s="53"/>
      <x:c r="T1356" s="53"/>
      <x:c r="U1356" s="53"/>
      <x:c r="V1356" s="53"/>
      <x:c r="W1356" s="53"/>
      <x:c r="X1356" s="53"/>
      <x:c r="Y1356" s="53"/>
      <x:c r="Z1356" s="53"/>
      <x:c r="AA1356" s="53"/>
      <x:c r="AB1356" s="53"/>
      <x:c r="AC1356" s="53"/>
      <x:c r="AD1356" s="53"/>
      <x:c r="AE1356" s="53"/>
      <x:c r="AF1356" s="53"/>
    </x:row>
    <x:row r="1357">
      <x:c r="A1357" s="53"/>
      <x:c r="B1357" s="53"/>
      <x:c r="C1357" s="53"/>
      <x:c r="D1357" s="53"/>
      <x:c r="E1357" s="53"/>
      <x:c r="F1357" s="53"/>
      <x:c r="G1357" s="53"/>
      <x:c r="H1357" s="53"/>
      <x:c r="I1357" s="53"/>
      <x:c r="J1357" s="53"/>
      <x:c r="K1357" s="53"/>
      <x:c r="L1357" s="53"/>
      <x:c r="M1357" s="53"/>
      <x:c r="N1357" s="53"/>
      <x:c r="O1357" s="53"/>
      <x:c r="P1357" s="53"/>
      <x:c r="Q1357" s="53"/>
      <x:c r="R1357" s="53"/>
      <x:c r="S1357" s="53"/>
      <x:c r="T1357" s="53"/>
      <x:c r="U1357" s="53"/>
      <x:c r="V1357" s="53"/>
      <x:c r="W1357" s="53"/>
      <x:c r="X1357" s="53"/>
      <x:c r="Y1357" s="53"/>
      <x:c r="Z1357" s="53"/>
      <x:c r="AA1357" s="53"/>
      <x:c r="AB1357" s="53"/>
      <x:c r="AC1357" s="53"/>
      <x:c r="AD1357" s="53"/>
      <x:c r="AE1357" s="53"/>
      <x:c r="AF1357" s="53"/>
    </x:row>
    <x:row r="1358">
      <x:c r="A1358" s="53"/>
      <x:c r="B1358" s="53"/>
      <x:c r="C1358" s="53"/>
      <x:c r="D1358" s="53"/>
      <x:c r="E1358" s="53"/>
      <x:c r="F1358" s="53"/>
      <x:c r="G1358" s="53"/>
      <x:c r="H1358" s="53"/>
      <x:c r="I1358" s="53"/>
      <x:c r="J1358" s="53"/>
      <x:c r="K1358" s="53"/>
      <x:c r="L1358" s="53"/>
      <x:c r="M1358" s="53"/>
      <x:c r="N1358" s="53"/>
      <x:c r="O1358" s="53"/>
      <x:c r="P1358" s="53"/>
      <x:c r="Q1358" s="53"/>
      <x:c r="R1358" s="53"/>
      <x:c r="S1358" s="53"/>
      <x:c r="T1358" s="53"/>
      <x:c r="U1358" s="53"/>
      <x:c r="V1358" s="53"/>
      <x:c r="W1358" s="53"/>
      <x:c r="X1358" s="53"/>
      <x:c r="Y1358" s="53"/>
      <x:c r="Z1358" s="53"/>
      <x:c r="AA1358" s="53"/>
      <x:c r="AB1358" s="53"/>
      <x:c r="AC1358" s="53"/>
      <x:c r="AD1358" s="53"/>
      <x:c r="AE1358" s="53"/>
      <x:c r="AF1358" s="53"/>
    </x:row>
    <x:row r="1359">
      <x:c r="A1359" s="53"/>
      <x:c r="B1359" s="53"/>
      <x:c r="C1359" s="53"/>
      <x:c r="D1359" s="53"/>
      <x:c r="E1359" s="53"/>
      <x:c r="F1359" s="53"/>
      <x:c r="G1359" s="53"/>
      <x:c r="H1359" s="53"/>
      <x:c r="I1359" s="53"/>
      <x:c r="J1359" s="53"/>
      <x:c r="K1359" s="53"/>
      <x:c r="L1359" s="53"/>
      <x:c r="M1359" s="53"/>
      <x:c r="N1359" s="53"/>
      <x:c r="O1359" s="53"/>
      <x:c r="P1359" s="53"/>
      <x:c r="Q1359" s="53"/>
      <x:c r="R1359" s="53"/>
      <x:c r="S1359" s="53"/>
      <x:c r="T1359" s="53"/>
      <x:c r="U1359" s="53"/>
      <x:c r="V1359" s="53"/>
      <x:c r="W1359" s="53"/>
      <x:c r="X1359" s="53"/>
      <x:c r="Y1359" s="53"/>
      <x:c r="Z1359" s="53"/>
      <x:c r="AA1359" s="53"/>
      <x:c r="AB1359" s="53"/>
      <x:c r="AC1359" s="53"/>
      <x:c r="AD1359" s="53"/>
      <x:c r="AE1359" s="53"/>
      <x:c r="AF1359" s="53"/>
    </x:row>
    <x:row r="1360">
      <x:c r="A1360" s="53"/>
      <x:c r="B1360" s="53"/>
      <x:c r="C1360" s="53"/>
      <x:c r="D1360" s="53"/>
      <x:c r="E1360" s="53"/>
      <x:c r="F1360" s="53"/>
      <x:c r="G1360" s="53"/>
      <x:c r="H1360" s="53"/>
      <x:c r="I1360" s="53"/>
      <x:c r="J1360" s="53"/>
      <x:c r="K1360" s="53"/>
      <x:c r="L1360" s="53"/>
      <x:c r="M1360" s="53"/>
      <x:c r="N1360" s="53"/>
      <x:c r="O1360" s="53"/>
      <x:c r="P1360" s="53"/>
      <x:c r="Q1360" s="53"/>
      <x:c r="R1360" s="53"/>
      <x:c r="S1360" s="53"/>
      <x:c r="T1360" s="53"/>
      <x:c r="U1360" s="53"/>
      <x:c r="V1360" s="53"/>
      <x:c r="W1360" s="53"/>
      <x:c r="X1360" s="53"/>
      <x:c r="Y1360" s="53"/>
      <x:c r="Z1360" s="53"/>
      <x:c r="AA1360" s="53"/>
      <x:c r="AB1360" s="53"/>
      <x:c r="AC1360" s="53"/>
      <x:c r="AD1360" s="53"/>
      <x:c r="AE1360" s="53"/>
      <x:c r="AF1360" s="53"/>
    </x:row>
    <x:row r="1361">
      <x:c r="A1361" s="53"/>
      <x:c r="B1361" s="53"/>
      <x:c r="C1361" s="53"/>
      <x:c r="D1361" s="53"/>
      <x:c r="E1361" s="53"/>
      <x:c r="F1361" s="53"/>
      <x:c r="G1361" s="53"/>
      <x:c r="H1361" s="53"/>
      <x:c r="I1361" s="53"/>
      <x:c r="J1361" s="53"/>
      <x:c r="K1361" s="53"/>
      <x:c r="L1361" s="53"/>
      <x:c r="M1361" s="53"/>
      <x:c r="N1361" s="53"/>
      <x:c r="O1361" s="53"/>
      <x:c r="P1361" s="53"/>
      <x:c r="Q1361" s="53"/>
      <x:c r="R1361" s="53"/>
      <x:c r="S1361" s="53"/>
      <x:c r="T1361" s="53"/>
      <x:c r="U1361" s="53"/>
      <x:c r="V1361" s="53"/>
      <x:c r="W1361" s="53"/>
      <x:c r="X1361" s="53"/>
      <x:c r="Y1361" s="53"/>
      <x:c r="Z1361" s="53"/>
      <x:c r="AA1361" s="53"/>
      <x:c r="AB1361" s="53"/>
      <x:c r="AC1361" s="53"/>
      <x:c r="AD1361" s="53"/>
      <x:c r="AE1361" s="53"/>
      <x:c r="AF1361" s="53"/>
    </x:row>
    <x:row r="1362">
      <x:c r="A1362" s="53"/>
      <x:c r="B1362" s="53"/>
      <x:c r="C1362" s="53"/>
      <x:c r="D1362" s="53"/>
      <x:c r="E1362" s="53"/>
      <x:c r="F1362" s="53"/>
      <x:c r="G1362" s="53"/>
      <x:c r="H1362" s="53"/>
      <x:c r="I1362" s="53"/>
      <x:c r="J1362" s="53"/>
      <x:c r="K1362" s="53"/>
      <x:c r="L1362" s="53"/>
      <x:c r="M1362" s="53"/>
      <x:c r="N1362" s="53"/>
      <x:c r="O1362" s="53"/>
      <x:c r="P1362" s="53"/>
      <x:c r="Q1362" s="53"/>
      <x:c r="R1362" s="53"/>
      <x:c r="S1362" s="53"/>
      <x:c r="T1362" s="53"/>
      <x:c r="U1362" s="53"/>
      <x:c r="V1362" s="53"/>
      <x:c r="W1362" s="53"/>
      <x:c r="X1362" s="53"/>
      <x:c r="Y1362" s="53"/>
      <x:c r="Z1362" s="53"/>
      <x:c r="AA1362" s="53"/>
      <x:c r="AB1362" s="53"/>
      <x:c r="AC1362" s="53"/>
      <x:c r="AD1362" s="53"/>
      <x:c r="AE1362" s="53"/>
      <x:c r="AF1362" s="53"/>
    </x:row>
    <x:row r="1363">
      <x:c r="A1363" s="53"/>
      <x:c r="B1363" s="53"/>
      <x:c r="C1363" s="53"/>
      <x:c r="D1363" s="53"/>
      <x:c r="E1363" s="53"/>
      <x:c r="F1363" s="53"/>
      <x:c r="G1363" s="53"/>
      <x:c r="H1363" s="53"/>
      <x:c r="I1363" s="53"/>
      <x:c r="J1363" s="53"/>
      <x:c r="K1363" s="53"/>
      <x:c r="L1363" s="53"/>
      <x:c r="M1363" s="53"/>
      <x:c r="N1363" s="53"/>
      <x:c r="O1363" s="53"/>
      <x:c r="P1363" s="53"/>
      <x:c r="Q1363" s="53"/>
      <x:c r="R1363" s="53"/>
      <x:c r="S1363" s="53"/>
      <x:c r="T1363" s="53"/>
      <x:c r="U1363" s="53"/>
      <x:c r="V1363" s="53"/>
      <x:c r="W1363" s="53"/>
      <x:c r="X1363" s="53"/>
      <x:c r="Y1363" s="53"/>
      <x:c r="Z1363" s="53"/>
      <x:c r="AA1363" s="53"/>
      <x:c r="AB1363" s="53"/>
      <x:c r="AC1363" s="53"/>
      <x:c r="AD1363" s="53"/>
      <x:c r="AE1363" s="53"/>
      <x:c r="AF1363" s="53"/>
    </x:row>
    <x:row r="1364">
      <x:c r="A1364" s="53"/>
      <x:c r="B1364" s="53"/>
      <x:c r="C1364" s="53"/>
      <x:c r="D1364" s="53"/>
      <x:c r="E1364" s="53"/>
      <x:c r="F1364" s="53"/>
      <x:c r="G1364" s="53"/>
      <x:c r="H1364" s="53"/>
      <x:c r="I1364" s="53"/>
      <x:c r="J1364" s="53"/>
      <x:c r="K1364" s="53"/>
      <x:c r="L1364" s="53"/>
      <x:c r="M1364" s="53"/>
      <x:c r="N1364" s="53"/>
      <x:c r="O1364" s="53"/>
      <x:c r="P1364" s="53"/>
      <x:c r="Q1364" s="53"/>
      <x:c r="R1364" s="53"/>
      <x:c r="S1364" s="53"/>
      <x:c r="T1364" s="53"/>
      <x:c r="U1364" s="53"/>
      <x:c r="V1364" s="53"/>
      <x:c r="W1364" s="53"/>
      <x:c r="X1364" s="53"/>
      <x:c r="Y1364" s="53"/>
      <x:c r="Z1364" s="53"/>
      <x:c r="AA1364" s="53"/>
      <x:c r="AB1364" s="53"/>
      <x:c r="AC1364" s="53"/>
      <x:c r="AD1364" s="53"/>
      <x:c r="AE1364" s="53"/>
      <x:c r="AF1364" s="53"/>
    </x:row>
    <x:row r="1365">
      <x:c r="A1365" s="53"/>
      <x:c r="B1365" s="53"/>
      <x:c r="C1365" s="53"/>
      <x:c r="D1365" s="53"/>
      <x:c r="E1365" s="53"/>
      <x:c r="F1365" s="53"/>
      <x:c r="G1365" s="53"/>
      <x:c r="H1365" s="53"/>
      <x:c r="I1365" s="53"/>
      <x:c r="J1365" s="53"/>
      <x:c r="K1365" s="53"/>
      <x:c r="L1365" s="53"/>
      <x:c r="M1365" s="53"/>
      <x:c r="N1365" s="53"/>
      <x:c r="O1365" s="53"/>
      <x:c r="P1365" s="53"/>
      <x:c r="Q1365" s="53"/>
      <x:c r="R1365" s="53"/>
      <x:c r="S1365" s="53"/>
      <x:c r="T1365" s="53"/>
      <x:c r="U1365" s="53"/>
      <x:c r="V1365" s="53"/>
      <x:c r="W1365" s="53"/>
      <x:c r="X1365" s="53"/>
      <x:c r="Y1365" s="53"/>
      <x:c r="Z1365" s="53"/>
      <x:c r="AA1365" s="53"/>
      <x:c r="AB1365" s="53"/>
      <x:c r="AC1365" s="53"/>
      <x:c r="AD1365" s="53"/>
      <x:c r="AE1365" s="53"/>
      <x:c r="AF1365" s="53"/>
    </x:row>
    <x:row r="1366">
      <x:c r="A1366" s="53"/>
      <x:c r="B1366" s="53"/>
      <x:c r="C1366" s="53"/>
      <x:c r="D1366" s="53"/>
      <x:c r="E1366" s="53"/>
      <x:c r="F1366" s="53"/>
      <x:c r="G1366" s="53"/>
      <x:c r="H1366" s="53"/>
      <x:c r="I1366" s="53"/>
      <x:c r="J1366" s="53"/>
      <x:c r="K1366" s="53"/>
      <x:c r="L1366" s="53"/>
      <x:c r="M1366" s="53"/>
      <x:c r="N1366" s="53"/>
      <x:c r="O1366" s="53"/>
      <x:c r="P1366" s="53"/>
      <x:c r="Q1366" s="53"/>
      <x:c r="R1366" s="53"/>
      <x:c r="S1366" s="53"/>
      <x:c r="T1366" s="53"/>
      <x:c r="U1366" s="53"/>
      <x:c r="V1366" s="53"/>
      <x:c r="W1366" s="53"/>
      <x:c r="X1366" s="53"/>
      <x:c r="Y1366" s="53"/>
      <x:c r="Z1366" s="53"/>
      <x:c r="AA1366" s="53"/>
      <x:c r="AB1366" s="53"/>
      <x:c r="AC1366" s="53"/>
      <x:c r="AD1366" s="53"/>
      <x:c r="AE1366" s="53"/>
      <x:c r="AF1366" s="53"/>
    </x:row>
    <x:row r="1367">
      <x:c r="A1367" s="53"/>
      <x:c r="B1367" s="53"/>
      <x:c r="C1367" s="53"/>
      <x:c r="D1367" s="53"/>
      <x:c r="E1367" s="53"/>
      <x:c r="F1367" s="53"/>
      <x:c r="G1367" s="53"/>
      <x:c r="H1367" s="53"/>
      <x:c r="I1367" s="53"/>
      <x:c r="J1367" s="53"/>
      <x:c r="K1367" s="53"/>
      <x:c r="L1367" s="53"/>
      <x:c r="M1367" s="53"/>
      <x:c r="N1367" s="53"/>
      <x:c r="O1367" s="53"/>
      <x:c r="P1367" s="53"/>
      <x:c r="Q1367" s="53"/>
      <x:c r="R1367" s="53"/>
      <x:c r="S1367" s="53"/>
      <x:c r="T1367" s="53"/>
      <x:c r="U1367" s="53"/>
      <x:c r="V1367" s="53"/>
      <x:c r="W1367" s="53"/>
      <x:c r="X1367" s="53"/>
      <x:c r="Y1367" s="53"/>
      <x:c r="Z1367" s="53"/>
      <x:c r="AA1367" s="53"/>
      <x:c r="AB1367" s="53"/>
      <x:c r="AC1367" s="53"/>
      <x:c r="AD1367" s="53"/>
      <x:c r="AE1367" s="53"/>
      <x:c r="AF1367" s="53"/>
    </x:row>
    <x:row r="1368">
      <x:c r="A1368" s="53"/>
      <x:c r="B1368" s="53"/>
      <x:c r="C1368" s="53"/>
      <x:c r="D1368" s="53"/>
      <x:c r="E1368" s="53"/>
      <x:c r="F1368" s="53"/>
      <x:c r="G1368" s="53"/>
      <x:c r="H1368" s="53"/>
      <x:c r="I1368" s="53"/>
      <x:c r="J1368" s="53"/>
      <x:c r="K1368" s="53"/>
      <x:c r="L1368" s="53"/>
      <x:c r="M1368" s="53"/>
      <x:c r="N1368" s="53"/>
      <x:c r="O1368" s="53"/>
      <x:c r="P1368" s="53"/>
      <x:c r="Q1368" s="53"/>
      <x:c r="R1368" s="53"/>
      <x:c r="S1368" s="53"/>
      <x:c r="T1368" s="53"/>
      <x:c r="U1368" s="53"/>
      <x:c r="V1368" s="53"/>
      <x:c r="W1368" s="53"/>
      <x:c r="X1368" s="53"/>
      <x:c r="Y1368" s="53"/>
      <x:c r="Z1368" s="53"/>
      <x:c r="AA1368" s="53"/>
      <x:c r="AB1368" s="53"/>
      <x:c r="AC1368" s="53"/>
      <x:c r="AD1368" s="53"/>
      <x:c r="AE1368" s="53"/>
      <x:c r="AF1368" s="53"/>
    </x:row>
    <x:row r="1369">
      <x:c r="A1369" s="53"/>
      <x:c r="B1369" s="53"/>
      <x:c r="C1369" s="53"/>
      <x:c r="D1369" s="53"/>
      <x:c r="E1369" s="53"/>
      <x:c r="F1369" s="53"/>
      <x:c r="G1369" s="53"/>
      <x:c r="H1369" s="53"/>
      <x:c r="I1369" s="53"/>
      <x:c r="J1369" s="53"/>
      <x:c r="K1369" s="53"/>
      <x:c r="L1369" s="53"/>
      <x:c r="M1369" s="53"/>
      <x:c r="N1369" s="53"/>
      <x:c r="O1369" s="53"/>
      <x:c r="P1369" s="53"/>
      <x:c r="Q1369" s="53"/>
      <x:c r="R1369" s="53"/>
      <x:c r="S1369" s="53"/>
      <x:c r="T1369" s="53"/>
      <x:c r="U1369" s="53"/>
      <x:c r="V1369" s="53"/>
      <x:c r="W1369" s="53"/>
      <x:c r="X1369" s="53"/>
      <x:c r="Y1369" s="53"/>
      <x:c r="Z1369" s="53"/>
      <x:c r="AA1369" s="53"/>
      <x:c r="AB1369" s="53"/>
      <x:c r="AC1369" s="53"/>
      <x:c r="AD1369" s="53"/>
      <x:c r="AE1369" s="53"/>
      <x:c r="AF1369" s="53"/>
    </x:row>
    <x:row r="1370">
      <x:c r="A1370" s="53"/>
      <x:c r="B1370" s="53"/>
      <x:c r="C1370" s="53"/>
      <x:c r="D1370" s="53"/>
      <x:c r="E1370" s="53"/>
      <x:c r="F1370" s="53"/>
      <x:c r="G1370" s="53"/>
      <x:c r="H1370" s="53"/>
      <x:c r="I1370" s="53"/>
      <x:c r="J1370" s="53"/>
      <x:c r="K1370" s="53"/>
      <x:c r="L1370" s="53"/>
      <x:c r="M1370" s="53"/>
      <x:c r="N1370" s="53"/>
      <x:c r="O1370" s="53"/>
      <x:c r="P1370" s="53"/>
      <x:c r="Q1370" s="53"/>
      <x:c r="R1370" s="53"/>
      <x:c r="S1370" s="53"/>
      <x:c r="T1370" s="53"/>
      <x:c r="U1370" s="53"/>
      <x:c r="V1370" s="53"/>
      <x:c r="W1370" s="53"/>
      <x:c r="X1370" s="53"/>
      <x:c r="Y1370" s="53"/>
      <x:c r="Z1370" s="53"/>
      <x:c r="AA1370" s="53"/>
      <x:c r="AB1370" s="53"/>
      <x:c r="AC1370" s="53"/>
      <x:c r="AD1370" s="53"/>
      <x:c r="AE1370" s="53"/>
      <x:c r="AF1370" s="53"/>
    </x:row>
    <x:row r="1371">
      <x:c r="A1371" s="53"/>
      <x:c r="B1371" s="53"/>
      <x:c r="C1371" s="53"/>
      <x:c r="D1371" s="53"/>
      <x:c r="E1371" s="53"/>
      <x:c r="F1371" s="53"/>
      <x:c r="G1371" s="53"/>
      <x:c r="H1371" s="53"/>
      <x:c r="I1371" s="53"/>
      <x:c r="J1371" s="53"/>
      <x:c r="K1371" s="53"/>
      <x:c r="L1371" s="53"/>
      <x:c r="M1371" s="53"/>
      <x:c r="N1371" s="53"/>
      <x:c r="O1371" s="53"/>
      <x:c r="P1371" s="53"/>
      <x:c r="Q1371" s="53"/>
      <x:c r="R1371" s="53"/>
      <x:c r="S1371" s="53"/>
      <x:c r="T1371" s="53"/>
      <x:c r="U1371" s="53"/>
      <x:c r="V1371" s="53"/>
      <x:c r="W1371" s="53"/>
      <x:c r="X1371" s="53"/>
      <x:c r="Y1371" s="53"/>
      <x:c r="Z1371" s="53"/>
      <x:c r="AA1371" s="53"/>
      <x:c r="AB1371" s="53"/>
      <x:c r="AC1371" s="53"/>
      <x:c r="AD1371" s="53"/>
      <x:c r="AE1371" s="53"/>
      <x:c r="AF1371" s="53"/>
    </x:row>
    <x:row r="1372">
      <x:c r="A1372" s="53"/>
      <x:c r="B1372" s="53"/>
      <x:c r="C1372" s="53"/>
      <x:c r="D1372" s="53"/>
      <x:c r="E1372" s="53"/>
      <x:c r="F1372" s="53"/>
      <x:c r="G1372" s="53"/>
      <x:c r="H1372" s="53"/>
      <x:c r="I1372" s="53"/>
      <x:c r="J1372" s="53"/>
      <x:c r="K1372" s="53"/>
      <x:c r="L1372" s="53"/>
      <x:c r="M1372" s="53"/>
      <x:c r="N1372" s="53"/>
      <x:c r="O1372" s="53"/>
      <x:c r="P1372" s="53"/>
      <x:c r="Q1372" s="53"/>
      <x:c r="R1372" s="53"/>
      <x:c r="S1372" s="53"/>
      <x:c r="T1372" s="53"/>
      <x:c r="U1372" s="53"/>
      <x:c r="V1372" s="53"/>
      <x:c r="W1372" s="53"/>
      <x:c r="X1372" s="53"/>
      <x:c r="Y1372" s="53"/>
      <x:c r="Z1372" s="53"/>
      <x:c r="AA1372" s="53"/>
      <x:c r="AB1372" s="53"/>
      <x:c r="AC1372" s="53"/>
      <x:c r="AD1372" s="53"/>
      <x:c r="AE1372" s="53"/>
      <x:c r="AF1372" s="53"/>
    </x:row>
    <x:row r="1373">
      <x:c r="A1373" s="53"/>
      <x:c r="B1373" s="53"/>
      <x:c r="C1373" s="53"/>
      <x:c r="D1373" s="53"/>
      <x:c r="E1373" s="53"/>
      <x:c r="F1373" s="53"/>
      <x:c r="G1373" s="53"/>
      <x:c r="H1373" s="53"/>
      <x:c r="I1373" s="53"/>
      <x:c r="J1373" s="53"/>
      <x:c r="K1373" s="53"/>
      <x:c r="L1373" s="53"/>
      <x:c r="M1373" s="53"/>
      <x:c r="N1373" s="53"/>
      <x:c r="O1373" s="53"/>
      <x:c r="P1373" s="53"/>
      <x:c r="Q1373" s="53"/>
      <x:c r="R1373" s="53"/>
      <x:c r="S1373" s="53"/>
      <x:c r="T1373" s="53"/>
      <x:c r="U1373" s="53"/>
      <x:c r="V1373" s="53"/>
      <x:c r="W1373" s="53"/>
      <x:c r="X1373" s="53"/>
      <x:c r="Y1373" s="53"/>
      <x:c r="Z1373" s="53"/>
      <x:c r="AA1373" s="53"/>
      <x:c r="AB1373" s="53"/>
      <x:c r="AC1373" s="53"/>
      <x:c r="AD1373" s="53"/>
      <x:c r="AE1373" s="53"/>
      <x:c r="AF1373" s="53"/>
    </x:row>
    <x:row r="1374">
      <x:c r="A1374" s="53"/>
      <x:c r="B1374" s="53"/>
      <x:c r="C1374" s="53"/>
      <x:c r="D1374" s="53"/>
      <x:c r="E1374" s="53"/>
      <x:c r="F1374" s="53"/>
      <x:c r="G1374" s="53"/>
      <x:c r="H1374" s="53"/>
      <x:c r="I1374" s="53"/>
      <x:c r="J1374" s="53"/>
      <x:c r="K1374" s="53"/>
      <x:c r="L1374" s="53"/>
      <x:c r="M1374" s="53"/>
      <x:c r="N1374" s="53"/>
      <x:c r="O1374" s="53"/>
      <x:c r="P1374" s="53"/>
      <x:c r="Q1374" s="53"/>
      <x:c r="R1374" s="53"/>
      <x:c r="S1374" s="53"/>
      <x:c r="T1374" s="53"/>
      <x:c r="U1374" s="53"/>
      <x:c r="V1374" s="53"/>
      <x:c r="W1374" s="53"/>
      <x:c r="X1374" s="53"/>
      <x:c r="Y1374" s="53"/>
      <x:c r="Z1374" s="53"/>
      <x:c r="AA1374" s="53"/>
      <x:c r="AB1374" s="53"/>
      <x:c r="AC1374" s="53"/>
      <x:c r="AD1374" s="53"/>
      <x:c r="AE1374" s="53"/>
      <x:c r="AF1374" s="53"/>
    </x:row>
    <x:row r="1375">
      <x:c r="A1375" s="53"/>
      <x:c r="B1375" s="53"/>
      <x:c r="C1375" s="53"/>
      <x:c r="D1375" s="53"/>
      <x:c r="E1375" s="53"/>
      <x:c r="F1375" s="53"/>
      <x:c r="G1375" s="53"/>
      <x:c r="H1375" s="53"/>
      <x:c r="I1375" s="53"/>
      <x:c r="J1375" s="53"/>
      <x:c r="K1375" s="53"/>
      <x:c r="L1375" s="53"/>
      <x:c r="M1375" s="53"/>
      <x:c r="N1375" s="53"/>
      <x:c r="O1375" s="53"/>
      <x:c r="P1375" s="53"/>
      <x:c r="Q1375" s="53"/>
      <x:c r="R1375" s="53"/>
      <x:c r="S1375" s="53"/>
      <x:c r="T1375" s="53"/>
      <x:c r="U1375" s="53"/>
      <x:c r="V1375" s="53"/>
      <x:c r="W1375" s="53"/>
      <x:c r="X1375" s="53"/>
      <x:c r="Y1375" s="53"/>
      <x:c r="Z1375" s="53"/>
      <x:c r="AA1375" s="53"/>
      <x:c r="AB1375" s="53"/>
      <x:c r="AC1375" s="53"/>
      <x:c r="AD1375" s="53"/>
      <x:c r="AE1375" s="53"/>
      <x:c r="AF1375" s="53"/>
    </x:row>
    <x:row r="1376">
      <x:c r="A1376" s="53"/>
      <x:c r="B1376" s="53"/>
      <x:c r="C1376" s="53"/>
      <x:c r="D1376" s="53"/>
      <x:c r="E1376" s="53"/>
      <x:c r="F1376" s="53"/>
      <x:c r="G1376" s="53"/>
      <x:c r="H1376" s="53"/>
      <x:c r="I1376" s="53"/>
      <x:c r="J1376" s="53"/>
      <x:c r="K1376" s="53"/>
      <x:c r="L1376" s="53"/>
      <x:c r="M1376" s="53"/>
      <x:c r="N1376" s="53"/>
      <x:c r="O1376" s="53"/>
      <x:c r="P1376" s="53"/>
      <x:c r="Q1376" s="53"/>
      <x:c r="R1376" s="53"/>
      <x:c r="S1376" s="53"/>
      <x:c r="T1376" s="53"/>
      <x:c r="U1376" s="53"/>
      <x:c r="V1376" s="53"/>
      <x:c r="W1376" s="53"/>
      <x:c r="X1376" s="53"/>
      <x:c r="Y1376" s="53"/>
      <x:c r="Z1376" s="53"/>
      <x:c r="AA1376" s="53"/>
      <x:c r="AB1376" s="53"/>
      <x:c r="AC1376" s="53"/>
      <x:c r="AD1376" s="53"/>
      <x:c r="AE1376" s="53"/>
      <x:c r="AF1376" s="53"/>
    </x:row>
    <x:row r="1377">
      <x:c r="A1377" s="53"/>
      <x:c r="B1377" s="53"/>
      <x:c r="C1377" s="53"/>
      <x:c r="D1377" s="53"/>
      <x:c r="E1377" s="53"/>
      <x:c r="F1377" s="53"/>
      <x:c r="G1377" s="53"/>
      <x:c r="H1377" s="53"/>
      <x:c r="I1377" s="53"/>
      <x:c r="J1377" s="53"/>
      <x:c r="K1377" s="53"/>
      <x:c r="L1377" s="53"/>
      <x:c r="M1377" s="53"/>
      <x:c r="N1377" s="53"/>
      <x:c r="O1377" s="53"/>
      <x:c r="P1377" s="53"/>
      <x:c r="Q1377" s="53"/>
      <x:c r="R1377" s="53"/>
      <x:c r="S1377" s="53"/>
      <x:c r="T1377" s="53"/>
      <x:c r="U1377" s="53"/>
      <x:c r="V1377" s="53"/>
      <x:c r="W1377" s="53"/>
      <x:c r="X1377" s="53"/>
      <x:c r="Y1377" s="53"/>
      <x:c r="Z1377" s="53"/>
      <x:c r="AA1377" s="53"/>
      <x:c r="AB1377" s="53"/>
      <x:c r="AC1377" s="53"/>
      <x:c r="AD1377" s="53"/>
      <x:c r="AE1377" s="53"/>
      <x:c r="AF1377" s="53"/>
    </x:row>
    <x:row r="1378">
      <x:c r="A1378" s="53"/>
      <x:c r="B1378" s="53"/>
      <x:c r="C1378" s="53"/>
      <x:c r="D1378" s="53"/>
      <x:c r="E1378" s="53"/>
      <x:c r="F1378" s="53"/>
      <x:c r="G1378" s="53"/>
      <x:c r="H1378" s="53"/>
      <x:c r="I1378" s="53"/>
      <x:c r="J1378" s="53"/>
      <x:c r="K1378" s="53"/>
      <x:c r="L1378" s="53"/>
      <x:c r="M1378" s="53"/>
      <x:c r="N1378" s="53"/>
      <x:c r="O1378" s="53"/>
      <x:c r="P1378" s="53"/>
      <x:c r="Q1378" s="53"/>
      <x:c r="R1378" s="53"/>
      <x:c r="S1378" s="53"/>
      <x:c r="T1378" s="53"/>
      <x:c r="U1378" s="53"/>
      <x:c r="V1378" s="53"/>
      <x:c r="W1378" s="53"/>
      <x:c r="X1378" s="53"/>
      <x:c r="Y1378" s="53"/>
      <x:c r="Z1378" s="53"/>
      <x:c r="AA1378" s="53"/>
      <x:c r="AB1378" s="53"/>
      <x:c r="AC1378" s="53"/>
      <x:c r="AD1378" s="53"/>
      <x:c r="AE1378" s="53"/>
      <x:c r="AF1378" s="53"/>
    </x:row>
    <x:row r="1379">
      <x:c r="A1379" s="53"/>
      <x:c r="B1379" s="53"/>
      <x:c r="C1379" s="53"/>
      <x:c r="D1379" s="53"/>
      <x:c r="E1379" s="53"/>
      <x:c r="F1379" s="53"/>
      <x:c r="G1379" s="53"/>
      <x:c r="H1379" s="53"/>
      <x:c r="I1379" s="53"/>
      <x:c r="J1379" s="53"/>
      <x:c r="K1379" s="53"/>
      <x:c r="L1379" s="53"/>
      <x:c r="M1379" s="53"/>
      <x:c r="N1379" s="53"/>
      <x:c r="O1379" s="53"/>
      <x:c r="P1379" s="53"/>
      <x:c r="Q1379" s="53"/>
      <x:c r="R1379" s="53"/>
      <x:c r="S1379" s="53"/>
      <x:c r="T1379" s="53"/>
      <x:c r="U1379" s="53"/>
      <x:c r="V1379" s="53"/>
      <x:c r="W1379" s="53"/>
      <x:c r="X1379" s="53"/>
      <x:c r="Y1379" s="53"/>
      <x:c r="Z1379" s="53"/>
      <x:c r="AA1379" s="53"/>
      <x:c r="AB1379" s="53"/>
      <x:c r="AC1379" s="53"/>
      <x:c r="AD1379" s="53"/>
      <x:c r="AE1379" s="53"/>
      <x:c r="AF1379" s="53"/>
    </x:row>
    <x:row r="1380">
      <x:c r="A1380" s="53"/>
      <x:c r="B1380" s="53"/>
      <x:c r="C1380" s="53"/>
      <x:c r="D1380" s="53"/>
      <x:c r="E1380" s="53"/>
      <x:c r="F1380" s="53"/>
      <x:c r="G1380" s="53"/>
      <x:c r="H1380" s="53"/>
      <x:c r="I1380" s="53"/>
      <x:c r="J1380" s="53"/>
      <x:c r="K1380" s="53"/>
      <x:c r="L1380" s="53"/>
      <x:c r="M1380" s="53"/>
      <x:c r="N1380" s="53"/>
      <x:c r="O1380" s="53"/>
      <x:c r="P1380" s="53"/>
      <x:c r="Q1380" s="53"/>
      <x:c r="R1380" s="53"/>
      <x:c r="S1380" s="53"/>
      <x:c r="T1380" s="53"/>
      <x:c r="U1380" s="53"/>
      <x:c r="V1380" s="53"/>
      <x:c r="W1380" s="53"/>
      <x:c r="X1380" s="53"/>
      <x:c r="Y1380" s="53"/>
      <x:c r="Z1380" s="53"/>
      <x:c r="AA1380" s="53"/>
      <x:c r="AB1380" s="53"/>
      <x:c r="AC1380" s="53"/>
      <x:c r="AD1380" s="53"/>
      <x:c r="AE1380" s="53"/>
      <x:c r="AF1380" s="53"/>
    </x:row>
    <x:row r="1381">
      <x:c r="A1381" s="53"/>
      <x:c r="B1381" s="53"/>
      <x:c r="C1381" s="53"/>
      <x:c r="D1381" s="53"/>
      <x:c r="E1381" s="53"/>
      <x:c r="F1381" s="53"/>
      <x:c r="G1381" s="53"/>
      <x:c r="H1381" s="53"/>
      <x:c r="I1381" s="53"/>
      <x:c r="J1381" s="53"/>
      <x:c r="K1381" s="53"/>
      <x:c r="L1381" s="53"/>
      <x:c r="M1381" s="53"/>
      <x:c r="N1381" s="53"/>
      <x:c r="O1381" s="53"/>
      <x:c r="P1381" s="53"/>
      <x:c r="Q1381" s="53"/>
      <x:c r="R1381" s="53"/>
      <x:c r="S1381" s="53"/>
      <x:c r="T1381" s="53"/>
      <x:c r="U1381" s="53"/>
      <x:c r="V1381" s="53"/>
      <x:c r="W1381" s="53"/>
      <x:c r="X1381" s="53"/>
      <x:c r="Y1381" s="53"/>
      <x:c r="Z1381" s="53"/>
      <x:c r="AA1381" s="53"/>
      <x:c r="AB1381" s="53"/>
      <x:c r="AC1381" s="53"/>
      <x:c r="AD1381" s="53"/>
      <x:c r="AE1381" s="53"/>
      <x:c r="AF1381" s="53"/>
    </x:row>
    <x:row r="1382">
      <x:c r="A1382" s="53"/>
      <x:c r="B1382" s="53"/>
      <x:c r="C1382" s="53"/>
      <x:c r="D1382" s="53"/>
      <x:c r="E1382" s="53"/>
      <x:c r="F1382" s="53"/>
      <x:c r="G1382" s="53"/>
      <x:c r="H1382" s="53"/>
      <x:c r="I1382" s="53"/>
      <x:c r="J1382" s="53"/>
      <x:c r="K1382" s="53"/>
      <x:c r="L1382" s="53"/>
      <x:c r="M1382" s="53"/>
      <x:c r="N1382" s="53"/>
      <x:c r="O1382" s="53"/>
      <x:c r="P1382" s="53"/>
      <x:c r="Q1382" s="53"/>
      <x:c r="R1382" s="53"/>
      <x:c r="S1382" s="53"/>
      <x:c r="T1382" s="53"/>
      <x:c r="U1382" s="53"/>
      <x:c r="V1382" s="53"/>
      <x:c r="W1382" s="53"/>
      <x:c r="X1382" s="53"/>
      <x:c r="Y1382" s="53"/>
      <x:c r="Z1382" s="53"/>
      <x:c r="AA1382" s="53"/>
      <x:c r="AB1382" s="53"/>
      <x:c r="AC1382" s="53"/>
      <x:c r="AD1382" s="53"/>
      <x:c r="AE1382" s="53"/>
      <x:c r="AF1382" s="53"/>
    </x:row>
    <x:row r="1383">
      <x:c r="A1383" s="53"/>
      <x:c r="B1383" s="53"/>
      <x:c r="C1383" s="53"/>
      <x:c r="D1383" s="53"/>
      <x:c r="E1383" s="53"/>
      <x:c r="F1383" s="53"/>
      <x:c r="G1383" s="53"/>
      <x:c r="H1383" s="53"/>
      <x:c r="I1383" s="53"/>
      <x:c r="J1383" s="53"/>
      <x:c r="K1383" s="53"/>
      <x:c r="L1383" s="53"/>
      <x:c r="M1383" s="53"/>
      <x:c r="N1383" s="53"/>
      <x:c r="O1383" s="53"/>
      <x:c r="P1383" s="53"/>
      <x:c r="Q1383" s="53"/>
      <x:c r="R1383" s="53"/>
      <x:c r="S1383" s="53"/>
      <x:c r="T1383" s="53"/>
      <x:c r="U1383" s="53"/>
      <x:c r="V1383" s="53"/>
      <x:c r="W1383" s="53"/>
      <x:c r="X1383" s="53"/>
      <x:c r="Y1383" s="53"/>
      <x:c r="Z1383" s="53"/>
      <x:c r="AA1383" s="53"/>
      <x:c r="AB1383" s="53"/>
      <x:c r="AC1383" s="53"/>
      <x:c r="AD1383" s="53"/>
      <x:c r="AE1383" s="53"/>
      <x:c r="AF1383" s="53"/>
    </x:row>
    <x:row r="1384">
      <x:c r="A1384" s="53"/>
      <x:c r="B1384" s="53"/>
      <x:c r="C1384" s="53"/>
      <x:c r="D1384" s="53"/>
      <x:c r="E1384" s="53"/>
      <x:c r="F1384" s="53"/>
      <x:c r="G1384" s="53"/>
      <x:c r="H1384" s="53"/>
      <x:c r="I1384" s="53"/>
      <x:c r="J1384" s="53"/>
      <x:c r="K1384" s="53"/>
      <x:c r="L1384" s="53"/>
      <x:c r="M1384" s="53"/>
      <x:c r="N1384" s="53"/>
      <x:c r="O1384" s="53"/>
      <x:c r="P1384" s="53"/>
      <x:c r="Q1384" s="53"/>
      <x:c r="R1384" s="53"/>
      <x:c r="S1384" s="53"/>
      <x:c r="T1384" s="53"/>
      <x:c r="U1384" s="53"/>
      <x:c r="V1384" s="53"/>
      <x:c r="W1384" s="53"/>
      <x:c r="X1384" s="53"/>
      <x:c r="Y1384" s="53"/>
      <x:c r="Z1384" s="53"/>
      <x:c r="AA1384" s="53"/>
      <x:c r="AB1384" s="53"/>
      <x:c r="AC1384" s="53"/>
      <x:c r="AD1384" s="53"/>
      <x:c r="AE1384" s="53"/>
      <x:c r="AF1384" s="53"/>
    </x:row>
    <x:row r="1385">
      <x:c r="A1385" s="53"/>
      <x:c r="B1385" s="53"/>
      <x:c r="C1385" s="53"/>
      <x:c r="D1385" s="53"/>
      <x:c r="E1385" s="53"/>
      <x:c r="F1385" s="53"/>
      <x:c r="G1385" s="53"/>
      <x:c r="H1385" s="53"/>
      <x:c r="I1385" s="53"/>
      <x:c r="J1385" s="53"/>
      <x:c r="K1385" s="53"/>
      <x:c r="L1385" s="53"/>
      <x:c r="M1385" s="53"/>
      <x:c r="N1385" s="53"/>
      <x:c r="O1385" s="53"/>
      <x:c r="P1385" s="53"/>
      <x:c r="Q1385" s="53"/>
      <x:c r="R1385" s="53"/>
      <x:c r="S1385" s="53"/>
      <x:c r="T1385" s="53"/>
      <x:c r="U1385" s="53"/>
      <x:c r="V1385" s="53"/>
      <x:c r="W1385" s="53"/>
      <x:c r="X1385" s="53"/>
      <x:c r="Y1385" s="53"/>
      <x:c r="Z1385" s="53"/>
      <x:c r="AA1385" s="53"/>
      <x:c r="AB1385" s="53"/>
      <x:c r="AC1385" s="53"/>
      <x:c r="AD1385" s="53"/>
      <x:c r="AE1385" s="53"/>
      <x:c r="AF1385" s="53"/>
    </x:row>
    <x:row r="1386">
      <x:c r="A1386" s="53"/>
      <x:c r="B1386" s="53"/>
      <x:c r="C1386" s="53"/>
      <x:c r="D1386" s="53"/>
      <x:c r="E1386" s="53"/>
      <x:c r="F1386" s="53"/>
      <x:c r="G1386" s="53"/>
      <x:c r="H1386" s="53"/>
      <x:c r="I1386" s="53"/>
      <x:c r="J1386" s="53"/>
      <x:c r="K1386" s="53"/>
      <x:c r="L1386" s="53"/>
      <x:c r="M1386" s="53"/>
      <x:c r="N1386" s="53"/>
      <x:c r="O1386" s="53"/>
      <x:c r="P1386" s="53"/>
      <x:c r="Q1386" s="53"/>
      <x:c r="R1386" s="53"/>
      <x:c r="S1386" s="53"/>
      <x:c r="T1386" s="53"/>
      <x:c r="U1386" s="53"/>
      <x:c r="V1386" s="53"/>
      <x:c r="W1386" s="53"/>
      <x:c r="X1386" s="53"/>
      <x:c r="Y1386" s="53"/>
      <x:c r="Z1386" s="53"/>
      <x:c r="AA1386" s="53"/>
      <x:c r="AB1386" s="53"/>
      <x:c r="AC1386" s="53"/>
      <x:c r="AD1386" s="53"/>
      <x:c r="AE1386" s="53"/>
      <x:c r="AF1386" s="53"/>
    </x:row>
    <x:row r="1387">
      <x:c r="A1387" s="53"/>
      <x:c r="B1387" s="53"/>
      <x:c r="C1387" s="53"/>
      <x:c r="D1387" s="53"/>
      <x:c r="E1387" s="53"/>
      <x:c r="F1387" s="53"/>
      <x:c r="G1387" s="53"/>
      <x:c r="H1387" s="53"/>
      <x:c r="I1387" s="53"/>
      <x:c r="J1387" s="53"/>
      <x:c r="K1387" s="53"/>
      <x:c r="L1387" s="53"/>
      <x:c r="M1387" s="53"/>
      <x:c r="N1387" s="53"/>
      <x:c r="O1387" s="53"/>
      <x:c r="P1387" s="53"/>
      <x:c r="Q1387" s="53"/>
      <x:c r="R1387" s="53"/>
      <x:c r="S1387" s="53"/>
      <x:c r="T1387" s="53"/>
      <x:c r="U1387" s="53"/>
      <x:c r="V1387" s="53"/>
      <x:c r="W1387" s="53"/>
      <x:c r="X1387" s="53"/>
      <x:c r="Y1387" s="53"/>
      <x:c r="Z1387" s="53"/>
      <x:c r="AA1387" s="53"/>
      <x:c r="AB1387" s="53"/>
      <x:c r="AC1387" s="53"/>
      <x:c r="AD1387" s="53"/>
      <x:c r="AE1387" s="53"/>
      <x:c r="AF1387" s="53"/>
    </x:row>
    <x:row r="1388">
      <x:c r="A1388" s="53"/>
      <x:c r="B1388" s="53"/>
      <x:c r="C1388" s="53"/>
      <x:c r="D1388" s="53"/>
      <x:c r="E1388" s="53"/>
      <x:c r="F1388" s="53"/>
      <x:c r="G1388" s="53"/>
      <x:c r="H1388" s="53"/>
      <x:c r="I1388" s="53"/>
      <x:c r="J1388" s="53"/>
      <x:c r="K1388" s="53"/>
      <x:c r="L1388" s="53"/>
      <x:c r="M1388" s="53"/>
      <x:c r="N1388" s="53"/>
      <x:c r="O1388" s="53"/>
      <x:c r="P1388" s="53"/>
      <x:c r="Q1388" s="53"/>
      <x:c r="R1388" s="53"/>
      <x:c r="S1388" s="53"/>
      <x:c r="T1388" s="53"/>
      <x:c r="U1388" s="53"/>
      <x:c r="V1388" s="53"/>
      <x:c r="W1388" s="53"/>
      <x:c r="X1388" s="53"/>
      <x:c r="Y1388" s="53"/>
      <x:c r="Z1388" s="53"/>
      <x:c r="AA1388" s="53"/>
      <x:c r="AB1388" s="53"/>
      <x:c r="AC1388" s="53"/>
      <x:c r="AD1388" s="53"/>
      <x:c r="AE1388" s="53"/>
      <x:c r="AF1388" s="53"/>
    </x:row>
    <x:row r="1389">
      <x:c r="A1389" s="53"/>
      <x:c r="B1389" s="53"/>
      <x:c r="C1389" s="53"/>
      <x:c r="D1389" s="53"/>
      <x:c r="E1389" s="53"/>
      <x:c r="F1389" s="53"/>
      <x:c r="G1389" s="53"/>
      <x:c r="H1389" s="53"/>
      <x:c r="I1389" s="53"/>
      <x:c r="J1389" s="53"/>
      <x:c r="K1389" s="53"/>
      <x:c r="L1389" s="53"/>
      <x:c r="M1389" s="53"/>
      <x:c r="N1389" s="53"/>
      <x:c r="O1389" s="53"/>
      <x:c r="P1389" s="53"/>
      <x:c r="Q1389" s="53"/>
      <x:c r="R1389" s="53"/>
      <x:c r="S1389" s="53"/>
      <x:c r="T1389" s="53"/>
      <x:c r="U1389" s="53"/>
      <x:c r="V1389" s="53"/>
      <x:c r="W1389" s="53"/>
      <x:c r="X1389" s="53"/>
      <x:c r="Y1389" s="53"/>
      <x:c r="Z1389" s="53"/>
      <x:c r="AA1389" s="53"/>
      <x:c r="AB1389" s="53"/>
      <x:c r="AC1389" s="53"/>
      <x:c r="AD1389" s="53"/>
      <x:c r="AE1389" s="53"/>
      <x:c r="AF1389" s="53"/>
    </x:row>
    <x:row r="1390">
      <x:c r="A1390" s="53"/>
      <x:c r="B1390" s="53"/>
      <x:c r="C1390" s="53"/>
      <x:c r="D1390" s="53"/>
      <x:c r="E1390" s="53"/>
      <x:c r="F1390" s="53"/>
      <x:c r="G1390" s="53"/>
      <x:c r="H1390" s="53"/>
      <x:c r="I1390" s="53"/>
      <x:c r="J1390" s="53"/>
      <x:c r="K1390" s="53"/>
      <x:c r="L1390" s="53"/>
      <x:c r="M1390" s="53"/>
      <x:c r="N1390" s="53"/>
      <x:c r="O1390" s="53"/>
      <x:c r="P1390" s="53"/>
      <x:c r="Q1390" s="53"/>
      <x:c r="R1390" s="53"/>
      <x:c r="S1390" s="53"/>
      <x:c r="T1390" s="53"/>
      <x:c r="U1390" s="53"/>
      <x:c r="V1390" s="53"/>
      <x:c r="W1390" s="53"/>
      <x:c r="X1390" s="53"/>
      <x:c r="Y1390" s="53"/>
      <x:c r="Z1390" s="53"/>
      <x:c r="AA1390" s="53"/>
      <x:c r="AB1390" s="53"/>
      <x:c r="AC1390" s="53"/>
      <x:c r="AD1390" s="53"/>
      <x:c r="AE1390" s="53"/>
      <x:c r="AF1390" s="53"/>
    </x:row>
    <x:row r="1391">
      <x:c r="A1391" s="53"/>
      <x:c r="B1391" s="53"/>
      <x:c r="C1391" s="53"/>
      <x:c r="D1391" s="53"/>
      <x:c r="E1391" s="53"/>
      <x:c r="F1391" s="53"/>
      <x:c r="G1391" s="53"/>
      <x:c r="H1391" s="53"/>
      <x:c r="I1391" s="53"/>
      <x:c r="J1391" s="53"/>
      <x:c r="K1391" s="53"/>
      <x:c r="L1391" s="53"/>
      <x:c r="M1391" s="53"/>
      <x:c r="N1391" s="53"/>
      <x:c r="O1391" s="53"/>
      <x:c r="P1391" s="53"/>
      <x:c r="Q1391" s="53"/>
      <x:c r="R1391" s="53"/>
      <x:c r="S1391" s="53"/>
      <x:c r="T1391" s="53"/>
      <x:c r="U1391" s="53"/>
      <x:c r="V1391" s="53"/>
      <x:c r="W1391" s="53"/>
      <x:c r="X1391" s="53"/>
      <x:c r="Y1391" s="53"/>
      <x:c r="Z1391" s="53"/>
      <x:c r="AA1391" s="53"/>
      <x:c r="AB1391" s="53"/>
      <x:c r="AC1391" s="53"/>
      <x:c r="AD1391" s="53"/>
      <x:c r="AE1391" s="53"/>
      <x:c r="AF1391" s="53"/>
    </x:row>
    <x:row r="1392">
      <x:c r="A1392" s="53"/>
      <x:c r="B1392" s="53"/>
      <x:c r="C1392" s="53"/>
      <x:c r="D1392" s="53"/>
      <x:c r="E1392" s="53"/>
      <x:c r="F1392" s="53"/>
      <x:c r="G1392" s="53"/>
      <x:c r="H1392" s="53"/>
      <x:c r="I1392" s="53"/>
      <x:c r="J1392" s="53"/>
      <x:c r="K1392" s="53"/>
      <x:c r="L1392" s="53"/>
      <x:c r="M1392" s="53"/>
      <x:c r="N1392" s="53"/>
      <x:c r="O1392" s="53"/>
      <x:c r="P1392" s="53"/>
      <x:c r="Q1392" s="53"/>
      <x:c r="R1392" s="53"/>
      <x:c r="S1392" s="53"/>
      <x:c r="T1392" s="53"/>
      <x:c r="U1392" s="53"/>
      <x:c r="V1392" s="53"/>
      <x:c r="W1392" s="53"/>
      <x:c r="X1392" s="53"/>
      <x:c r="Y1392" s="53"/>
      <x:c r="Z1392" s="53"/>
      <x:c r="AA1392" s="53"/>
      <x:c r="AB1392" s="53"/>
      <x:c r="AC1392" s="53"/>
      <x:c r="AD1392" s="53"/>
      <x:c r="AE1392" s="53"/>
      <x:c r="AF1392" s="53"/>
    </x:row>
    <x:row r="1393">
      <x:c r="A1393" s="53"/>
      <x:c r="B1393" s="53"/>
      <x:c r="C1393" s="53"/>
      <x:c r="D1393" s="53"/>
      <x:c r="E1393" s="53"/>
      <x:c r="F1393" s="53"/>
      <x:c r="G1393" s="53"/>
      <x:c r="H1393" s="53"/>
      <x:c r="I1393" s="53"/>
      <x:c r="J1393" s="53"/>
      <x:c r="K1393" s="53"/>
      <x:c r="L1393" s="53"/>
      <x:c r="M1393" s="53"/>
      <x:c r="N1393" s="53"/>
      <x:c r="O1393" s="53"/>
      <x:c r="P1393" s="53"/>
      <x:c r="Q1393" s="53"/>
      <x:c r="R1393" s="53"/>
      <x:c r="S1393" s="53"/>
      <x:c r="T1393" s="53"/>
      <x:c r="U1393" s="53"/>
      <x:c r="V1393" s="53"/>
      <x:c r="W1393" s="53"/>
      <x:c r="X1393" s="53"/>
      <x:c r="Y1393" s="53"/>
      <x:c r="Z1393" s="53"/>
      <x:c r="AA1393" s="53"/>
      <x:c r="AB1393" s="53"/>
      <x:c r="AC1393" s="53"/>
      <x:c r="AD1393" s="53"/>
      <x:c r="AE1393" s="53"/>
      <x:c r="AF1393" s="53"/>
    </x:row>
    <x:row r="1394">
      <x:c r="A1394" s="53"/>
      <x:c r="B1394" s="53"/>
      <x:c r="C1394" s="53"/>
      <x:c r="D1394" s="53"/>
      <x:c r="E1394" s="53"/>
      <x:c r="F1394" s="53"/>
      <x:c r="G1394" s="53"/>
      <x:c r="H1394" s="53"/>
      <x:c r="I1394" s="53"/>
      <x:c r="J1394" s="53"/>
      <x:c r="K1394" s="53"/>
      <x:c r="L1394" s="53"/>
      <x:c r="M1394" s="53"/>
      <x:c r="N1394" s="53"/>
      <x:c r="O1394" s="53"/>
      <x:c r="P1394" s="53"/>
      <x:c r="Q1394" s="53"/>
      <x:c r="R1394" s="53"/>
      <x:c r="S1394" s="53"/>
      <x:c r="T1394" s="53"/>
      <x:c r="U1394" s="53"/>
      <x:c r="V1394" s="53"/>
      <x:c r="W1394" s="53"/>
      <x:c r="X1394" s="53"/>
      <x:c r="Y1394" s="53"/>
      <x:c r="Z1394" s="53"/>
      <x:c r="AA1394" s="53"/>
      <x:c r="AB1394" s="53"/>
      <x:c r="AC1394" s="53"/>
      <x:c r="AD1394" s="53"/>
      <x:c r="AE1394" s="53"/>
      <x:c r="AF1394" s="53"/>
    </x:row>
    <x:row r="1395">
      <x:c r="A1395" s="53"/>
      <x:c r="B1395" s="53"/>
      <x:c r="C1395" s="53"/>
      <x:c r="D1395" s="53"/>
      <x:c r="E1395" s="53"/>
      <x:c r="F1395" s="53"/>
      <x:c r="G1395" s="53"/>
      <x:c r="H1395" s="53"/>
      <x:c r="I1395" s="53"/>
      <x:c r="J1395" s="53"/>
      <x:c r="K1395" s="53"/>
      <x:c r="L1395" s="53"/>
      <x:c r="M1395" s="53"/>
      <x:c r="N1395" s="53"/>
      <x:c r="O1395" s="53"/>
      <x:c r="P1395" s="53"/>
      <x:c r="Q1395" s="53"/>
      <x:c r="R1395" s="53"/>
      <x:c r="S1395" s="53"/>
      <x:c r="T1395" s="53"/>
      <x:c r="U1395" s="53"/>
      <x:c r="V1395" s="53"/>
      <x:c r="W1395" s="53"/>
      <x:c r="X1395" s="53"/>
      <x:c r="Y1395" s="53"/>
      <x:c r="Z1395" s="53"/>
      <x:c r="AA1395" s="53"/>
      <x:c r="AB1395" s="53"/>
      <x:c r="AC1395" s="53"/>
      <x:c r="AD1395" s="53"/>
      <x:c r="AE1395" s="53"/>
      <x:c r="AF1395" s="53"/>
    </x:row>
    <x:row r="1396">
      <x:c r="A1396" s="53"/>
      <x:c r="B1396" s="53"/>
      <x:c r="C1396" s="53"/>
      <x:c r="D1396" s="53"/>
      <x:c r="E1396" s="53"/>
      <x:c r="F1396" s="53"/>
      <x:c r="G1396" s="53"/>
      <x:c r="H1396" s="53"/>
      <x:c r="I1396" s="53"/>
      <x:c r="J1396" s="53"/>
      <x:c r="K1396" s="53"/>
      <x:c r="L1396" s="53"/>
      <x:c r="M1396" s="53"/>
      <x:c r="N1396" s="53"/>
      <x:c r="O1396" s="53"/>
      <x:c r="P1396" s="53"/>
      <x:c r="Q1396" s="53"/>
      <x:c r="R1396" s="53"/>
      <x:c r="S1396" s="53"/>
      <x:c r="T1396" s="53"/>
      <x:c r="U1396" s="53"/>
      <x:c r="V1396" s="53"/>
      <x:c r="W1396" s="53"/>
      <x:c r="X1396" s="53"/>
      <x:c r="Y1396" s="53"/>
      <x:c r="Z1396" s="53"/>
      <x:c r="AA1396" s="53"/>
      <x:c r="AB1396" s="53"/>
      <x:c r="AC1396" s="53"/>
      <x:c r="AD1396" s="53"/>
      <x:c r="AE1396" s="53"/>
      <x:c r="AF1396" s="53"/>
    </x:row>
    <x:row r="1397">
      <x:c r="A1397" s="53"/>
      <x:c r="B1397" s="53"/>
      <x:c r="C1397" s="53"/>
      <x:c r="D1397" s="53"/>
      <x:c r="E1397" s="53"/>
      <x:c r="F1397" s="53"/>
      <x:c r="G1397" s="53"/>
      <x:c r="H1397" s="53"/>
      <x:c r="I1397" s="53"/>
      <x:c r="J1397" s="53"/>
      <x:c r="K1397" s="53"/>
      <x:c r="L1397" s="53"/>
      <x:c r="M1397" s="53"/>
      <x:c r="N1397" s="53"/>
      <x:c r="O1397" s="53"/>
      <x:c r="P1397" s="53"/>
      <x:c r="Q1397" s="53"/>
      <x:c r="R1397" s="53"/>
      <x:c r="S1397" s="53"/>
      <x:c r="T1397" s="53"/>
      <x:c r="U1397" s="53"/>
      <x:c r="V1397" s="53"/>
      <x:c r="W1397" s="53"/>
      <x:c r="X1397" s="53"/>
      <x:c r="Y1397" s="53"/>
      <x:c r="Z1397" s="53"/>
      <x:c r="AA1397" s="53"/>
      <x:c r="AB1397" s="53"/>
      <x:c r="AC1397" s="53"/>
      <x:c r="AD1397" s="53"/>
      <x:c r="AE1397" s="53"/>
      <x:c r="AF1397" s="53"/>
    </x:row>
    <x:row r="1398">
      <x:c r="A1398" s="53"/>
      <x:c r="B1398" s="53"/>
      <x:c r="C1398" s="53"/>
      <x:c r="D1398" s="53"/>
      <x:c r="E1398" s="53"/>
      <x:c r="F1398" s="53"/>
      <x:c r="G1398" s="53"/>
      <x:c r="H1398" s="53"/>
      <x:c r="I1398" s="53"/>
      <x:c r="J1398" s="53"/>
      <x:c r="K1398" s="53"/>
      <x:c r="L1398" s="53"/>
      <x:c r="M1398" s="53"/>
      <x:c r="N1398" s="53"/>
      <x:c r="O1398" s="53"/>
      <x:c r="P1398" s="53"/>
      <x:c r="Q1398" s="53"/>
      <x:c r="R1398" s="53"/>
      <x:c r="S1398" s="53"/>
      <x:c r="T1398" s="53"/>
      <x:c r="U1398" s="53"/>
      <x:c r="V1398" s="53"/>
      <x:c r="W1398" s="53"/>
      <x:c r="X1398" s="53"/>
      <x:c r="Y1398" s="53"/>
      <x:c r="Z1398" s="53"/>
      <x:c r="AA1398" s="53"/>
      <x:c r="AB1398" s="53"/>
      <x:c r="AC1398" s="53"/>
      <x:c r="AD1398" s="53"/>
      <x:c r="AE1398" s="53"/>
      <x:c r="AF1398" s="53"/>
    </x:row>
    <x:row r="1399">
      <x:c r="A1399" s="53"/>
      <x:c r="B1399" s="53"/>
      <x:c r="C1399" s="53"/>
      <x:c r="D1399" s="53"/>
      <x:c r="E1399" s="53"/>
      <x:c r="F1399" s="53"/>
      <x:c r="G1399" s="53"/>
      <x:c r="H1399" s="53"/>
      <x:c r="I1399" s="53"/>
      <x:c r="J1399" s="53"/>
      <x:c r="K1399" s="53"/>
      <x:c r="L1399" s="53"/>
      <x:c r="M1399" s="53"/>
      <x:c r="N1399" s="53"/>
      <x:c r="O1399" s="53"/>
      <x:c r="P1399" s="53"/>
      <x:c r="Q1399" s="53"/>
      <x:c r="R1399" s="53"/>
      <x:c r="S1399" s="53"/>
      <x:c r="T1399" s="53"/>
      <x:c r="U1399" s="53"/>
      <x:c r="V1399" s="53"/>
      <x:c r="W1399" s="53"/>
      <x:c r="X1399" s="53"/>
      <x:c r="Y1399" s="53"/>
      <x:c r="Z1399" s="53"/>
      <x:c r="AA1399" s="53"/>
      <x:c r="AB1399" s="53"/>
      <x:c r="AC1399" s="53"/>
      <x:c r="AD1399" s="53"/>
      <x:c r="AE1399" s="53"/>
      <x:c r="AF1399" s="53"/>
    </x:row>
    <x:row r="1400">
      <x:c r="A1400" s="53"/>
      <x:c r="B1400" s="53"/>
      <x:c r="C1400" s="53"/>
      <x:c r="D1400" s="53"/>
      <x:c r="E1400" s="53"/>
      <x:c r="F1400" s="53"/>
      <x:c r="G1400" s="53"/>
      <x:c r="H1400" s="53"/>
      <x:c r="I1400" s="53"/>
      <x:c r="J1400" s="53"/>
      <x:c r="K1400" s="53"/>
      <x:c r="L1400" s="53"/>
      <x:c r="M1400" s="53"/>
      <x:c r="N1400" s="53"/>
      <x:c r="O1400" s="53"/>
      <x:c r="P1400" s="53"/>
      <x:c r="Q1400" s="53"/>
      <x:c r="R1400" s="53"/>
      <x:c r="S1400" s="53"/>
      <x:c r="T1400" s="53"/>
      <x:c r="U1400" s="53"/>
      <x:c r="V1400" s="53"/>
      <x:c r="W1400" s="53"/>
      <x:c r="X1400" s="53"/>
      <x:c r="Y1400" s="53"/>
      <x:c r="Z1400" s="53"/>
      <x:c r="AA1400" s="53"/>
      <x:c r="AB1400" s="53"/>
      <x:c r="AC1400" s="53"/>
      <x:c r="AD1400" s="53"/>
      <x:c r="AE1400" s="53"/>
      <x:c r="AF1400" s="53"/>
    </x:row>
    <x:row r="1401">
      <x:c r="A1401" s="53"/>
      <x:c r="B1401" s="53"/>
      <x:c r="C1401" s="53"/>
      <x:c r="D1401" s="53"/>
      <x:c r="E1401" s="53"/>
      <x:c r="F1401" s="53"/>
      <x:c r="G1401" s="53"/>
      <x:c r="H1401" s="53"/>
      <x:c r="I1401" s="53"/>
      <x:c r="J1401" s="53"/>
      <x:c r="K1401" s="53"/>
      <x:c r="L1401" s="53"/>
      <x:c r="M1401" s="53"/>
      <x:c r="N1401" s="53"/>
      <x:c r="O1401" s="53"/>
      <x:c r="P1401" s="53"/>
      <x:c r="Q1401" s="53"/>
      <x:c r="R1401" s="53"/>
      <x:c r="S1401" s="53"/>
      <x:c r="T1401" s="53"/>
      <x:c r="U1401" s="53"/>
      <x:c r="V1401" s="53"/>
      <x:c r="W1401" s="53"/>
      <x:c r="X1401" s="53"/>
      <x:c r="Y1401" s="53"/>
      <x:c r="Z1401" s="53"/>
      <x:c r="AA1401" s="53"/>
      <x:c r="AB1401" s="53"/>
      <x:c r="AC1401" s="53"/>
      <x:c r="AD1401" s="53"/>
      <x:c r="AE1401" s="53"/>
      <x:c r="AF1401" s="53"/>
    </x:row>
    <x:row r="1402">
      <x:c r="A1402" s="53"/>
      <x:c r="B1402" s="53"/>
      <x:c r="C1402" s="53"/>
      <x:c r="D1402" s="53"/>
      <x:c r="E1402" s="53"/>
      <x:c r="F1402" s="53"/>
      <x:c r="G1402" s="53"/>
      <x:c r="H1402" s="53"/>
      <x:c r="I1402" s="53"/>
      <x:c r="J1402" s="53"/>
      <x:c r="K1402" s="53"/>
      <x:c r="L1402" s="53"/>
      <x:c r="M1402" s="53"/>
      <x:c r="N1402" s="53"/>
      <x:c r="O1402" s="53"/>
      <x:c r="P1402" s="53"/>
      <x:c r="Q1402" s="53"/>
      <x:c r="R1402" s="53"/>
      <x:c r="S1402" s="53"/>
      <x:c r="T1402" s="53"/>
      <x:c r="U1402" s="53"/>
      <x:c r="V1402" s="53"/>
      <x:c r="W1402" s="53"/>
      <x:c r="X1402" s="53"/>
      <x:c r="Y1402" s="53"/>
      <x:c r="Z1402" s="53"/>
      <x:c r="AA1402" s="53"/>
      <x:c r="AB1402" s="53"/>
      <x:c r="AC1402" s="53"/>
      <x:c r="AD1402" s="53"/>
      <x:c r="AE1402" s="53"/>
      <x:c r="AF1402" s="53"/>
    </x:row>
    <x:row r="1403">
      <x:c r="A1403" s="53"/>
      <x:c r="B1403" s="53"/>
      <x:c r="C1403" s="53"/>
      <x:c r="D1403" s="53"/>
      <x:c r="E1403" s="53"/>
      <x:c r="F1403" s="53"/>
      <x:c r="G1403" s="53"/>
      <x:c r="H1403" s="53"/>
      <x:c r="I1403" s="53"/>
      <x:c r="J1403" s="53"/>
      <x:c r="K1403" s="53"/>
      <x:c r="L1403" s="53"/>
      <x:c r="M1403" s="53"/>
      <x:c r="N1403" s="53"/>
      <x:c r="O1403" s="53"/>
      <x:c r="P1403" s="53"/>
      <x:c r="Q1403" s="53"/>
      <x:c r="R1403" s="53"/>
      <x:c r="S1403" s="53"/>
      <x:c r="T1403" s="53"/>
      <x:c r="U1403" s="53"/>
      <x:c r="V1403" s="53"/>
      <x:c r="W1403" s="53"/>
      <x:c r="X1403" s="53"/>
      <x:c r="Y1403" s="53"/>
      <x:c r="Z1403" s="53"/>
      <x:c r="AA1403" s="53"/>
      <x:c r="AB1403" s="53"/>
      <x:c r="AC1403" s="53"/>
      <x:c r="AD1403" s="53"/>
      <x:c r="AE1403" s="53"/>
      <x:c r="AF1403" s="53"/>
    </x:row>
    <x:row r="1404">
      <x:c r="A1404" s="53"/>
      <x:c r="B1404" s="53"/>
      <x:c r="C1404" s="53"/>
      <x:c r="D1404" s="53"/>
      <x:c r="E1404" s="53"/>
      <x:c r="F1404" s="53"/>
      <x:c r="G1404" s="53"/>
      <x:c r="H1404" s="53"/>
      <x:c r="I1404" s="53"/>
      <x:c r="J1404" s="53"/>
      <x:c r="K1404" s="53"/>
      <x:c r="L1404" s="53"/>
      <x:c r="M1404" s="53"/>
      <x:c r="N1404" s="53"/>
      <x:c r="O1404" s="53"/>
      <x:c r="P1404" s="53"/>
      <x:c r="Q1404" s="53"/>
      <x:c r="R1404" s="53"/>
      <x:c r="S1404" s="53"/>
      <x:c r="T1404" s="53"/>
      <x:c r="U1404" s="53"/>
      <x:c r="V1404" s="53"/>
      <x:c r="W1404" s="53"/>
      <x:c r="X1404" s="53"/>
      <x:c r="Y1404" s="53"/>
      <x:c r="Z1404" s="53"/>
      <x:c r="AA1404" s="53"/>
      <x:c r="AB1404" s="53"/>
      <x:c r="AC1404" s="53"/>
      <x:c r="AD1404" s="53"/>
      <x:c r="AE1404" s="53"/>
      <x:c r="AF1404" s="53"/>
    </x:row>
    <x:row r="1405">
      <x:c r="A1405" s="53"/>
      <x:c r="B1405" s="53"/>
      <x:c r="C1405" s="53"/>
      <x:c r="D1405" s="53"/>
      <x:c r="E1405" s="53"/>
      <x:c r="F1405" s="53"/>
      <x:c r="G1405" s="53"/>
      <x:c r="H1405" s="53"/>
      <x:c r="I1405" s="53"/>
      <x:c r="J1405" s="53"/>
      <x:c r="K1405" s="53"/>
      <x:c r="L1405" s="53"/>
      <x:c r="M1405" s="53"/>
      <x:c r="N1405" s="53"/>
      <x:c r="O1405" s="53"/>
      <x:c r="P1405" s="53"/>
      <x:c r="Q1405" s="53"/>
      <x:c r="R1405" s="53"/>
      <x:c r="S1405" s="53"/>
      <x:c r="T1405" s="53"/>
      <x:c r="U1405" s="53"/>
      <x:c r="V1405" s="53"/>
      <x:c r="W1405" s="53"/>
      <x:c r="X1405" s="53"/>
      <x:c r="Y1405" s="53"/>
      <x:c r="Z1405" s="53"/>
      <x:c r="AA1405" s="53"/>
      <x:c r="AB1405" s="53"/>
      <x:c r="AC1405" s="53"/>
      <x:c r="AD1405" s="53"/>
      <x:c r="AE1405" s="53"/>
      <x:c r="AF1405" s="53"/>
    </x:row>
    <x:row r="1406">
      <x:c r="A1406" s="53"/>
      <x:c r="B1406" s="53"/>
      <x:c r="C1406" s="53"/>
      <x:c r="D1406" s="53"/>
      <x:c r="E1406" s="53"/>
      <x:c r="F1406" s="53"/>
      <x:c r="G1406" s="53"/>
      <x:c r="H1406" s="53"/>
      <x:c r="I1406" s="53"/>
      <x:c r="J1406" s="53"/>
      <x:c r="K1406" s="53"/>
      <x:c r="L1406" s="53"/>
      <x:c r="M1406" s="53"/>
      <x:c r="N1406" s="53"/>
      <x:c r="O1406" s="53"/>
      <x:c r="P1406" s="53"/>
      <x:c r="Q1406" s="53"/>
      <x:c r="R1406" s="53"/>
      <x:c r="S1406" s="53"/>
      <x:c r="T1406" s="53"/>
      <x:c r="U1406" s="53"/>
      <x:c r="V1406" s="53"/>
      <x:c r="W1406" s="53"/>
      <x:c r="X1406" s="53"/>
      <x:c r="Y1406" s="53"/>
      <x:c r="Z1406" s="53"/>
      <x:c r="AA1406" s="53"/>
      <x:c r="AB1406" s="53"/>
      <x:c r="AC1406" s="53"/>
      <x:c r="AD1406" s="53"/>
      <x:c r="AE1406" s="53"/>
      <x:c r="AF1406" s="53"/>
    </x:row>
    <x:row r="1407">
      <x:c r="A1407" s="53"/>
      <x:c r="B1407" s="53"/>
      <x:c r="C1407" s="53"/>
      <x:c r="D1407" s="53"/>
      <x:c r="E1407" s="53"/>
      <x:c r="F1407" s="53"/>
      <x:c r="G1407" s="53"/>
      <x:c r="H1407" s="53"/>
      <x:c r="I1407" s="53"/>
      <x:c r="J1407" s="53"/>
      <x:c r="K1407" s="53"/>
      <x:c r="L1407" s="53"/>
      <x:c r="M1407" s="53"/>
      <x:c r="N1407" s="53"/>
      <x:c r="O1407" s="53"/>
      <x:c r="P1407" s="53"/>
      <x:c r="Q1407" s="53"/>
      <x:c r="R1407" s="53"/>
      <x:c r="S1407" s="53"/>
      <x:c r="T1407" s="53"/>
      <x:c r="U1407" s="53"/>
      <x:c r="V1407" s="53"/>
      <x:c r="W1407" s="53"/>
      <x:c r="X1407" s="53"/>
      <x:c r="Y1407" s="53"/>
      <x:c r="Z1407" s="53"/>
      <x:c r="AA1407" s="53"/>
      <x:c r="AB1407" s="53"/>
      <x:c r="AC1407" s="53"/>
      <x:c r="AD1407" s="53"/>
      <x:c r="AE1407" s="53"/>
      <x:c r="AF1407" s="53"/>
    </x:row>
    <x:row r="1408">
      <x:c r="A1408" s="53"/>
      <x:c r="B1408" s="53"/>
      <x:c r="C1408" s="53"/>
      <x:c r="D1408" s="53"/>
      <x:c r="E1408" s="53"/>
      <x:c r="F1408" s="53"/>
      <x:c r="G1408" s="53"/>
      <x:c r="H1408" s="53"/>
      <x:c r="I1408" s="53"/>
      <x:c r="J1408" s="53"/>
      <x:c r="K1408" s="53"/>
      <x:c r="L1408" s="53"/>
      <x:c r="M1408" s="53"/>
      <x:c r="N1408" s="53"/>
      <x:c r="O1408" s="53"/>
      <x:c r="P1408" s="53"/>
      <x:c r="Q1408" s="53"/>
      <x:c r="R1408" s="53"/>
      <x:c r="S1408" s="53"/>
      <x:c r="T1408" s="53"/>
      <x:c r="U1408" s="53"/>
      <x:c r="V1408" s="53"/>
      <x:c r="W1408" s="53"/>
      <x:c r="X1408" s="53"/>
      <x:c r="Y1408" s="53"/>
      <x:c r="Z1408" s="53"/>
      <x:c r="AA1408" s="53"/>
      <x:c r="AB1408" s="53"/>
      <x:c r="AC1408" s="53"/>
      <x:c r="AD1408" s="53"/>
      <x:c r="AE1408" s="53"/>
      <x:c r="AF1408" s="53"/>
    </x:row>
    <x:row r="1409">
      <x:c r="A1409" s="53"/>
      <x:c r="B1409" s="53"/>
      <x:c r="C1409" s="53"/>
      <x:c r="D1409" s="53"/>
      <x:c r="E1409" s="53"/>
      <x:c r="F1409" s="53"/>
      <x:c r="G1409" s="53"/>
      <x:c r="H1409" s="53"/>
      <x:c r="I1409" s="53"/>
      <x:c r="J1409" s="53"/>
      <x:c r="K1409" s="53"/>
      <x:c r="L1409" s="53"/>
      <x:c r="M1409" s="53"/>
      <x:c r="N1409" s="53"/>
      <x:c r="O1409" s="53"/>
      <x:c r="P1409" s="53"/>
      <x:c r="Q1409" s="53"/>
      <x:c r="R1409" s="53"/>
      <x:c r="S1409" s="53"/>
      <x:c r="T1409" s="53"/>
      <x:c r="U1409" s="53"/>
      <x:c r="V1409" s="53"/>
      <x:c r="W1409" s="53"/>
      <x:c r="X1409" s="53"/>
      <x:c r="Y1409" s="53"/>
      <x:c r="Z1409" s="53"/>
      <x:c r="AA1409" s="53"/>
      <x:c r="AB1409" s="53"/>
      <x:c r="AC1409" s="53"/>
      <x:c r="AD1409" s="53"/>
      <x:c r="AE1409" s="53"/>
      <x:c r="AF1409" s="53"/>
    </x:row>
    <x:row r="1410">
      <x:c r="A1410" s="53"/>
      <x:c r="B1410" s="53"/>
      <x:c r="C1410" s="53"/>
      <x:c r="D1410" s="53"/>
      <x:c r="E1410" s="53"/>
      <x:c r="F1410" s="53"/>
      <x:c r="G1410" s="53"/>
      <x:c r="H1410" s="53"/>
      <x:c r="I1410" s="53"/>
      <x:c r="J1410" s="53"/>
      <x:c r="K1410" s="53"/>
      <x:c r="L1410" s="53"/>
      <x:c r="M1410" s="53"/>
      <x:c r="N1410" s="53"/>
      <x:c r="O1410" s="53"/>
      <x:c r="P1410" s="53"/>
      <x:c r="Q1410" s="53"/>
      <x:c r="R1410" s="53"/>
      <x:c r="S1410" s="53"/>
      <x:c r="T1410" s="53"/>
      <x:c r="U1410" s="53"/>
      <x:c r="V1410" s="53"/>
      <x:c r="W1410" s="53"/>
      <x:c r="X1410" s="53"/>
      <x:c r="Y1410" s="53"/>
      <x:c r="Z1410" s="53"/>
      <x:c r="AA1410" s="53"/>
      <x:c r="AB1410" s="53"/>
      <x:c r="AC1410" s="53"/>
      <x:c r="AD1410" s="53"/>
      <x:c r="AE1410" s="53"/>
      <x:c r="AF1410" s="53"/>
    </x:row>
    <x:row r="1411">
      <x:c r="A1411" s="53"/>
      <x:c r="B1411" s="53"/>
      <x:c r="C1411" s="53"/>
      <x:c r="D1411" s="53"/>
      <x:c r="E1411" s="53"/>
      <x:c r="F1411" s="53"/>
      <x:c r="G1411" s="53"/>
      <x:c r="H1411" s="53"/>
      <x:c r="I1411" s="53"/>
      <x:c r="J1411" s="53"/>
      <x:c r="K1411" s="53"/>
      <x:c r="L1411" s="53"/>
      <x:c r="M1411" s="53"/>
      <x:c r="N1411" s="53"/>
      <x:c r="O1411" s="53"/>
      <x:c r="P1411" s="53"/>
      <x:c r="Q1411" s="53"/>
      <x:c r="R1411" s="53"/>
      <x:c r="S1411" s="53"/>
      <x:c r="T1411" s="53"/>
      <x:c r="U1411" s="53"/>
      <x:c r="V1411" s="53"/>
      <x:c r="W1411" s="53"/>
      <x:c r="X1411" s="53"/>
      <x:c r="Y1411" s="53"/>
      <x:c r="Z1411" s="53"/>
      <x:c r="AA1411" s="53"/>
      <x:c r="AB1411" s="53"/>
      <x:c r="AC1411" s="53"/>
      <x:c r="AD1411" s="53"/>
      <x:c r="AE1411" s="53"/>
      <x:c r="AF1411" s="53"/>
    </x:row>
    <x:row r="1412">
      <x:c r="A1412" s="53"/>
      <x:c r="B1412" s="53"/>
      <x:c r="C1412" s="53"/>
      <x:c r="D1412" s="53"/>
      <x:c r="E1412" s="53"/>
      <x:c r="F1412" s="53"/>
      <x:c r="G1412" s="53"/>
      <x:c r="H1412" s="53"/>
      <x:c r="I1412" s="53"/>
      <x:c r="J1412" s="53"/>
      <x:c r="K1412" s="53"/>
      <x:c r="L1412" s="53"/>
      <x:c r="M1412" s="53"/>
      <x:c r="N1412" s="53"/>
      <x:c r="O1412" s="53"/>
      <x:c r="P1412" s="53"/>
      <x:c r="Q1412" s="53"/>
      <x:c r="R1412" s="53"/>
      <x:c r="S1412" s="53"/>
      <x:c r="T1412" s="53"/>
      <x:c r="U1412" s="53"/>
      <x:c r="V1412" s="53"/>
      <x:c r="W1412" s="53"/>
      <x:c r="X1412" s="53"/>
      <x:c r="Y1412" s="53"/>
      <x:c r="Z1412" s="53"/>
      <x:c r="AA1412" s="53"/>
      <x:c r="AB1412" s="53"/>
      <x:c r="AC1412" s="53"/>
      <x:c r="AD1412" s="53"/>
      <x:c r="AE1412" s="53"/>
      <x:c r="AF1412" s="53"/>
    </x:row>
    <x:row r="1413">
      <x:c r="A1413" s="53"/>
      <x:c r="B1413" s="53"/>
      <x:c r="C1413" s="53"/>
      <x:c r="D1413" s="53"/>
      <x:c r="E1413" s="53"/>
      <x:c r="F1413" s="53"/>
      <x:c r="G1413" s="53"/>
      <x:c r="H1413" s="53"/>
      <x:c r="I1413" s="53"/>
      <x:c r="J1413" s="53"/>
      <x:c r="K1413" s="53"/>
      <x:c r="L1413" s="53"/>
      <x:c r="M1413" s="53"/>
      <x:c r="N1413" s="53"/>
      <x:c r="O1413" s="53"/>
      <x:c r="P1413" s="53"/>
      <x:c r="Q1413" s="53"/>
      <x:c r="R1413" s="53"/>
      <x:c r="S1413" s="53"/>
      <x:c r="T1413" s="53"/>
      <x:c r="U1413" s="53"/>
      <x:c r="V1413" s="53"/>
      <x:c r="W1413" s="53"/>
      <x:c r="X1413" s="53"/>
      <x:c r="Y1413" s="53"/>
      <x:c r="Z1413" s="53"/>
      <x:c r="AA1413" s="53"/>
      <x:c r="AB1413" s="53"/>
      <x:c r="AC1413" s="53"/>
      <x:c r="AD1413" s="53"/>
      <x:c r="AE1413" s="53"/>
      <x:c r="AF1413" s="53"/>
    </x:row>
    <x:row r="1414">
      <x:c r="A1414" s="53"/>
      <x:c r="B1414" s="53"/>
      <x:c r="C1414" s="53"/>
      <x:c r="D1414" s="53"/>
      <x:c r="E1414" s="53"/>
      <x:c r="F1414" s="53"/>
      <x:c r="G1414" s="53"/>
      <x:c r="H1414" s="53"/>
      <x:c r="I1414" s="53"/>
      <x:c r="J1414" s="53"/>
      <x:c r="K1414" s="53"/>
      <x:c r="L1414" s="53"/>
      <x:c r="M1414" s="53"/>
      <x:c r="N1414" s="53"/>
      <x:c r="O1414" s="53"/>
      <x:c r="P1414" s="53"/>
      <x:c r="Q1414" s="53"/>
      <x:c r="R1414" s="53"/>
      <x:c r="S1414" s="53"/>
      <x:c r="T1414" s="53"/>
      <x:c r="U1414" s="53"/>
      <x:c r="V1414" s="53"/>
      <x:c r="W1414" s="53"/>
      <x:c r="X1414" s="53"/>
      <x:c r="Y1414" s="53"/>
      <x:c r="Z1414" s="53"/>
      <x:c r="AA1414" s="53"/>
      <x:c r="AB1414" s="53"/>
      <x:c r="AC1414" s="53"/>
      <x:c r="AD1414" s="53"/>
      <x:c r="AE1414" s="53"/>
      <x:c r="AF1414" s="53"/>
    </x:row>
    <x:row r="1415">
      <x:c r="A1415" s="53"/>
      <x:c r="B1415" s="53"/>
      <x:c r="C1415" s="53"/>
      <x:c r="D1415" s="53"/>
      <x:c r="E1415" s="53"/>
      <x:c r="F1415" s="53"/>
      <x:c r="G1415" s="53"/>
      <x:c r="H1415" s="53"/>
      <x:c r="I1415" s="53"/>
      <x:c r="J1415" s="53"/>
      <x:c r="K1415" s="53"/>
      <x:c r="L1415" s="53"/>
      <x:c r="M1415" s="53"/>
      <x:c r="N1415" s="53"/>
      <x:c r="O1415" s="53"/>
      <x:c r="P1415" s="53"/>
      <x:c r="Q1415" s="53"/>
      <x:c r="R1415" s="53"/>
      <x:c r="S1415" s="53"/>
      <x:c r="T1415" s="53"/>
      <x:c r="U1415" s="53"/>
      <x:c r="V1415" s="53"/>
      <x:c r="W1415" s="53"/>
      <x:c r="X1415" s="53"/>
      <x:c r="Y1415" s="53"/>
      <x:c r="Z1415" s="53"/>
      <x:c r="AA1415" s="53"/>
      <x:c r="AB1415" s="53"/>
      <x:c r="AC1415" s="53"/>
      <x:c r="AD1415" s="53"/>
      <x:c r="AE1415" s="53"/>
      <x:c r="AF1415" s="53"/>
    </x:row>
    <x:row r="1416">
      <x:c r="A1416" s="53"/>
      <x:c r="B1416" s="53"/>
      <x:c r="C1416" s="53"/>
      <x:c r="D1416" s="53"/>
      <x:c r="E1416" s="53"/>
      <x:c r="F1416" s="53"/>
      <x:c r="G1416" s="53"/>
      <x:c r="H1416" s="53"/>
      <x:c r="I1416" s="53"/>
      <x:c r="J1416" s="53"/>
      <x:c r="K1416" s="53"/>
      <x:c r="L1416" s="53"/>
      <x:c r="M1416" s="53"/>
      <x:c r="N1416" s="53"/>
      <x:c r="O1416" s="53"/>
      <x:c r="P1416" s="53"/>
      <x:c r="Q1416" s="53"/>
      <x:c r="R1416" s="53"/>
      <x:c r="S1416" s="53"/>
      <x:c r="T1416" s="53"/>
      <x:c r="U1416" s="53"/>
      <x:c r="V1416" s="53"/>
      <x:c r="W1416" s="53"/>
      <x:c r="X1416" s="53"/>
      <x:c r="Y1416" s="53"/>
      <x:c r="Z1416" s="53"/>
      <x:c r="AA1416" s="53"/>
      <x:c r="AB1416" s="53"/>
      <x:c r="AC1416" s="53"/>
      <x:c r="AD1416" s="53"/>
      <x:c r="AE1416" s="53"/>
      <x:c r="AF1416" s="53"/>
    </x:row>
    <x:row r="1417">
      <x:c r="A1417" s="53"/>
      <x:c r="B1417" s="53"/>
      <x:c r="C1417" s="53"/>
      <x:c r="D1417" s="53"/>
      <x:c r="E1417" s="53"/>
      <x:c r="F1417" s="53"/>
      <x:c r="G1417" s="53"/>
      <x:c r="H1417" s="53"/>
      <x:c r="I1417" s="53"/>
      <x:c r="J1417" s="53"/>
      <x:c r="K1417" s="53"/>
      <x:c r="L1417" s="53"/>
      <x:c r="M1417" s="53"/>
      <x:c r="N1417" s="53"/>
      <x:c r="O1417" s="53"/>
      <x:c r="P1417" s="53"/>
      <x:c r="Q1417" s="53"/>
      <x:c r="R1417" s="53"/>
      <x:c r="S1417" s="53"/>
      <x:c r="T1417" s="53"/>
      <x:c r="U1417" s="53"/>
      <x:c r="V1417" s="53"/>
      <x:c r="W1417" s="53"/>
      <x:c r="X1417" s="53"/>
      <x:c r="Y1417" s="53"/>
      <x:c r="Z1417" s="53"/>
      <x:c r="AA1417" s="53"/>
      <x:c r="AB1417" s="53"/>
      <x:c r="AC1417" s="53"/>
      <x:c r="AD1417" s="53"/>
      <x:c r="AE1417" s="53"/>
      <x:c r="AF1417" s="53"/>
    </x:row>
    <x:row r="1418">
      <x:c r="A1418" s="53"/>
      <x:c r="B1418" s="53"/>
      <x:c r="C1418" s="53"/>
      <x:c r="D1418" s="53"/>
      <x:c r="E1418" s="53"/>
      <x:c r="F1418" s="53"/>
      <x:c r="G1418" s="53"/>
      <x:c r="H1418" s="53"/>
      <x:c r="I1418" s="53"/>
      <x:c r="J1418" s="53"/>
      <x:c r="K1418" s="53"/>
      <x:c r="L1418" s="53"/>
      <x:c r="M1418" s="53"/>
      <x:c r="N1418" s="53"/>
      <x:c r="O1418" s="53"/>
      <x:c r="P1418" s="53"/>
      <x:c r="Q1418" s="53"/>
      <x:c r="R1418" s="53"/>
      <x:c r="S1418" s="53"/>
      <x:c r="T1418" s="53"/>
      <x:c r="U1418" s="53"/>
      <x:c r="V1418" s="53"/>
      <x:c r="W1418" s="53"/>
      <x:c r="X1418" s="53"/>
      <x:c r="Y1418" s="53"/>
      <x:c r="Z1418" s="53"/>
      <x:c r="AA1418" s="53"/>
      <x:c r="AB1418" s="53"/>
      <x:c r="AC1418" s="53"/>
      <x:c r="AD1418" s="53"/>
      <x:c r="AE1418" s="53"/>
      <x:c r="AF1418" s="53"/>
    </x:row>
    <x:row r="1419">
      <x:c r="A1419" s="53"/>
      <x:c r="B1419" s="53"/>
      <x:c r="C1419" s="53"/>
      <x:c r="D1419" s="53"/>
      <x:c r="E1419" s="53"/>
      <x:c r="F1419" s="53"/>
      <x:c r="G1419" s="53"/>
      <x:c r="H1419" s="53"/>
      <x:c r="I1419" s="53"/>
      <x:c r="J1419" s="53"/>
      <x:c r="K1419" s="53"/>
      <x:c r="L1419" s="53"/>
      <x:c r="M1419" s="53"/>
      <x:c r="N1419" s="53"/>
      <x:c r="O1419" s="53"/>
      <x:c r="P1419" s="53"/>
      <x:c r="Q1419" s="53"/>
      <x:c r="R1419" s="53"/>
      <x:c r="S1419" s="53"/>
      <x:c r="T1419" s="53"/>
      <x:c r="U1419" s="53"/>
      <x:c r="V1419" s="53"/>
      <x:c r="W1419" s="53"/>
      <x:c r="X1419" s="53"/>
      <x:c r="Y1419" s="53"/>
      <x:c r="Z1419" s="53"/>
      <x:c r="AA1419" s="53"/>
      <x:c r="AB1419" s="53"/>
      <x:c r="AC1419" s="53"/>
      <x:c r="AD1419" s="53"/>
      <x:c r="AE1419" s="53"/>
      <x:c r="AF1419" s="53"/>
    </x:row>
    <x:row r="1420">
      <x:c r="A1420" s="53"/>
      <x:c r="B1420" s="53"/>
      <x:c r="C1420" s="53"/>
      <x:c r="D1420" s="53"/>
      <x:c r="E1420" s="53"/>
      <x:c r="F1420" s="53"/>
      <x:c r="G1420" s="53"/>
      <x:c r="H1420" s="53"/>
      <x:c r="I1420" s="53"/>
      <x:c r="J1420" s="53"/>
      <x:c r="K1420" s="53"/>
      <x:c r="L1420" s="53"/>
      <x:c r="M1420" s="53"/>
      <x:c r="N1420" s="53"/>
      <x:c r="O1420" s="53"/>
      <x:c r="P1420" s="53"/>
      <x:c r="Q1420" s="53"/>
      <x:c r="R1420" s="53"/>
      <x:c r="S1420" s="53"/>
      <x:c r="T1420" s="53"/>
      <x:c r="U1420" s="53"/>
      <x:c r="V1420" s="53"/>
      <x:c r="W1420" s="53"/>
      <x:c r="X1420" s="53"/>
      <x:c r="Y1420" s="53"/>
      <x:c r="Z1420" s="53"/>
      <x:c r="AA1420" s="53"/>
      <x:c r="AB1420" s="53"/>
      <x:c r="AC1420" s="53"/>
      <x:c r="AD1420" s="53"/>
      <x:c r="AE1420" s="53"/>
      <x:c r="AF1420" s="53"/>
    </x:row>
    <x:row r="1421">
      <x:c r="A1421" s="53"/>
      <x:c r="B1421" s="53"/>
      <x:c r="C1421" s="53"/>
      <x:c r="D1421" s="53"/>
      <x:c r="E1421" s="53"/>
      <x:c r="F1421" s="53"/>
      <x:c r="G1421" s="53"/>
      <x:c r="H1421" s="53"/>
      <x:c r="I1421" s="53"/>
      <x:c r="J1421" s="53"/>
      <x:c r="K1421" s="53"/>
      <x:c r="L1421" s="53"/>
      <x:c r="M1421" s="53"/>
      <x:c r="N1421" s="53"/>
      <x:c r="O1421" s="53"/>
      <x:c r="P1421" s="53"/>
      <x:c r="Q1421" s="53"/>
      <x:c r="R1421" s="53"/>
      <x:c r="S1421" s="53"/>
      <x:c r="T1421" s="53"/>
      <x:c r="U1421" s="53"/>
      <x:c r="V1421" s="53"/>
      <x:c r="W1421" s="53"/>
      <x:c r="X1421" s="53"/>
      <x:c r="Y1421" s="53"/>
      <x:c r="Z1421" s="53"/>
      <x:c r="AA1421" s="53"/>
      <x:c r="AB1421" s="53"/>
      <x:c r="AC1421" s="53"/>
      <x:c r="AD1421" s="53"/>
      <x:c r="AE1421" s="53"/>
      <x:c r="AF1421" s="53"/>
    </x:row>
    <x:row r="1422">
      <x:c r="A1422" s="53"/>
      <x:c r="B1422" s="53"/>
      <x:c r="C1422" s="53"/>
      <x:c r="D1422" s="53"/>
      <x:c r="E1422" s="53"/>
      <x:c r="F1422" s="53"/>
      <x:c r="G1422" s="53"/>
      <x:c r="H1422" s="53"/>
      <x:c r="I1422" s="53"/>
      <x:c r="J1422" s="53"/>
      <x:c r="K1422" s="53"/>
      <x:c r="L1422" s="53"/>
      <x:c r="M1422" s="53"/>
      <x:c r="N1422" s="53"/>
      <x:c r="O1422" s="53"/>
      <x:c r="P1422" s="53"/>
      <x:c r="Q1422" s="53"/>
      <x:c r="R1422" s="53"/>
      <x:c r="S1422" s="53"/>
      <x:c r="T1422" s="53"/>
      <x:c r="U1422" s="53"/>
      <x:c r="V1422" s="53"/>
      <x:c r="W1422" s="53"/>
      <x:c r="X1422" s="53"/>
      <x:c r="Y1422" s="53"/>
      <x:c r="Z1422" s="53"/>
      <x:c r="AA1422" s="53"/>
      <x:c r="AB1422" s="53"/>
      <x:c r="AC1422" s="53"/>
      <x:c r="AD1422" s="53"/>
      <x:c r="AE1422" s="53"/>
      <x:c r="AF1422" s="53"/>
    </x:row>
    <x:row r="1423">
      <x:c r="A1423" s="53"/>
      <x:c r="B1423" s="53"/>
      <x:c r="C1423" s="53"/>
      <x:c r="D1423" s="53"/>
      <x:c r="E1423" s="53"/>
      <x:c r="F1423" s="53"/>
      <x:c r="G1423" s="53"/>
      <x:c r="H1423" s="53"/>
      <x:c r="I1423" s="53"/>
      <x:c r="J1423" s="53"/>
      <x:c r="K1423" s="53"/>
      <x:c r="L1423" s="53"/>
      <x:c r="M1423" s="53"/>
      <x:c r="N1423" s="53"/>
      <x:c r="O1423" s="53"/>
      <x:c r="P1423" s="53"/>
      <x:c r="Q1423" s="53"/>
      <x:c r="R1423" s="53"/>
      <x:c r="S1423" s="53"/>
      <x:c r="T1423" s="53"/>
      <x:c r="U1423" s="53"/>
      <x:c r="V1423" s="53"/>
      <x:c r="W1423" s="53"/>
      <x:c r="X1423" s="53"/>
      <x:c r="Y1423" s="53"/>
      <x:c r="Z1423" s="53"/>
      <x:c r="AA1423" s="53"/>
      <x:c r="AB1423" s="53"/>
      <x:c r="AC1423" s="53"/>
      <x:c r="AD1423" s="53"/>
      <x:c r="AE1423" s="53"/>
      <x:c r="AF1423" s="53"/>
    </x:row>
    <x:row r="1424">
      <x:c r="A1424" s="53"/>
      <x:c r="B1424" s="53"/>
      <x:c r="C1424" s="53"/>
      <x:c r="D1424" s="53"/>
      <x:c r="E1424" s="53"/>
      <x:c r="F1424" s="53"/>
      <x:c r="G1424" s="53"/>
      <x:c r="H1424" s="53"/>
      <x:c r="I1424" s="53"/>
      <x:c r="J1424" s="53"/>
      <x:c r="K1424" s="53"/>
      <x:c r="L1424" s="53"/>
      <x:c r="M1424" s="53"/>
      <x:c r="N1424" s="53"/>
      <x:c r="O1424" s="53"/>
      <x:c r="P1424" s="53"/>
      <x:c r="Q1424" s="53"/>
      <x:c r="R1424" s="53"/>
      <x:c r="S1424" s="53"/>
      <x:c r="T1424" s="53"/>
      <x:c r="U1424" s="53"/>
      <x:c r="V1424" s="53"/>
      <x:c r="W1424" s="53"/>
      <x:c r="X1424" s="53"/>
      <x:c r="Y1424" s="53"/>
      <x:c r="Z1424" s="53"/>
      <x:c r="AA1424" s="53"/>
      <x:c r="AB1424" s="53"/>
      <x:c r="AC1424" s="53"/>
      <x:c r="AD1424" s="53"/>
      <x:c r="AE1424" s="53"/>
      <x:c r="AF1424" s="53"/>
    </x:row>
    <x:row r="1425">
      <x:c r="A1425" s="53"/>
      <x:c r="B1425" s="53"/>
      <x:c r="C1425" s="53"/>
      <x:c r="D1425" s="53"/>
      <x:c r="E1425" s="53"/>
      <x:c r="F1425" s="53"/>
      <x:c r="G1425" s="53"/>
      <x:c r="H1425" s="53"/>
      <x:c r="I1425" s="53"/>
      <x:c r="J1425" s="53"/>
      <x:c r="K1425" s="53"/>
      <x:c r="L1425" s="53"/>
      <x:c r="M1425" s="53"/>
      <x:c r="N1425" s="53"/>
      <x:c r="O1425" s="53"/>
      <x:c r="P1425" s="53"/>
      <x:c r="Q1425" s="53"/>
      <x:c r="R1425" s="53"/>
      <x:c r="S1425" s="53"/>
      <x:c r="T1425" s="53"/>
      <x:c r="U1425" s="53"/>
      <x:c r="V1425" s="53"/>
      <x:c r="W1425" s="53"/>
      <x:c r="X1425" s="53"/>
      <x:c r="Y1425" s="53"/>
      <x:c r="Z1425" s="53"/>
      <x:c r="AA1425" s="53"/>
      <x:c r="AB1425" s="53"/>
      <x:c r="AC1425" s="53"/>
      <x:c r="AD1425" s="53"/>
      <x:c r="AE1425" s="53"/>
      <x:c r="AF1425" s="53"/>
    </x:row>
    <x:row r="1426">
      <x:c r="A1426" s="53"/>
      <x:c r="B1426" s="53"/>
      <x:c r="C1426" s="53"/>
      <x:c r="D1426" s="53"/>
      <x:c r="E1426" s="53"/>
      <x:c r="F1426" s="53"/>
      <x:c r="G1426" s="53"/>
      <x:c r="H1426" s="53"/>
      <x:c r="I1426" s="53"/>
      <x:c r="J1426" s="53"/>
      <x:c r="K1426" s="53"/>
      <x:c r="L1426" s="53"/>
      <x:c r="M1426" s="53"/>
      <x:c r="N1426" s="53"/>
      <x:c r="O1426" s="53"/>
      <x:c r="P1426" s="53"/>
      <x:c r="Q1426" s="53"/>
      <x:c r="R1426" s="53"/>
      <x:c r="S1426" s="53"/>
      <x:c r="T1426" s="53"/>
      <x:c r="U1426" s="53"/>
      <x:c r="V1426" s="53"/>
      <x:c r="W1426" s="53"/>
      <x:c r="X1426" s="53"/>
      <x:c r="Y1426" s="53"/>
      <x:c r="Z1426" s="53"/>
      <x:c r="AA1426" s="53"/>
      <x:c r="AB1426" s="53"/>
      <x:c r="AC1426" s="53"/>
      <x:c r="AD1426" s="53"/>
      <x:c r="AE1426" s="53"/>
      <x:c r="AF1426" s="53"/>
    </x:row>
    <x:row r="1427">
      <x:c r="A1427" s="53"/>
      <x:c r="B1427" s="53"/>
      <x:c r="C1427" s="53"/>
      <x:c r="D1427" s="53"/>
      <x:c r="E1427" s="53"/>
      <x:c r="F1427" s="53"/>
      <x:c r="G1427" s="53"/>
      <x:c r="H1427" s="53"/>
      <x:c r="I1427" s="53"/>
      <x:c r="J1427" s="53"/>
      <x:c r="K1427" s="53"/>
      <x:c r="L1427" s="53"/>
      <x:c r="M1427" s="53"/>
      <x:c r="N1427" s="53"/>
      <x:c r="O1427" s="53"/>
      <x:c r="P1427" s="53"/>
      <x:c r="Q1427" s="53"/>
      <x:c r="R1427" s="53"/>
      <x:c r="S1427" s="53"/>
      <x:c r="T1427" s="53"/>
      <x:c r="U1427" s="53"/>
      <x:c r="V1427" s="53"/>
      <x:c r="W1427" s="53"/>
      <x:c r="X1427" s="53"/>
      <x:c r="Y1427" s="53"/>
      <x:c r="Z1427" s="53"/>
      <x:c r="AA1427" s="53"/>
      <x:c r="AB1427" s="53"/>
      <x:c r="AC1427" s="53"/>
      <x:c r="AD1427" s="53"/>
      <x:c r="AE1427" s="53"/>
      <x:c r="AF1427" s="53"/>
    </x:row>
    <x:row r="1428">
      <x:c r="A1428" s="53"/>
      <x:c r="B1428" s="53"/>
      <x:c r="C1428" s="53"/>
      <x:c r="D1428" s="53"/>
      <x:c r="E1428" s="53"/>
      <x:c r="F1428" s="53"/>
      <x:c r="G1428" s="53"/>
      <x:c r="H1428" s="53"/>
      <x:c r="I1428" s="53"/>
      <x:c r="J1428" s="53"/>
      <x:c r="K1428" s="53"/>
      <x:c r="L1428" s="53"/>
      <x:c r="M1428" s="53"/>
      <x:c r="N1428" s="53"/>
      <x:c r="O1428" s="53"/>
      <x:c r="P1428" s="53"/>
      <x:c r="Q1428" s="53"/>
      <x:c r="R1428" s="53"/>
      <x:c r="S1428" s="53"/>
      <x:c r="T1428" s="53"/>
      <x:c r="U1428" s="53"/>
      <x:c r="V1428" s="53"/>
      <x:c r="W1428" s="53"/>
      <x:c r="X1428" s="53"/>
      <x:c r="Y1428" s="53"/>
      <x:c r="Z1428" s="53"/>
      <x:c r="AA1428" s="53"/>
      <x:c r="AB1428" s="53"/>
      <x:c r="AC1428" s="53"/>
      <x:c r="AD1428" s="53"/>
      <x:c r="AE1428" s="53"/>
      <x:c r="AF1428" s="53"/>
    </x:row>
    <x:row r="1429">
      <x:c r="A1429" s="53"/>
      <x:c r="B1429" s="53"/>
      <x:c r="C1429" s="53"/>
      <x:c r="D1429" s="53"/>
      <x:c r="E1429" s="53"/>
      <x:c r="F1429" s="53"/>
      <x:c r="G1429" s="53"/>
      <x:c r="H1429" s="53"/>
      <x:c r="I1429" s="53"/>
      <x:c r="J1429" s="53"/>
      <x:c r="K1429" s="53"/>
      <x:c r="L1429" s="53"/>
      <x:c r="M1429" s="53"/>
      <x:c r="N1429" s="53"/>
      <x:c r="O1429" s="53"/>
      <x:c r="P1429" s="53"/>
      <x:c r="Q1429" s="53"/>
      <x:c r="R1429" s="53"/>
      <x:c r="S1429" s="53"/>
      <x:c r="T1429" s="53"/>
      <x:c r="U1429" s="53"/>
      <x:c r="V1429" s="53"/>
      <x:c r="W1429" s="53"/>
      <x:c r="X1429" s="53"/>
      <x:c r="Y1429" s="53"/>
      <x:c r="Z1429" s="53"/>
      <x:c r="AA1429" s="53"/>
      <x:c r="AB1429" s="53"/>
      <x:c r="AC1429" s="53"/>
      <x:c r="AD1429" s="53"/>
      <x:c r="AE1429" s="53"/>
      <x:c r="AF1429" s="53"/>
    </x:row>
    <x:row r="1430">
      <x:c r="A1430" s="53"/>
      <x:c r="B1430" s="53"/>
      <x:c r="C1430" s="53"/>
      <x:c r="D1430" s="53"/>
      <x:c r="E1430" s="53"/>
      <x:c r="F1430" s="53"/>
      <x:c r="G1430" s="53"/>
      <x:c r="H1430" s="53"/>
      <x:c r="I1430" s="53"/>
      <x:c r="J1430" s="53"/>
      <x:c r="K1430" s="53"/>
      <x:c r="L1430" s="53"/>
      <x:c r="M1430" s="53"/>
      <x:c r="N1430" s="53"/>
      <x:c r="O1430" s="53"/>
      <x:c r="P1430" s="53"/>
      <x:c r="Q1430" s="53"/>
      <x:c r="R1430" s="53"/>
      <x:c r="S1430" s="53"/>
      <x:c r="T1430" s="53"/>
      <x:c r="U1430" s="53"/>
      <x:c r="V1430" s="53"/>
      <x:c r="W1430" s="53"/>
      <x:c r="X1430" s="53"/>
      <x:c r="Y1430" s="53"/>
      <x:c r="Z1430" s="53"/>
      <x:c r="AA1430" s="53"/>
      <x:c r="AB1430" s="53"/>
      <x:c r="AC1430" s="53"/>
      <x:c r="AD1430" s="53"/>
      <x:c r="AE1430" s="53"/>
      <x:c r="AF1430" s="53"/>
    </x:row>
    <x:row r="1431">
      <x:c r="A1431" s="53"/>
      <x:c r="B1431" s="53"/>
      <x:c r="C1431" s="53"/>
      <x:c r="D1431" s="53"/>
      <x:c r="E1431" s="53"/>
      <x:c r="F1431" s="53"/>
      <x:c r="G1431" s="53"/>
      <x:c r="H1431" s="53"/>
      <x:c r="I1431" s="53"/>
      <x:c r="J1431" s="53"/>
      <x:c r="K1431" s="53"/>
      <x:c r="L1431" s="53"/>
      <x:c r="M1431" s="53"/>
      <x:c r="N1431" s="53"/>
      <x:c r="O1431" s="53"/>
      <x:c r="P1431" s="53"/>
      <x:c r="Q1431" s="53"/>
      <x:c r="R1431" s="53"/>
      <x:c r="S1431" s="53"/>
      <x:c r="T1431" s="53"/>
      <x:c r="U1431" s="53"/>
      <x:c r="V1431" s="53"/>
      <x:c r="W1431" s="53"/>
      <x:c r="X1431" s="53"/>
      <x:c r="Y1431" s="53"/>
      <x:c r="Z1431" s="53"/>
      <x:c r="AA1431" s="53"/>
      <x:c r="AB1431" s="53"/>
      <x:c r="AC1431" s="53"/>
      <x:c r="AD1431" s="53"/>
      <x:c r="AE1431" s="53"/>
      <x:c r="AF1431" s="53"/>
    </x:row>
    <x:row r="1432">
      <x:c r="A1432" s="53"/>
      <x:c r="B1432" s="53"/>
      <x:c r="C1432" s="53"/>
      <x:c r="D1432" s="53"/>
      <x:c r="E1432" s="53"/>
      <x:c r="F1432" s="53"/>
      <x:c r="G1432" s="53"/>
      <x:c r="H1432" s="53"/>
      <x:c r="I1432" s="53"/>
      <x:c r="J1432" s="53"/>
      <x:c r="K1432" s="53"/>
      <x:c r="L1432" s="53"/>
      <x:c r="M1432" s="53"/>
      <x:c r="N1432" s="53"/>
      <x:c r="O1432" s="53"/>
      <x:c r="P1432" s="53"/>
      <x:c r="Q1432" s="53"/>
      <x:c r="R1432" s="53"/>
      <x:c r="S1432" s="53"/>
      <x:c r="T1432" s="53"/>
      <x:c r="U1432" s="53"/>
      <x:c r="V1432" s="53"/>
      <x:c r="W1432" s="53"/>
      <x:c r="X1432" s="53"/>
      <x:c r="Y1432" s="53"/>
      <x:c r="Z1432" s="53"/>
      <x:c r="AA1432" s="53"/>
      <x:c r="AB1432" s="53"/>
      <x:c r="AC1432" s="53"/>
      <x:c r="AD1432" s="53"/>
      <x:c r="AE1432" s="53"/>
      <x:c r="AF1432" s="53"/>
    </x:row>
    <x:row r="1433">
      <x:c r="A1433" s="53"/>
      <x:c r="B1433" s="53"/>
      <x:c r="C1433" s="53"/>
      <x:c r="D1433" s="53"/>
      <x:c r="E1433" s="53"/>
      <x:c r="F1433" s="53"/>
      <x:c r="G1433" s="53"/>
      <x:c r="H1433" s="53"/>
      <x:c r="I1433" s="53"/>
      <x:c r="J1433" s="53"/>
      <x:c r="K1433" s="53"/>
      <x:c r="L1433" s="53"/>
      <x:c r="M1433" s="53"/>
      <x:c r="N1433" s="53"/>
      <x:c r="O1433" s="53"/>
      <x:c r="P1433" s="53"/>
      <x:c r="Q1433" s="53"/>
      <x:c r="R1433" s="53"/>
      <x:c r="S1433" s="53"/>
      <x:c r="T1433" s="53"/>
      <x:c r="U1433" s="53"/>
      <x:c r="V1433" s="53"/>
      <x:c r="W1433" s="53"/>
      <x:c r="X1433" s="53"/>
      <x:c r="Y1433" s="53"/>
      <x:c r="Z1433" s="53"/>
      <x:c r="AA1433" s="53"/>
      <x:c r="AB1433" s="53"/>
      <x:c r="AC1433" s="53"/>
      <x:c r="AD1433" s="53"/>
      <x:c r="AE1433" s="53"/>
      <x:c r="AF1433" s="53"/>
    </x:row>
    <x:row r="1434">
      <x:c r="A1434" s="53"/>
      <x:c r="B1434" s="53"/>
      <x:c r="C1434" s="53"/>
      <x:c r="D1434" s="53"/>
      <x:c r="E1434" s="53"/>
      <x:c r="F1434" s="53"/>
      <x:c r="G1434" s="53"/>
      <x:c r="H1434" s="53"/>
      <x:c r="I1434" s="53"/>
      <x:c r="J1434" s="53"/>
      <x:c r="K1434" s="53"/>
      <x:c r="L1434" s="53"/>
      <x:c r="M1434" s="53"/>
      <x:c r="N1434" s="53"/>
      <x:c r="O1434" s="53"/>
      <x:c r="P1434" s="53"/>
      <x:c r="Q1434" s="53"/>
      <x:c r="R1434" s="53"/>
      <x:c r="S1434" s="53"/>
      <x:c r="T1434" s="53"/>
      <x:c r="U1434" s="53"/>
      <x:c r="V1434" s="53"/>
      <x:c r="W1434" s="53"/>
      <x:c r="X1434" s="53"/>
      <x:c r="Y1434" s="53"/>
      <x:c r="Z1434" s="53"/>
      <x:c r="AA1434" s="53"/>
      <x:c r="AB1434" s="53"/>
      <x:c r="AC1434" s="53"/>
      <x:c r="AD1434" s="53"/>
      <x:c r="AE1434" s="53"/>
      <x:c r="AF1434" s="53"/>
    </x:row>
    <x:row r="1435">
      <x:c r="A1435" s="53"/>
      <x:c r="B1435" s="53"/>
      <x:c r="C1435" s="53"/>
      <x:c r="D1435" s="53"/>
      <x:c r="E1435" s="53"/>
      <x:c r="F1435" s="53"/>
      <x:c r="G1435" s="53"/>
      <x:c r="H1435" s="53"/>
      <x:c r="I1435" s="53"/>
      <x:c r="J1435" s="53"/>
      <x:c r="K1435" s="53"/>
      <x:c r="L1435" s="53"/>
      <x:c r="M1435" s="53"/>
      <x:c r="N1435" s="53"/>
      <x:c r="O1435" s="53"/>
      <x:c r="P1435" s="53"/>
      <x:c r="Q1435" s="53"/>
      <x:c r="R1435" s="53"/>
      <x:c r="S1435" s="53"/>
      <x:c r="T1435" s="53"/>
      <x:c r="U1435" s="53"/>
      <x:c r="V1435" s="53"/>
      <x:c r="W1435" s="53"/>
      <x:c r="X1435" s="53"/>
      <x:c r="Y1435" s="53"/>
      <x:c r="Z1435" s="53"/>
      <x:c r="AA1435" s="53"/>
      <x:c r="AB1435" s="53"/>
      <x:c r="AC1435" s="53"/>
      <x:c r="AD1435" s="53"/>
      <x:c r="AE1435" s="53"/>
      <x:c r="AF1435" s="53"/>
    </x:row>
    <x:row r="1436">
      <x:c r="A1436" s="53"/>
      <x:c r="B1436" s="53"/>
      <x:c r="C1436" s="53"/>
      <x:c r="D1436" s="53"/>
      <x:c r="E1436" s="53"/>
      <x:c r="F1436" s="53"/>
      <x:c r="G1436" s="53"/>
      <x:c r="H1436" s="53"/>
      <x:c r="I1436" s="53"/>
      <x:c r="J1436" s="53"/>
      <x:c r="K1436" s="53"/>
      <x:c r="L1436" s="53"/>
      <x:c r="M1436" s="53"/>
      <x:c r="N1436" s="53"/>
      <x:c r="O1436" s="53"/>
      <x:c r="P1436" s="53"/>
      <x:c r="Q1436" s="53"/>
      <x:c r="R1436" s="53"/>
      <x:c r="S1436" s="53"/>
      <x:c r="T1436" s="53"/>
      <x:c r="U1436" s="53"/>
      <x:c r="V1436" s="53"/>
      <x:c r="W1436" s="53"/>
      <x:c r="X1436" s="53"/>
      <x:c r="Y1436" s="53"/>
      <x:c r="Z1436" s="53"/>
      <x:c r="AA1436" s="53"/>
      <x:c r="AB1436" s="53"/>
      <x:c r="AC1436" s="53"/>
      <x:c r="AD1436" s="53"/>
      <x:c r="AE1436" s="53"/>
      <x:c r="AF1436" s="53"/>
    </x:row>
    <x:row r="1437">
      <x:c r="A1437" s="53"/>
      <x:c r="B1437" s="53"/>
      <x:c r="C1437" s="53"/>
      <x:c r="D1437" s="53"/>
      <x:c r="E1437" s="53"/>
      <x:c r="F1437" s="53"/>
      <x:c r="G1437" s="53"/>
      <x:c r="H1437" s="53"/>
      <x:c r="I1437" s="53"/>
      <x:c r="J1437" s="53"/>
      <x:c r="K1437" s="53"/>
      <x:c r="L1437" s="53"/>
      <x:c r="M1437" s="53"/>
      <x:c r="N1437" s="53"/>
      <x:c r="O1437" s="53"/>
      <x:c r="P1437" s="53"/>
      <x:c r="Q1437" s="53"/>
      <x:c r="R1437" s="53"/>
      <x:c r="S1437" s="53"/>
      <x:c r="T1437" s="53"/>
      <x:c r="U1437" s="53"/>
      <x:c r="V1437" s="53"/>
      <x:c r="W1437" s="53"/>
      <x:c r="X1437" s="53"/>
      <x:c r="Y1437" s="53"/>
      <x:c r="Z1437" s="53"/>
      <x:c r="AA1437" s="53"/>
      <x:c r="AB1437" s="53"/>
      <x:c r="AC1437" s="53"/>
      <x:c r="AD1437" s="53"/>
      <x:c r="AE1437" s="53"/>
      <x:c r="AF1437" s="53"/>
    </x:row>
    <x:row r="1438">
      <x:c r="A1438" s="53"/>
      <x:c r="B1438" s="53"/>
      <x:c r="C1438" s="53"/>
      <x:c r="D1438" s="53"/>
      <x:c r="E1438" s="53"/>
      <x:c r="F1438" s="53"/>
      <x:c r="G1438" s="53"/>
      <x:c r="H1438" s="53"/>
      <x:c r="I1438" s="53"/>
      <x:c r="J1438" s="53"/>
      <x:c r="K1438" s="53"/>
      <x:c r="L1438" s="53"/>
      <x:c r="M1438" s="53"/>
      <x:c r="N1438" s="53"/>
      <x:c r="O1438" s="53"/>
      <x:c r="P1438" s="53"/>
      <x:c r="Q1438" s="53"/>
      <x:c r="R1438" s="53"/>
      <x:c r="S1438" s="53"/>
      <x:c r="T1438" s="53"/>
      <x:c r="U1438" s="53"/>
      <x:c r="V1438" s="53"/>
      <x:c r="W1438" s="53"/>
      <x:c r="X1438" s="53"/>
      <x:c r="Y1438" s="53"/>
      <x:c r="Z1438" s="53"/>
      <x:c r="AA1438" s="53"/>
      <x:c r="AB1438" s="53"/>
      <x:c r="AC1438" s="53"/>
      <x:c r="AD1438" s="53"/>
      <x:c r="AE1438" s="53"/>
      <x:c r="AF1438" s="53"/>
    </x:row>
    <x:row r="1439">
      <x:c r="A1439" s="53"/>
      <x:c r="B1439" s="53"/>
      <x:c r="C1439" s="53"/>
      <x:c r="D1439" s="53"/>
      <x:c r="E1439" s="53"/>
      <x:c r="F1439" s="53"/>
      <x:c r="G1439" s="53"/>
      <x:c r="H1439" s="53"/>
      <x:c r="I1439" s="53"/>
      <x:c r="J1439" s="53"/>
      <x:c r="K1439" s="53"/>
      <x:c r="L1439" s="53"/>
      <x:c r="M1439" s="53"/>
      <x:c r="N1439" s="53"/>
      <x:c r="O1439" s="53"/>
      <x:c r="P1439" s="53"/>
      <x:c r="Q1439" s="53"/>
      <x:c r="R1439" s="53"/>
      <x:c r="S1439" s="53"/>
      <x:c r="T1439" s="53"/>
      <x:c r="U1439" s="53"/>
      <x:c r="V1439" s="53"/>
      <x:c r="W1439" s="53"/>
      <x:c r="X1439" s="53"/>
      <x:c r="Y1439" s="53"/>
      <x:c r="Z1439" s="53"/>
      <x:c r="AA1439" s="53"/>
      <x:c r="AB1439" s="53"/>
      <x:c r="AC1439" s="53"/>
      <x:c r="AD1439" s="53"/>
      <x:c r="AE1439" s="53"/>
      <x:c r="AF1439" s="53"/>
    </x:row>
    <x:row r="1440">
      <x:c r="A1440" s="53"/>
      <x:c r="B1440" s="53"/>
      <x:c r="C1440" s="53"/>
      <x:c r="D1440" s="53"/>
      <x:c r="E1440" s="53"/>
      <x:c r="F1440" s="53"/>
      <x:c r="G1440" s="53"/>
      <x:c r="H1440" s="53"/>
      <x:c r="I1440" s="53"/>
      <x:c r="J1440" s="53"/>
      <x:c r="K1440" s="53"/>
      <x:c r="L1440" s="53"/>
      <x:c r="M1440" s="53"/>
      <x:c r="N1440" s="53"/>
      <x:c r="O1440" s="53"/>
      <x:c r="P1440" s="53"/>
      <x:c r="Q1440" s="53"/>
      <x:c r="R1440" s="53"/>
      <x:c r="S1440" s="53"/>
      <x:c r="T1440" s="53"/>
      <x:c r="U1440" s="53"/>
      <x:c r="V1440" s="53"/>
      <x:c r="W1440" s="53"/>
      <x:c r="X1440" s="53"/>
      <x:c r="Y1440" s="53"/>
      <x:c r="Z1440" s="53"/>
      <x:c r="AA1440" s="53"/>
      <x:c r="AB1440" s="53"/>
      <x:c r="AC1440" s="53"/>
      <x:c r="AD1440" s="53"/>
      <x:c r="AE1440" s="53"/>
      <x:c r="AF1440" s="53"/>
    </x:row>
    <x:row r="1441">
      <x:c r="A1441" s="53"/>
      <x:c r="B1441" s="53"/>
      <x:c r="C1441" s="53"/>
      <x:c r="D1441" s="53"/>
      <x:c r="E1441" s="53"/>
      <x:c r="F1441" s="53"/>
      <x:c r="G1441" s="53"/>
      <x:c r="H1441" s="53"/>
      <x:c r="I1441" s="53"/>
      <x:c r="J1441" s="53"/>
      <x:c r="K1441" s="53"/>
      <x:c r="L1441" s="53"/>
      <x:c r="M1441" s="53"/>
      <x:c r="N1441" s="53"/>
      <x:c r="O1441" s="53"/>
      <x:c r="P1441" s="53"/>
      <x:c r="Q1441" s="53"/>
      <x:c r="R1441" s="53"/>
      <x:c r="S1441" s="53"/>
      <x:c r="T1441" s="53"/>
      <x:c r="U1441" s="53"/>
      <x:c r="V1441" s="53"/>
      <x:c r="W1441" s="53"/>
      <x:c r="X1441" s="53"/>
      <x:c r="Y1441" s="53"/>
      <x:c r="Z1441" s="53"/>
      <x:c r="AA1441" s="53"/>
      <x:c r="AB1441" s="53"/>
      <x:c r="AC1441" s="53"/>
      <x:c r="AD1441" s="53"/>
      <x:c r="AE1441" s="53"/>
      <x:c r="AF1441" s="53"/>
    </x:row>
    <x:row r="1442">
      <x:c r="A1442" s="53"/>
      <x:c r="B1442" s="53"/>
      <x:c r="C1442" s="53"/>
      <x:c r="D1442" s="53"/>
      <x:c r="E1442" s="53"/>
      <x:c r="F1442" s="53"/>
      <x:c r="G1442" s="53"/>
      <x:c r="H1442" s="53"/>
      <x:c r="I1442" s="53"/>
      <x:c r="J1442" s="53"/>
      <x:c r="K1442" s="53"/>
      <x:c r="L1442" s="53"/>
      <x:c r="M1442" s="53"/>
      <x:c r="N1442" s="53"/>
      <x:c r="O1442" s="53"/>
      <x:c r="P1442" s="53"/>
      <x:c r="Q1442" s="53"/>
      <x:c r="R1442" s="53"/>
      <x:c r="S1442" s="53"/>
      <x:c r="T1442" s="53"/>
      <x:c r="U1442" s="53"/>
      <x:c r="V1442" s="53"/>
      <x:c r="W1442" s="53"/>
      <x:c r="X1442" s="53"/>
      <x:c r="Y1442" s="53"/>
      <x:c r="Z1442" s="53"/>
      <x:c r="AA1442" s="53"/>
      <x:c r="AB1442" s="53"/>
      <x:c r="AC1442" s="53"/>
      <x:c r="AD1442" s="53"/>
      <x:c r="AE1442" s="53"/>
      <x:c r="AF1442" s="53"/>
    </x:row>
    <x:row r="1443">
      <x:c r="A1443" s="53"/>
      <x:c r="B1443" s="53"/>
      <x:c r="C1443" s="53"/>
      <x:c r="D1443" s="53"/>
      <x:c r="E1443" s="53"/>
      <x:c r="F1443" s="53"/>
      <x:c r="G1443" s="53"/>
      <x:c r="H1443" s="53"/>
      <x:c r="I1443" s="53"/>
      <x:c r="J1443" s="53"/>
      <x:c r="K1443" s="53"/>
      <x:c r="L1443" s="53"/>
      <x:c r="M1443" s="53"/>
      <x:c r="N1443" s="53"/>
      <x:c r="O1443" s="53"/>
      <x:c r="P1443" s="53"/>
      <x:c r="Q1443" s="53"/>
      <x:c r="R1443" s="53"/>
      <x:c r="S1443" s="53"/>
      <x:c r="T1443" s="53"/>
      <x:c r="U1443" s="53"/>
      <x:c r="V1443" s="53"/>
      <x:c r="W1443" s="53"/>
      <x:c r="X1443" s="53"/>
      <x:c r="Y1443" s="53"/>
      <x:c r="Z1443" s="53"/>
      <x:c r="AA1443" s="53"/>
      <x:c r="AB1443" s="53"/>
      <x:c r="AC1443" s="53"/>
      <x:c r="AD1443" s="53"/>
      <x:c r="AE1443" s="53"/>
      <x:c r="AF1443" s="53"/>
    </x:row>
    <x:row r="1444">
      <x:c r="A1444" s="53"/>
      <x:c r="B1444" s="53"/>
      <x:c r="C1444" s="53"/>
      <x:c r="D1444" s="53"/>
      <x:c r="E1444" s="53"/>
      <x:c r="F1444" s="53"/>
      <x:c r="G1444" s="53"/>
      <x:c r="H1444" s="53"/>
      <x:c r="I1444" s="53"/>
      <x:c r="J1444" s="53"/>
      <x:c r="K1444" s="53"/>
      <x:c r="L1444" s="53"/>
      <x:c r="M1444" s="53"/>
      <x:c r="N1444" s="53"/>
      <x:c r="O1444" s="53"/>
      <x:c r="P1444" s="53"/>
      <x:c r="Q1444" s="53"/>
      <x:c r="R1444" s="53"/>
      <x:c r="S1444" s="53"/>
      <x:c r="T1444" s="53"/>
      <x:c r="U1444" s="53"/>
      <x:c r="V1444" s="53"/>
      <x:c r="W1444" s="53"/>
      <x:c r="X1444" s="53"/>
      <x:c r="Y1444" s="53"/>
      <x:c r="Z1444" s="53"/>
      <x:c r="AA1444" s="53"/>
      <x:c r="AB1444" s="53"/>
      <x:c r="AC1444" s="53"/>
      <x:c r="AD1444" s="53"/>
      <x:c r="AE1444" s="53"/>
      <x:c r="AF1444" s="53"/>
    </x:row>
    <x:row r="1445">
      <x:c r="A1445" s="53"/>
      <x:c r="B1445" s="53"/>
      <x:c r="C1445" s="53"/>
      <x:c r="D1445" s="53"/>
      <x:c r="E1445" s="53"/>
      <x:c r="F1445" s="53"/>
      <x:c r="G1445" s="53"/>
      <x:c r="H1445" s="53"/>
      <x:c r="I1445" s="53"/>
      <x:c r="J1445" s="53"/>
      <x:c r="K1445" s="53"/>
      <x:c r="L1445" s="53"/>
      <x:c r="M1445" s="53"/>
      <x:c r="N1445" s="53"/>
      <x:c r="O1445" s="53"/>
      <x:c r="P1445" s="53"/>
      <x:c r="Q1445" s="53"/>
      <x:c r="R1445" s="53"/>
      <x:c r="S1445" s="53"/>
      <x:c r="T1445" s="53"/>
      <x:c r="U1445" s="53"/>
      <x:c r="V1445" s="53"/>
      <x:c r="W1445" s="53"/>
      <x:c r="X1445" s="53"/>
      <x:c r="Y1445" s="53"/>
      <x:c r="Z1445" s="53"/>
      <x:c r="AA1445" s="53"/>
      <x:c r="AB1445" s="53"/>
      <x:c r="AC1445" s="53"/>
      <x:c r="AD1445" s="53"/>
      <x:c r="AE1445" s="53"/>
      <x:c r="AF1445" s="53"/>
    </x:row>
    <x:row r="1446">
      <x:c r="A1446" s="53"/>
      <x:c r="B1446" s="53"/>
      <x:c r="C1446" s="53"/>
      <x:c r="D1446" s="53"/>
      <x:c r="E1446" s="53"/>
      <x:c r="F1446" s="53"/>
      <x:c r="G1446" s="53"/>
      <x:c r="H1446" s="53"/>
      <x:c r="I1446" s="53"/>
      <x:c r="J1446" s="53"/>
      <x:c r="K1446" s="53"/>
      <x:c r="L1446" s="53"/>
      <x:c r="M1446" s="53"/>
      <x:c r="N1446" s="53"/>
      <x:c r="O1446" s="53"/>
      <x:c r="P1446" s="53"/>
      <x:c r="Q1446" s="53"/>
      <x:c r="R1446" s="53"/>
      <x:c r="S1446" s="53"/>
      <x:c r="T1446" s="53"/>
      <x:c r="U1446" s="53"/>
      <x:c r="V1446" s="53"/>
      <x:c r="W1446" s="53"/>
      <x:c r="X1446" s="53"/>
      <x:c r="Y1446" s="53"/>
      <x:c r="Z1446" s="53"/>
      <x:c r="AA1446" s="53"/>
      <x:c r="AB1446" s="53"/>
      <x:c r="AC1446" s="53"/>
      <x:c r="AD1446" s="53"/>
      <x:c r="AE1446" s="53"/>
      <x:c r="AF1446" s="53"/>
    </x:row>
    <x:row r="1447">
      <x:c r="A1447" s="53"/>
      <x:c r="B1447" s="53"/>
      <x:c r="C1447" s="53"/>
      <x:c r="D1447" s="53"/>
      <x:c r="E1447" s="53"/>
      <x:c r="F1447" s="53"/>
      <x:c r="G1447" s="53"/>
      <x:c r="H1447" s="53"/>
      <x:c r="I1447" s="53"/>
      <x:c r="J1447" s="53"/>
      <x:c r="K1447" s="53"/>
      <x:c r="L1447" s="53"/>
      <x:c r="M1447" s="53"/>
      <x:c r="N1447" s="53"/>
      <x:c r="O1447" s="53"/>
      <x:c r="P1447" s="53"/>
      <x:c r="Q1447" s="53"/>
      <x:c r="R1447" s="53"/>
      <x:c r="S1447" s="53"/>
      <x:c r="T1447" s="53"/>
      <x:c r="U1447" s="53"/>
      <x:c r="V1447" s="53"/>
      <x:c r="W1447" s="53"/>
      <x:c r="X1447" s="53"/>
      <x:c r="Y1447" s="53"/>
      <x:c r="Z1447" s="53"/>
      <x:c r="AA1447" s="53"/>
      <x:c r="AB1447" s="53"/>
      <x:c r="AC1447" s="53"/>
      <x:c r="AD1447" s="53"/>
      <x:c r="AE1447" s="53"/>
      <x:c r="AF1447" s="53"/>
    </x:row>
    <x:row r="1448">
      <x:c r="A1448" s="53"/>
      <x:c r="B1448" s="53"/>
      <x:c r="C1448" s="53"/>
      <x:c r="D1448" s="53"/>
      <x:c r="E1448" s="53"/>
      <x:c r="F1448" s="53"/>
      <x:c r="G1448" s="53"/>
      <x:c r="H1448" s="53"/>
      <x:c r="I1448" s="53"/>
      <x:c r="J1448" s="53"/>
      <x:c r="K1448" s="53"/>
      <x:c r="L1448" s="53"/>
      <x:c r="M1448" s="53"/>
      <x:c r="N1448" s="53"/>
      <x:c r="O1448" s="53"/>
      <x:c r="P1448" s="53"/>
      <x:c r="Q1448" s="53"/>
      <x:c r="R1448" s="53"/>
      <x:c r="S1448" s="53"/>
      <x:c r="T1448" s="53"/>
      <x:c r="U1448" s="53"/>
      <x:c r="V1448" s="53"/>
      <x:c r="W1448" s="53"/>
      <x:c r="X1448" s="53"/>
      <x:c r="Y1448" s="53"/>
      <x:c r="Z1448" s="53"/>
      <x:c r="AA1448" s="53"/>
      <x:c r="AB1448" s="53"/>
      <x:c r="AC1448" s="53"/>
      <x:c r="AD1448" s="53"/>
      <x:c r="AE1448" s="53"/>
      <x:c r="AF1448" s="53"/>
    </x:row>
    <x:row r="1449">
      <x:c r="A1449" s="53"/>
      <x:c r="B1449" s="53"/>
      <x:c r="C1449" s="53"/>
      <x:c r="D1449" s="53"/>
      <x:c r="E1449" s="53"/>
      <x:c r="F1449" s="53"/>
      <x:c r="G1449" s="53"/>
      <x:c r="H1449" s="53"/>
      <x:c r="I1449" s="53"/>
      <x:c r="J1449" s="53"/>
      <x:c r="K1449" s="53"/>
      <x:c r="L1449" s="53"/>
      <x:c r="M1449" s="53"/>
      <x:c r="N1449" s="53"/>
      <x:c r="O1449" s="53"/>
      <x:c r="P1449" s="53"/>
      <x:c r="Q1449" s="53"/>
      <x:c r="R1449" s="53"/>
      <x:c r="S1449" s="53"/>
      <x:c r="T1449" s="53"/>
      <x:c r="U1449" s="53"/>
      <x:c r="V1449" s="53"/>
      <x:c r="W1449" s="53"/>
      <x:c r="X1449" s="53"/>
      <x:c r="Y1449" s="53"/>
      <x:c r="Z1449" s="53"/>
      <x:c r="AA1449" s="53"/>
      <x:c r="AB1449" s="53"/>
      <x:c r="AC1449" s="53"/>
      <x:c r="AD1449" s="53"/>
      <x:c r="AE1449" s="53"/>
      <x:c r="AF1449" s="53"/>
    </x:row>
    <x:row r="1450">
      <x:c r="A1450" s="53"/>
      <x:c r="B1450" s="53"/>
      <x:c r="C1450" s="53"/>
      <x:c r="D1450" s="53"/>
      <x:c r="E1450" s="53"/>
      <x:c r="F1450" s="53"/>
      <x:c r="G1450" s="53"/>
      <x:c r="H1450" s="53"/>
      <x:c r="I1450" s="53"/>
      <x:c r="J1450" s="53"/>
      <x:c r="K1450" s="53"/>
      <x:c r="L1450" s="53"/>
      <x:c r="M1450" s="53"/>
      <x:c r="N1450" s="53"/>
      <x:c r="O1450" s="53"/>
      <x:c r="P1450" s="53"/>
      <x:c r="Q1450" s="53"/>
      <x:c r="R1450" s="53"/>
      <x:c r="S1450" s="53"/>
      <x:c r="T1450" s="53"/>
      <x:c r="U1450" s="53"/>
      <x:c r="V1450" s="53"/>
      <x:c r="W1450" s="53"/>
      <x:c r="X1450" s="53"/>
      <x:c r="Y1450" s="53"/>
      <x:c r="Z1450" s="53"/>
      <x:c r="AA1450" s="53"/>
      <x:c r="AB1450" s="53"/>
      <x:c r="AC1450" s="53"/>
      <x:c r="AD1450" s="53"/>
      <x:c r="AE1450" s="53"/>
      <x:c r="AF1450" s="53"/>
    </x:row>
    <x:row r="1451">
      <x:c r="A1451" s="53"/>
      <x:c r="B1451" s="53"/>
      <x:c r="C1451" s="53"/>
      <x:c r="D1451" s="53"/>
      <x:c r="E1451" s="53"/>
      <x:c r="F1451" s="53"/>
      <x:c r="G1451" s="53"/>
      <x:c r="H1451" s="53"/>
      <x:c r="I1451" s="53"/>
      <x:c r="J1451" s="53"/>
      <x:c r="K1451" s="53"/>
      <x:c r="L1451" s="53"/>
      <x:c r="M1451" s="53"/>
      <x:c r="N1451" s="53"/>
      <x:c r="O1451" s="53"/>
      <x:c r="P1451" s="53"/>
      <x:c r="Q1451" s="53"/>
      <x:c r="R1451" s="53"/>
      <x:c r="S1451" s="53"/>
      <x:c r="T1451" s="53"/>
      <x:c r="U1451" s="53"/>
      <x:c r="V1451" s="53"/>
      <x:c r="W1451" s="53"/>
      <x:c r="X1451" s="53"/>
      <x:c r="Y1451" s="53"/>
      <x:c r="Z1451" s="53"/>
      <x:c r="AA1451" s="53"/>
      <x:c r="AB1451" s="53"/>
      <x:c r="AC1451" s="53"/>
      <x:c r="AD1451" s="53"/>
      <x:c r="AE1451" s="53"/>
      <x:c r="AF1451" s="53"/>
    </x:row>
    <x:row r="1452">
      <x:c r="A1452" s="53"/>
      <x:c r="B1452" s="53"/>
      <x:c r="C1452" s="53"/>
      <x:c r="D1452" s="53"/>
      <x:c r="E1452" s="53"/>
      <x:c r="F1452" s="53"/>
      <x:c r="G1452" s="53"/>
      <x:c r="H1452" s="53"/>
      <x:c r="I1452" s="53"/>
      <x:c r="J1452" s="53"/>
      <x:c r="K1452" s="53"/>
      <x:c r="L1452" s="53"/>
      <x:c r="M1452" s="53"/>
      <x:c r="N1452" s="53"/>
      <x:c r="O1452" s="53"/>
      <x:c r="P1452" s="53"/>
      <x:c r="Q1452" s="53"/>
      <x:c r="R1452" s="53"/>
      <x:c r="S1452" s="53"/>
      <x:c r="T1452" s="53"/>
      <x:c r="U1452" s="53"/>
      <x:c r="V1452" s="53"/>
      <x:c r="W1452" s="53"/>
      <x:c r="X1452" s="53"/>
      <x:c r="Y1452" s="53"/>
      <x:c r="Z1452" s="53"/>
      <x:c r="AA1452" s="53"/>
      <x:c r="AB1452" s="53"/>
      <x:c r="AC1452" s="53"/>
      <x:c r="AD1452" s="53"/>
      <x:c r="AE1452" s="53"/>
      <x:c r="AF1452" s="53"/>
    </x:row>
    <x:row r="1453">
      <x:c r="A1453" s="53"/>
      <x:c r="B1453" s="53"/>
      <x:c r="C1453" s="53"/>
      <x:c r="D1453" s="53"/>
      <x:c r="E1453" s="53"/>
      <x:c r="F1453" s="53"/>
      <x:c r="G1453" s="53"/>
      <x:c r="H1453" s="53"/>
      <x:c r="I1453" s="53"/>
      <x:c r="J1453" s="53"/>
      <x:c r="K1453" s="53"/>
      <x:c r="L1453" s="53"/>
      <x:c r="M1453" s="53"/>
      <x:c r="N1453" s="53"/>
      <x:c r="O1453" s="53"/>
      <x:c r="P1453" s="53"/>
      <x:c r="Q1453" s="53"/>
      <x:c r="R1453" s="53"/>
      <x:c r="S1453" s="53"/>
      <x:c r="T1453" s="53"/>
      <x:c r="U1453" s="53"/>
      <x:c r="V1453" s="53"/>
      <x:c r="W1453" s="53"/>
      <x:c r="X1453" s="53"/>
      <x:c r="Y1453" s="53"/>
      <x:c r="Z1453" s="53"/>
      <x:c r="AA1453" s="53"/>
      <x:c r="AB1453" s="53"/>
      <x:c r="AC1453" s="53"/>
      <x:c r="AD1453" s="53"/>
      <x:c r="AE1453" s="53"/>
      <x:c r="AF1453" s="53"/>
    </x:row>
    <x:row r="1454">
      <x:c r="A1454" s="53"/>
      <x:c r="B1454" s="53"/>
      <x:c r="C1454" s="53"/>
      <x:c r="D1454" s="53"/>
      <x:c r="E1454" s="53"/>
      <x:c r="F1454" s="53"/>
      <x:c r="G1454" s="53"/>
      <x:c r="H1454" s="53"/>
      <x:c r="I1454" s="53"/>
      <x:c r="J1454" s="53"/>
      <x:c r="K1454" s="53"/>
      <x:c r="L1454" s="53"/>
      <x:c r="M1454" s="53"/>
      <x:c r="N1454" s="53"/>
      <x:c r="O1454" s="53"/>
      <x:c r="P1454" s="53"/>
      <x:c r="Q1454" s="53"/>
      <x:c r="R1454" s="53"/>
      <x:c r="S1454" s="53"/>
      <x:c r="T1454" s="53"/>
      <x:c r="U1454" s="53"/>
      <x:c r="V1454" s="53"/>
      <x:c r="W1454" s="53"/>
      <x:c r="X1454" s="53"/>
      <x:c r="Y1454" s="53"/>
      <x:c r="Z1454" s="53"/>
      <x:c r="AA1454" s="53"/>
      <x:c r="AB1454" s="53"/>
      <x:c r="AC1454" s="53"/>
      <x:c r="AD1454" s="53"/>
      <x:c r="AE1454" s="53"/>
      <x:c r="AF1454" s="53"/>
    </x:row>
    <x:row r="1455">
      <x:c r="A1455" s="53"/>
      <x:c r="B1455" s="53"/>
      <x:c r="C1455" s="53"/>
      <x:c r="D1455" s="53"/>
      <x:c r="E1455" s="53"/>
      <x:c r="F1455" s="53"/>
      <x:c r="G1455" s="53"/>
      <x:c r="H1455" s="53"/>
      <x:c r="I1455" s="53"/>
      <x:c r="J1455" s="53"/>
      <x:c r="K1455" s="53"/>
      <x:c r="L1455" s="53"/>
      <x:c r="M1455" s="53"/>
      <x:c r="N1455" s="53"/>
      <x:c r="O1455" s="53"/>
      <x:c r="P1455" s="53"/>
      <x:c r="Q1455" s="53"/>
      <x:c r="R1455" s="53"/>
      <x:c r="S1455" s="53"/>
      <x:c r="T1455" s="53"/>
      <x:c r="U1455" s="53"/>
      <x:c r="V1455" s="53"/>
      <x:c r="W1455" s="53"/>
      <x:c r="X1455" s="53"/>
      <x:c r="Y1455" s="53"/>
      <x:c r="Z1455" s="53"/>
      <x:c r="AA1455" s="53"/>
      <x:c r="AB1455" s="53"/>
      <x:c r="AC1455" s="53"/>
      <x:c r="AD1455" s="53"/>
      <x:c r="AE1455" s="53"/>
      <x:c r="AF1455" s="53"/>
    </x:row>
    <x:row r="1456">
      <x:c r="A1456" s="53"/>
      <x:c r="B1456" s="53"/>
      <x:c r="C1456" s="53"/>
      <x:c r="D1456" s="53"/>
      <x:c r="E1456" s="53"/>
      <x:c r="F1456" s="53"/>
      <x:c r="G1456" s="53"/>
      <x:c r="H1456" s="53"/>
      <x:c r="I1456" s="53"/>
      <x:c r="J1456" s="53"/>
      <x:c r="K1456" s="53"/>
      <x:c r="L1456" s="53"/>
      <x:c r="M1456" s="53"/>
      <x:c r="N1456" s="53"/>
      <x:c r="O1456" s="53"/>
      <x:c r="P1456" s="53"/>
      <x:c r="Q1456" s="53"/>
      <x:c r="R1456" s="53"/>
      <x:c r="S1456" s="53"/>
      <x:c r="T1456" s="53"/>
      <x:c r="U1456" s="53"/>
      <x:c r="V1456" s="53"/>
      <x:c r="W1456" s="53"/>
      <x:c r="X1456" s="53"/>
      <x:c r="Y1456" s="53"/>
      <x:c r="Z1456" s="53"/>
      <x:c r="AA1456" s="53"/>
      <x:c r="AB1456" s="53"/>
      <x:c r="AC1456" s="53"/>
      <x:c r="AD1456" s="53"/>
      <x:c r="AE1456" s="53"/>
      <x:c r="AF1456" s="53"/>
    </x:row>
    <x:row r="1457">
      <x:c r="A1457" s="53"/>
      <x:c r="B1457" s="53"/>
      <x:c r="C1457" s="53"/>
      <x:c r="D1457" s="53"/>
      <x:c r="E1457" s="53"/>
      <x:c r="F1457" s="53"/>
      <x:c r="G1457" s="53"/>
      <x:c r="H1457" s="53"/>
      <x:c r="I1457" s="53"/>
      <x:c r="J1457" s="53"/>
      <x:c r="K1457" s="53"/>
      <x:c r="L1457" s="53"/>
      <x:c r="M1457" s="53"/>
      <x:c r="N1457" s="53"/>
      <x:c r="O1457" s="53"/>
      <x:c r="P1457" s="53"/>
      <x:c r="Q1457" s="53"/>
      <x:c r="R1457" s="53"/>
      <x:c r="S1457" s="53"/>
      <x:c r="T1457" s="53"/>
      <x:c r="U1457" s="53"/>
      <x:c r="V1457" s="53"/>
      <x:c r="W1457" s="53"/>
      <x:c r="X1457" s="53"/>
      <x:c r="Y1457" s="53"/>
      <x:c r="Z1457" s="53"/>
      <x:c r="AA1457" s="53"/>
      <x:c r="AB1457" s="53"/>
      <x:c r="AC1457" s="53"/>
      <x:c r="AD1457" s="53"/>
      <x:c r="AE1457" s="53"/>
      <x:c r="AF1457" s="53"/>
    </x:row>
    <x:row r="1458">
      <x:c r="A1458" s="53"/>
      <x:c r="B1458" s="53"/>
      <x:c r="C1458" s="53"/>
      <x:c r="D1458" s="53"/>
      <x:c r="E1458" s="53"/>
      <x:c r="F1458" s="53"/>
      <x:c r="G1458" s="53"/>
      <x:c r="H1458" s="53"/>
      <x:c r="I1458" s="53"/>
      <x:c r="J1458" s="53"/>
      <x:c r="K1458" s="53"/>
      <x:c r="L1458" s="53"/>
      <x:c r="M1458" s="53"/>
      <x:c r="N1458" s="53"/>
      <x:c r="O1458" s="53"/>
      <x:c r="P1458" s="53"/>
      <x:c r="Q1458" s="53"/>
      <x:c r="R1458" s="53"/>
      <x:c r="S1458" s="53"/>
      <x:c r="T1458" s="53"/>
      <x:c r="U1458" s="53"/>
      <x:c r="V1458" s="53"/>
      <x:c r="W1458" s="53"/>
      <x:c r="X1458" s="53"/>
      <x:c r="Y1458" s="53"/>
      <x:c r="Z1458" s="53"/>
      <x:c r="AA1458" s="53"/>
      <x:c r="AB1458" s="53"/>
      <x:c r="AC1458" s="53"/>
      <x:c r="AD1458" s="53"/>
      <x:c r="AE1458" s="53"/>
      <x:c r="AF1458" s="53"/>
    </x:row>
    <x:row r="1459">
      <x:c r="A1459" s="53"/>
      <x:c r="B1459" s="53"/>
      <x:c r="C1459" s="53"/>
      <x:c r="D1459" s="53"/>
      <x:c r="E1459" s="53"/>
      <x:c r="F1459" s="53"/>
      <x:c r="G1459" s="53"/>
      <x:c r="H1459" s="53"/>
      <x:c r="I1459" s="53"/>
      <x:c r="J1459" s="53"/>
      <x:c r="K1459" s="53"/>
      <x:c r="L1459" s="53"/>
      <x:c r="M1459" s="53"/>
      <x:c r="N1459" s="53"/>
      <x:c r="O1459" s="53"/>
      <x:c r="P1459" s="53"/>
      <x:c r="Q1459" s="53"/>
      <x:c r="R1459" s="53"/>
      <x:c r="S1459" s="53"/>
      <x:c r="T1459" s="53"/>
      <x:c r="U1459" s="53"/>
      <x:c r="V1459" s="53"/>
      <x:c r="W1459" s="53"/>
      <x:c r="X1459" s="53"/>
      <x:c r="Y1459" s="53"/>
      <x:c r="Z1459" s="53"/>
      <x:c r="AA1459" s="53"/>
      <x:c r="AB1459" s="53"/>
      <x:c r="AC1459" s="53"/>
      <x:c r="AD1459" s="53"/>
      <x:c r="AE1459" s="53"/>
      <x:c r="AF1459" s="53"/>
    </x:row>
    <x:row r="1460">
      <x:c r="A1460" s="53"/>
      <x:c r="B1460" s="53"/>
      <x:c r="C1460" s="53"/>
      <x:c r="D1460" s="53"/>
      <x:c r="E1460" s="53"/>
      <x:c r="F1460" s="53"/>
      <x:c r="G1460" s="53"/>
      <x:c r="H1460" s="53"/>
      <x:c r="I1460" s="53"/>
      <x:c r="J1460" s="53"/>
      <x:c r="K1460" s="53"/>
      <x:c r="L1460" s="53"/>
      <x:c r="M1460" s="53"/>
      <x:c r="N1460" s="53"/>
      <x:c r="O1460" s="53"/>
      <x:c r="P1460" s="53"/>
      <x:c r="Q1460" s="53"/>
      <x:c r="R1460" s="53"/>
      <x:c r="S1460" s="53"/>
      <x:c r="T1460" s="53"/>
      <x:c r="U1460" s="53"/>
      <x:c r="V1460" s="53"/>
      <x:c r="W1460" s="53"/>
      <x:c r="X1460" s="53"/>
      <x:c r="Y1460" s="53"/>
      <x:c r="Z1460" s="53"/>
      <x:c r="AA1460" s="53"/>
      <x:c r="AB1460" s="53"/>
      <x:c r="AC1460" s="53"/>
      <x:c r="AD1460" s="53"/>
      <x:c r="AE1460" s="53"/>
      <x:c r="AF1460" s="53"/>
    </x:row>
    <x:row r="1461">
      <x:c r="A1461" s="53"/>
      <x:c r="B1461" s="53"/>
      <x:c r="C1461" s="53"/>
      <x:c r="D1461" s="53"/>
      <x:c r="E1461" s="53"/>
      <x:c r="F1461" s="53"/>
      <x:c r="G1461" s="53"/>
      <x:c r="H1461" s="53"/>
      <x:c r="I1461" s="53"/>
      <x:c r="J1461" s="53"/>
      <x:c r="K1461" s="53"/>
      <x:c r="L1461" s="53"/>
      <x:c r="M1461" s="53"/>
      <x:c r="N1461" s="53"/>
      <x:c r="O1461" s="53"/>
      <x:c r="P1461" s="53"/>
      <x:c r="Q1461" s="53"/>
      <x:c r="R1461" s="53"/>
      <x:c r="S1461" s="53"/>
      <x:c r="T1461" s="53"/>
      <x:c r="U1461" s="53"/>
      <x:c r="V1461" s="53"/>
      <x:c r="W1461" s="53"/>
      <x:c r="X1461" s="53"/>
      <x:c r="Y1461" s="53"/>
      <x:c r="Z1461" s="53"/>
      <x:c r="AA1461" s="53"/>
      <x:c r="AB1461" s="53"/>
      <x:c r="AC1461" s="53"/>
      <x:c r="AD1461" s="53"/>
      <x:c r="AE1461" s="53"/>
      <x:c r="AF1461" s="53"/>
    </x:row>
    <x:row r="1462">
      <x:c r="A1462" s="53"/>
      <x:c r="B1462" s="53"/>
      <x:c r="C1462" s="53"/>
      <x:c r="D1462" s="53"/>
      <x:c r="E1462" s="53"/>
      <x:c r="F1462" s="53"/>
      <x:c r="G1462" s="53"/>
      <x:c r="H1462" s="53"/>
      <x:c r="I1462" s="53"/>
      <x:c r="J1462" s="53"/>
      <x:c r="K1462" s="53"/>
      <x:c r="L1462" s="53"/>
      <x:c r="M1462" s="53"/>
      <x:c r="N1462" s="53"/>
      <x:c r="O1462" s="53"/>
      <x:c r="P1462" s="53"/>
      <x:c r="Q1462" s="53"/>
      <x:c r="R1462" s="53"/>
      <x:c r="S1462" s="53"/>
      <x:c r="T1462" s="53"/>
      <x:c r="U1462" s="53"/>
      <x:c r="V1462" s="53"/>
      <x:c r="W1462" s="53"/>
      <x:c r="X1462" s="53"/>
      <x:c r="Y1462" s="53"/>
      <x:c r="Z1462" s="53"/>
      <x:c r="AA1462" s="53"/>
      <x:c r="AB1462" s="53"/>
      <x:c r="AC1462" s="53"/>
      <x:c r="AD1462" s="53"/>
      <x:c r="AE1462" s="53"/>
      <x:c r="AF1462" s="53"/>
    </x:row>
    <x:row r="1463">
      <x:c r="A1463" s="53"/>
      <x:c r="B1463" s="53"/>
      <x:c r="C1463" s="53"/>
      <x:c r="D1463" s="53"/>
      <x:c r="E1463" s="53"/>
      <x:c r="F1463" s="53"/>
      <x:c r="G1463" s="53"/>
      <x:c r="H1463" s="53"/>
      <x:c r="I1463" s="53"/>
      <x:c r="J1463" s="53"/>
      <x:c r="K1463" s="53"/>
      <x:c r="L1463" s="53"/>
      <x:c r="M1463" s="53"/>
      <x:c r="N1463" s="53"/>
      <x:c r="O1463" s="53"/>
      <x:c r="P1463" s="53"/>
      <x:c r="Q1463" s="53"/>
      <x:c r="R1463" s="53"/>
      <x:c r="S1463" s="53"/>
      <x:c r="T1463" s="53"/>
      <x:c r="U1463" s="53"/>
      <x:c r="V1463" s="53"/>
      <x:c r="W1463" s="53"/>
      <x:c r="X1463" s="53"/>
      <x:c r="Y1463" s="53"/>
      <x:c r="Z1463" s="53"/>
      <x:c r="AA1463" s="53"/>
      <x:c r="AB1463" s="53"/>
      <x:c r="AC1463" s="53"/>
      <x:c r="AD1463" s="53"/>
      <x:c r="AE1463" s="53"/>
      <x:c r="AF1463" s="53"/>
    </x:row>
    <x:row r="1464">
      <x:c r="A1464" s="53"/>
      <x:c r="B1464" s="53"/>
      <x:c r="C1464" s="53"/>
      <x:c r="D1464" s="53"/>
      <x:c r="E1464" s="53"/>
      <x:c r="F1464" s="53"/>
      <x:c r="G1464" s="53"/>
      <x:c r="H1464" s="53"/>
      <x:c r="I1464" s="53"/>
      <x:c r="J1464" s="53"/>
      <x:c r="K1464" s="53"/>
      <x:c r="L1464" s="53"/>
      <x:c r="M1464" s="53"/>
      <x:c r="N1464" s="53"/>
      <x:c r="O1464" s="53"/>
      <x:c r="P1464" s="53"/>
      <x:c r="Q1464" s="53"/>
      <x:c r="R1464" s="53"/>
      <x:c r="S1464" s="53"/>
      <x:c r="T1464" s="53"/>
      <x:c r="U1464" s="53"/>
      <x:c r="V1464" s="53"/>
      <x:c r="W1464" s="53"/>
      <x:c r="X1464" s="53"/>
      <x:c r="Y1464" s="53"/>
      <x:c r="Z1464" s="53"/>
      <x:c r="AA1464" s="53"/>
      <x:c r="AB1464" s="53"/>
      <x:c r="AC1464" s="53"/>
      <x:c r="AD1464" s="53"/>
      <x:c r="AE1464" s="53"/>
      <x:c r="AF1464" s="53"/>
    </x:row>
    <x:row r="1465">
      <x:c r="A1465" s="53"/>
      <x:c r="B1465" s="53"/>
      <x:c r="C1465" s="53"/>
      <x:c r="D1465" s="53"/>
      <x:c r="E1465" s="53"/>
      <x:c r="F1465" s="53"/>
      <x:c r="G1465" s="53"/>
      <x:c r="H1465" s="53"/>
      <x:c r="I1465" s="53"/>
      <x:c r="J1465" s="53"/>
      <x:c r="K1465" s="53"/>
      <x:c r="L1465" s="53"/>
      <x:c r="M1465" s="53"/>
      <x:c r="N1465" s="53"/>
      <x:c r="O1465" s="53"/>
      <x:c r="P1465" s="53"/>
      <x:c r="Q1465" s="53"/>
      <x:c r="R1465" s="53"/>
      <x:c r="S1465" s="53"/>
      <x:c r="T1465" s="53"/>
      <x:c r="U1465" s="53"/>
      <x:c r="V1465" s="53"/>
      <x:c r="W1465" s="53"/>
      <x:c r="X1465" s="53"/>
      <x:c r="Y1465" s="53"/>
      <x:c r="Z1465" s="53"/>
      <x:c r="AA1465" s="53"/>
      <x:c r="AB1465" s="53"/>
      <x:c r="AC1465" s="53"/>
      <x:c r="AD1465" s="53"/>
      <x:c r="AE1465" s="53"/>
      <x:c r="AF1465" s="53"/>
    </x:row>
    <x:row r="1466">
      <x:c r="A1466" s="53"/>
      <x:c r="B1466" s="53"/>
      <x:c r="C1466" s="53"/>
      <x:c r="D1466" s="53"/>
      <x:c r="E1466" s="53"/>
      <x:c r="F1466" s="53"/>
      <x:c r="G1466" s="53"/>
      <x:c r="H1466" s="53"/>
      <x:c r="I1466" s="53"/>
      <x:c r="J1466" s="53"/>
      <x:c r="K1466" s="53"/>
      <x:c r="L1466" s="53"/>
      <x:c r="M1466" s="53"/>
      <x:c r="N1466" s="53"/>
      <x:c r="O1466" s="53"/>
      <x:c r="P1466" s="53"/>
      <x:c r="Q1466" s="53"/>
      <x:c r="R1466" s="53"/>
      <x:c r="S1466" s="53"/>
      <x:c r="T1466" s="53"/>
      <x:c r="U1466" s="53"/>
      <x:c r="V1466" s="53"/>
      <x:c r="W1466" s="53"/>
      <x:c r="X1466" s="53"/>
      <x:c r="Y1466" s="53"/>
      <x:c r="Z1466" s="53"/>
      <x:c r="AA1466" s="53"/>
      <x:c r="AB1466" s="53"/>
      <x:c r="AC1466" s="53"/>
      <x:c r="AD1466" s="53"/>
      <x:c r="AE1466" s="53"/>
      <x:c r="AF1466" s="53"/>
    </x:row>
    <x:row r="1467">
      <x:c r="A1467" s="53"/>
      <x:c r="B1467" s="53"/>
      <x:c r="C1467" s="53"/>
      <x:c r="D1467" s="53"/>
      <x:c r="E1467" s="53"/>
      <x:c r="F1467" s="53"/>
      <x:c r="G1467" s="53"/>
      <x:c r="H1467" s="53"/>
      <x:c r="I1467" s="53"/>
      <x:c r="J1467" s="53"/>
      <x:c r="K1467" s="53"/>
      <x:c r="L1467" s="53"/>
      <x:c r="M1467" s="53"/>
      <x:c r="N1467" s="53"/>
      <x:c r="O1467" s="53"/>
      <x:c r="P1467" s="53"/>
      <x:c r="Q1467" s="53"/>
      <x:c r="R1467" s="53"/>
      <x:c r="S1467" s="53"/>
      <x:c r="T1467" s="53"/>
      <x:c r="U1467" s="53"/>
      <x:c r="V1467" s="53"/>
      <x:c r="W1467" s="53"/>
      <x:c r="X1467" s="53"/>
      <x:c r="Y1467" s="53"/>
      <x:c r="Z1467" s="53"/>
      <x:c r="AA1467" s="53"/>
      <x:c r="AB1467" s="53"/>
      <x:c r="AC1467" s="53"/>
      <x:c r="AD1467" s="53"/>
      <x:c r="AE1467" s="53"/>
      <x:c r="AF1467" s="53"/>
    </x:row>
    <x:row r="1468">
      <x:c r="A1468" s="53"/>
      <x:c r="B1468" s="53"/>
      <x:c r="C1468" s="53"/>
      <x:c r="D1468" s="53"/>
      <x:c r="E1468" s="53"/>
      <x:c r="F1468" s="53"/>
      <x:c r="G1468" s="53"/>
      <x:c r="H1468" s="53"/>
      <x:c r="I1468" s="53"/>
      <x:c r="J1468" s="53"/>
      <x:c r="K1468" s="53"/>
      <x:c r="L1468" s="53"/>
      <x:c r="M1468" s="53"/>
      <x:c r="N1468" s="53"/>
      <x:c r="O1468" s="53"/>
      <x:c r="P1468" s="53"/>
      <x:c r="Q1468" s="53"/>
      <x:c r="R1468" s="53"/>
      <x:c r="S1468" s="53"/>
      <x:c r="T1468" s="53"/>
      <x:c r="U1468" s="53"/>
      <x:c r="V1468" s="53"/>
      <x:c r="W1468" s="53"/>
      <x:c r="X1468" s="53"/>
      <x:c r="Y1468" s="53"/>
      <x:c r="Z1468" s="53"/>
      <x:c r="AA1468" s="53"/>
      <x:c r="AB1468" s="53"/>
      <x:c r="AC1468" s="53"/>
      <x:c r="AD1468" s="53"/>
      <x:c r="AE1468" s="53"/>
      <x:c r="AF1468" s="53"/>
    </x:row>
    <x:row r="1469">
      <x:c r="A1469" s="53"/>
      <x:c r="B1469" s="53"/>
      <x:c r="C1469" s="53"/>
      <x:c r="D1469" s="53"/>
      <x:c r="E1469" s="53"/>
      <x:c r="F1469" s="53"/>
      <x:c r="G1469" s="53"/>
      <x:c r="H1469" s="53"/>
      <x:c r="I1469" s="53"/>
      <x:c r="J1469" s="53"/>
      <x:c r="K1469" s="53"/>
      <x:c r="L1469" s="53"/>
      <x:c r="M1469" s="53"/>
      <x:c r="N1469" s="53"/>
      <x:c r="O1469" s="53"/>
      <x:c r="P1469" s="53"/>
      <x:c r="Q1469" s="53"/>
      <x:c r="R1469" s="53"/>
      <x:c r="S1469" s="53"/>
      <x:c r="T1469" s="53"/>
      <x:c r="U1469" s="53"/>
      <x:c r="V1469" s="53"/>
      <x:c r="W1469" s="53"/>
      <x:c r="X1469" s="53"/>
      <x:c r="Y1469" s="53"/>
      <x:c r="Z1469" s="53"/>
      <x:c r="AA1469" s="53"/>
      <x:c r="AB1469" s="53"/>
      <x:c r="AC1469" s="53"/>
      <x:c r="AD1469" s="53"/>
      <x:c r="AE1469" s="53"/>
      <x:c r="AF1469" s="53"/>
    </x:row>
    <x:row r="1470">
      <x:c r="A1470" s="53"/>
      <x:c r="B1470" s="53"/>
      <x:c r="C1470" s="53"/>
      <x:c r="D1470" s="53"/>
      <x:c r="E1470" s="53"/>
      <x:c r="F1470" s="53"/>
      <x:c r="G1470" s="53"/>
      <x:c r="H1470" s="53"/>
      <x:c r="I1470" s="53"/>
      <x:c r="J1470" s="53"/>
      <x:c r="K1470" s="53"/>
      <x:c r="L1470" s="53"/>
      <x:c r="M1470" s="53"/>
      <x:c r="N1470" s="53"/>
      <x:c r="O1470" s="53"/>
      <x:c r="P1470" s="53"/>
      <x:c r="Q1470" s="53"/>
      <x:c r="R1470" s="53"/>
      <x:c r="S1470" s="53"/>
      <x:c r="T1470" s="53"/>
      <x:c r="U1470" s="53"/>
      <x:c r="V1470" s="53"/>
      <x:c r="W1470" s="53"/>
      <x:c r="X1470" s="53"/>
      <x:c r="Y1470" s="53"/>
      <x:c r="Z1470" s="53"/>
      <x:c r="AA1470" s="53"/>
      <x:c r="AB1470" s="53"/>
      <x:c r="AC1470" s="53"/>
      <x:c r="AD1470" s="53"/>
      <x:c r="AE1470" s="53"/>
      <x:c r="AF1470" s="53"/>
    </x:row>
    <x:row r="1471">
      <x:c r="A1471" s="53"/>
      <x:c r="B1471" s="53"/>
      <x:c r="C1471" s="53"/>
      <x:c r="D1471" s="53"/>
      <x:c r="E1471" s="53"/>
      <x:c r="F1471" s="53"/>
      <x:c r="G1471" s="53"/>
      <x:c r="H1471" s="53"/>
      <x:c r="I1471" s="53"/>
      <x:c r="J1471" s="53"/>
      <x:c r="K1471" s="53"/>
      <x:c r="L1471" s="53"/>
      <x:c r="M1471" s="53"/>
      <x:c r="N1471" s="53"/>
      <x:c r="O1471" s="53"/>
      <x:c r="P1471" s="53"/>
      <x:c r="Q1471" s="53"/>
      <x:c r="R1471" s="53"/>
      <x:c r="S1471" s="53"/>
      <x:c r="T1471" s="53"/>
      <x:c r="U1471" s="53"/>
      <x:c r="V1471" s="53"/>
      <x:c r="W1471" s="53"/>
      <x:c r="X1471" s="53"/>
      <x:c r="Y1471" s="53"/>
      <x:c r="Z1471" s="53"/>
      <x:c r="AA1471" s="53"/>
      <x:c r="AB1471" s="53"/>
      <x:c r="AC1471" s="53"/>
      <x:c r="AD1471" s="53"/>
      <x:c r="AE1471" s="53"/>
      <x:c r="AF1471" s="53"/>
    </x:row>
    <x:row r="1472">
      <x:c r="A1472" s="53"/>
      <x:c r="B1472" s="53"/>
      <x:c r="C1472" s="53"/>
      <x:c r="D1472" s="53"/>
      <x:c r="E1472" s="53"/>
      <x:c r="F1472" s="53"/>
      <x:c r="G1472" s="53"/>
      <x:c r="H1472" s="53"/>
      <x:c r="I1472" s="53"/>
      <x:c r="J1472" s="53"/>
      <x:c r="K1472" s="53"/>
      <x:c r="L1472" s="53"/>
      <x:c r="M1472" s="53"/>
      <x:c r="N1472" s="53"/>
      <x:c r="O1472" s="53"/>
      <x:c r="P1472" s="53"/>
      <x:c r="Q1472" s="53"/>
      <x:c r="R1472" s="53"/>
      <x:c r="S1472" s="53"/>
      <x:c r="T1472" s="53"/>
      <x:c r="U1472" s="53"/>
      <x:c r="V1472" s="53"/>
      <x:c r="W1472" s="53"/>
      <x:c r="X1472" s="53"/>
      <x:c r="Y1472" s="53"/>
      <x:c r="Z1472" s="53"/>
      <x:c r="AA1472" s="53"/>
      <x:c r="AB1472" s="53"/>
      <x:c r="AC1472" s="53"/>
      <x:c r="AD1472" s="53"/>
      <x:c r="AE1472" s="53"/>
      <x:c r="AF1472" s="53"/>
    </x:row>
    <x:row r="1473">
      <x:c r="A1473" s="53"/>
      <x:c r="B1473" s="53"/>
      <x:c r="C1473" s="53"/>
      <x:c r="D1473" s="53"/>
      <x:c r="E1473" s="53"/>
      <x:c r="F1473" s="53"/>
      <x:c r="G1473" s="53"/>
      <x:c r="H1473" s="53"/>
      <x:c r="I1473" s="53"/>
      <x:c r="J1473" s="53"/>
      <x:c r="K1473" s="53"/>
      <x:c r="L1473" s="53"/>
      <x:c r="M1473" s="53"/>
      <x:c r="N1473" s="53"/>
      <x:c r="O1473" s="53"/>
      <x:c r="P1473" s="53"/>
      <x:c r="Q1473" s="53"/>
      <x:c r="R1473" s="53"/>
      <x:c r="S1473" s="53"/>
      <x:c r="T1473" s="53"/>
      <x:c r="U1473" s="53"/>
      <x:c r="V1473" s="53"/>
      <x:c r="W1473" s="53"/>
      <x:c r="X1473" s="53"/>
      <x:c r="Y1473" s="53"/>
      <x:c r="Z1473" s="53"/>
      <x:c r="AA1473" s="53"/>
      <x:c r="AB1473" s="53"/>
      <x:c r="AC1473" s="53"/>
      <x:c r="AD1473" s="53"/>
      <x:c r="AE1473" s="53"/>
      <x:c r="AF1473" s="53"/>
    </x:row>
    <x:row r="1474">
      <x:c r="A1474" s="53"/>
      <x:c r="B1474" s="53"/>
      <x:c r="C1474" s="53"/>
      <x:c r="D1474" s="53"/>
      <x:c r="E1474" s="53"/>
      <x:c r="F1474" s="53"/>
      <x:c r="G1474" s="53"/>
      <x:c r="H1474" s="53"/>
      <x:c r="I1474" s="53"/>
      <x:c r="J1474" s="53"/>
      <x:c r="K1474" s="53"/>
      <x:c r="L1474" s="53"/>
      <x:c r="M1474" s="53"/>
      <x:c r="N1474" s="53"/>
      <x:c r="O1474" s="53"/>
      <x:c r="P1474" s="53"/>
      <x:c r="Q1474" s="53"/>
      <x:c r="R1474" s="53"/>
      <x:c r="S1474" s="53"/>
      <x:c r="T1474" s="53"/>
      <x:c r="U1474" s="53"/>
      <x:c r="V1474" s="53"/>
      <x:c r="W1474" s="53"/>
      <x:c r="X1474" s="53"/>
      <x:c r="Y1474" s="53"/>
      <x:c r="Z1474" s="53"/>
      <x:c r="AA1474" s="53"/>
      <x:c r="AB1474" s="53"/>
      <x:c r="AC1474" s="53"/>
      <x:c r="AD1474" s="53"/>
      <x:c r="AE1474" s="53"/>
      <x:c r="AF1474" s="53"/>
    </x:row>
    <x:row r="1475">
      <x:c r="A1475" s="53"/>
      <x:c r="B1475" s="53"/>
      <x:c r="C1475" s="53"/>
      <x:c r="D1475" s="53"/>
      <x:c r="E1475" s="53"/>
      <x:c r="F1475" s="53"/>
      <x:c r="G1475" s="53"/>
      <x:c r="H1475" s="53"/>
      <x:c r="I1475" s="53"/>
      <x:c r="J1475" s="53"/>
      <x:c r="K1475" s="53"/>
      <x:c r="L1475" s="53"/>
      <x:c r="M1475" s="53"/>
      <x:c r="N1475" s="53"/>
      <x:c r="O1475" s="53"/>
      <x:c r="P1475" s="53"/>
      <x:c r="Q1475" s="53"/>
      <x:c r="R1475" s="53"/>
      <x:c r="S1475" s="53"/>
      <x:c r="T1475" s="53"/>
      <x:c r="U1475" s="53"/>
      <x:c r="V1475" s="53"/>
      <x:c r="W1475" s="53"/>
      <x:c r="X1475" s="53"/>
      <x:c r="Y1475" s="53"/>
      <x:c r="Z1475" s="53"/>
      <x:c r="AA1475" s="53"/>
      <x:c r="AB1475" s="53"/>
      <x:c r="AC1475" s="53"/>
      <x:c r="AD1475" s="53"/>
      <x:c r="AE1475" s="53"/>
      <x:c r="AF1475" s="53"/>
    </x:row>
    <x:row r="1476">
      <x:c r="A1476" s="53"/>
      <x:c r="B1476" s="53"/>
      <x:c r="C1476" s="53"/>
      <x:c r="D1476" s="53"/>
      <x:c r="E1476" s="53"/>
      <x:c r="F1476" s="53"/>
      <x:c r="G1476" s="53"/>
      <x:c r="H1476" s="53"/>
      <x:c r="I1476" s="53"/>
      <x:c r="J1476" s="53"/>
      <x:c r="K1476" s="53"/>
      <x:c r="L1476" s="53"/>
      <x:c r="M1476" s="53"/>
      <x:c r="N1476" s="53"/>
      <x:c r="O1476" s="53"/>
      <x:c r="P1476" s="53"/>
      <x:c r="Q1476" s="53"/>
      <x:c r="R1476" s="53"/>
      <x:c r="S1476" s="53"/>
      <x:c r="T1476" s="53"/>
      <x:c r="U1476" s="53"/>
      <x:c r="V1476" s="53"/>
      <x:c r="W1476" s="53"/>
      <x:c r="X1476" s="53"/>
      <x:c r="Y1476" s="53"/>
      <x:c r="Z1476" s="53"/>
      <x:c r="AA1476" s="53"/>
      <x:c r="AB1476" s="53"/>
      <x:c r="AC1476" s="53"/>
      <x:c r="AD1476" s="53"/>
      <x:c r="AE1476" s="53"/>
      <x:c r="AF1476" s="53"/>
    </x:row>
    <x:row r="1477">
      <x:c r="A1477" s="53"/>
      <x:c r="B1477" s="53"/>
      <x:c r="C1477" s="53"/>
      <x:c r="D1477" s="53"/>
      <x:c r="E1477" s="53"/>
      <x:c r="F1477" s="53"/>
      <x:c r="G1477" s="53"/>
      <x:c r="H1477" s="53"/>
      <x:c r="I1477" s="53"/>
      <x:c r="J1477" s="53"/>
      <x:c r="K1477" s="53"/>
      <x:c r="L1477" s="53"/>
      <x:c r="M1477" s="53"/>
      <x:c r="N1477" s="53"/>
      <x:c r="O1477" s="53"/>
      <x:c r="P1477" s="53"/>
      <x:c r="Q1477" s="53"/>
      <x:c r="R1477" s="53"/>
      <x:c r="S1477" s="53"/>
      <x:c r="T1477" s="53"/>
      <x:c r="U1477" s="53"/>
      <x:c r="V1477" s="53"/>
      <x:c r="W1477" s="53"/>
      <x:c r="X1477" s="53"/>
      <x:c r="Y1477" s="53"/>
      <x:c r="Z1477" s="53"/>
      <x:c r="AA1477" s="53"/>
      <x:c r="AB1477" s="53"/>
      <x:c r="AC1477" s="53"/>
      <x:c r="AD1477" s="53"/>
      <x:c r="AE1477" s="53"/>
      <x:c r="AF1477" s="53"/>
    </x:row>
    <x:row r="1478">
      <x:c r="A1478" s="53"/>
      <x:c r="B1478" s="53"/>
      <x:c r="C1478" s="53"/>
      <x:c r="D1478" s="53"/>
      <x:c r="E1478" s="53"/>
      <x:c r="F1478" s="53"/>
      <x:c r="G1478" s="53"/>
      <x:c r="H1478" s="53"/>
      <x:c r="I1478" s="53"/>
      <x:c r="J1478" s="53"/>
      <x:c r="K1478" s="53"/>
      <x:c r="L1478" s="53"/>
      <x:c r="M1478" s="53"/>
      <x:c r="N1478" s="53"/>
      <x:c r="O1478" s="53"/>
      <x:c r="P1478" s="53"/>
      <x:c r="Q1478" s="53"/>
      <x:c r="R1478" s="53"/>
      <x:c r="S1478" s="53"/>
      <x:c r="T1478" s="53"/>
      <x:c r="U1478" s="53"/>
      <x:c r="V1478" s="53"/>
      <x:c r="W1478" s="53"/>
      <x:c r="X1478" s="53"/>
      <x:c r="Y1478" s="53"/>
      <x:c r="Z1478" s="53"/>
      <x:c r="AA1478" s="53"/>
      <x:c r="AB1478" s="53"/>
      <x:c r="AC1478" s="53"/>
      <x:c r="AD1478" s="53"/>
      <x:c r="AE1478" s="53"/>
      <x:c r="AF1478" s="53"/>
    </x:row>
    <x:row r="1479">
      <x:c r="A1479" s="53"/>
      <x:c r="B1479" s="53"/>
      <x:c r="C1479" s="53"/>
      <x:c r="D1479" s="53"/>
      <x:c r="E1479" s="53"/>
      <x:c r="F1479" s="53"/>
      <x:c r="G1479" s="53"/>
      <x:c r="H1479" s="53"/>
      <x:c r="I1479" s="53"/>
      <x:c r="J1479" s="53"/>
      <x:c r="K1479" s="53"/>
      <x:c r="L1479" s="53"/>
      <x:c r="M1479" s="53"/>
      <x:c r="N1479" s="53"/>
      <x:c r="O1479" s="53"/>
      <x:c r="P1479" s="53"/>
      <x:c r="Q1479" s="53"/>
      <x:c r="R1479" s="53"/>
      <x:c r="S1479" s="53"/>
      <x:c r="T1479" s="53"/>
      <x:c r="U1479" s="53"/>
      <x:c r="V1479" s="53"/>
      <x:c r="W1479" s="53"/>
      <x:c r="X1479" s="53"/>
      <x:c r="Y1479" s="53"/>
      <x:c r="Z1479" s="53"/>
      <x:c r="AA1479" s="53"/>
      <x:c r="AB1479" s="53"/>
      <x:c r="AC1479" s="53"/>
      <x:c r="AD1479" s="53"/>
      <x:c r="AE1479" s="53"/>
      <x:c r="AF1479" s="53"/>
    </x:row>
    <x:row r="1480">
      <x:c r="A1480" s="53"/>
      <x:c r="B1480" s="53"/>
      <x:c r="C1480" s="53"/>
      <x:c r="D1480" s="53"/>
      <x:c r="E1480" s="53"/>
      <x:c r="F1480" s="53"/>
      <x:c r="G1480" s="53"/>
      <x:c r="H1480" s="53"/>
      <x:c r="I1480" s="53"/>
      <x:c r="J1480" s="53"/>
      <x:c r="K1480" s="53"/>
      <x:c r="L1480" s="53"/>
      <x:c r="M1480" s="53"/>
      <x:c r="N1480" s="53"/>
      <x:c r="O1480" s="53"/>
      <x:c r="P1480" s="53"/>
      <x:c r="Q1480" s="53"/>
      <x:c r="R1480" s="53"/>
      <x:c r="S1480" s="53"/>
      <x:c r="T1480" s="53"/>
      <x:c r="U1480" s="53"/>
      <x:c r="V1480" s="53"/>
      <x:c r="W1480" s="53"/>
      <x:c r="X1480" s="53"/>
      <x:c r="Y1480" s="53"/>
      <x:c r="Z1480" s="53"/>
      <x:c r="AA1480" s="53"/>
      <x:c r="AB1480" s="53"/>
      <x:c r="AC1480" s="53"/>
      <x:c r="AD1480" s="53"/>
      <x:c r="AE1480" s="53"/>
      <x:c r="AF1480" s="53"/>
    </x:row>
    <x:row r="1481">
      <x:c r="A1481" s="53"/>
      <x:c r="B1481" s="53"/>
      <x:c r="C1481" s="53"/>
      <x:c r="D1481" s="53"/>
      <x:c r="E1481" s="53"/>
      <x:c r="F1481" s="53"/>
      <x:c r="G1481" s="53"/>
      <x:c r="H1481" s="53"/>
      <x:c r="I1481" s="53"/>
      <x:c r="J1481" s="53"/>
      <x:c r="K1481" s="53"/>
      <x:c r="L1481" s="53"/>
      <x:c r="M1481" s="53"/>
      <x:c r="N1481" s="53"/>
      <x:c r="O1481" s="53"/>
      <x:c r="P1481" s="53"/>
      <x:c r="Q1481" s="53"/>
      <x:c r="R1481" s="53"/>
      <x:c r="S1481" s="53"/>
      <x:c r="T1481" s="53"/>
      <x:c r="U1481" s="53"/>
      <x:c r="V1481" s="53"/>
      <x:c r="W1481" s="53"/>
      <x:c r="X1481" s="53"/>
      <x:c r="Y1481" s="53"/>
      <x:c r="Z1481" s="53"/>
      <x:c r="AA1481" s="53"/>
      <x:c r="AB1481" s="53"/>
      <x:c r="AC1481" s="53"/>
      <x:c r="AD1481" s="53"/>
      <x:c r="AE1481" s="53"/>
      <x:c r="AF1481" s="53"/>
    </x:row>
    <x:row r="1482">
      <x:c r="A1482" s="53"/>
      <x:c r="B1482" s="53"/>
      <x:c r="C1482" s="53"/>
      <x:c r="D1482" s="53"/>
      <x:c r="E1482" s="53"/>
      <x:c r="F1482" s="53"/>
      <x:c r="G1482" s="53"/>
      <x:c r="H1482" s="53"/>
      <x:c r="I1482" s="53"/>
      <x:c r="J1482" s="53"/>
      <x:c r="K1482" s="53"/>
      <x:c r="L1482" s="53"/>
      <x:c r="M1482" s="53"/>
      <x:c r="N1482" s="53"/>
      <x:c r="O1482" s="53"/>
      <x:c r="P1482" s="53"/>
      <x:c r="Q1482" s="53"/>
      <x:c r="R1482" s="53"/>
      <x:c r="S1482" s="53"/>
      <x:c r="T1482" s="53"/>
      <x:c r="U1482" s="53"/>
      <x:c r="V1482" s="53"/>
      <x:c r="W1482" s="53"/>
      <x:c r="X1482" s="53"/>
      <x:c r="Y1482" s="53"/>
      <x:c r="Z1482" s="53"/>
      <x:c r="AA1482" s="53"/>
      <x:c r="AB1482" s="53"/>
      <x:c r="AC1482" s="53"/>
      <x:c r="AD1482" s="53"/>
      <x:c r="AE1482" s="53"/>
      <x:c r="AF1482" s="53"/>
    </x:row>
    <x:row r="1483">
      <x:c r="A1483" s="53"/>
      <x:c r="B1483" s="53"/>
      <x:c r="C1483" s="53"/>
      <x:c r="D1483" s="53"/>
      <x:c r="E1483" s="53"/>
      <x:c r="F1483" s="53"/>
      <x:c r="G1483" s="53"/>
      <x:c r="H1483" s="53"/>
      <x:c r="I1483" s="53"/>
      <x:c r="J1483" s="53"/>
      <x:c r="K1483" s="53"/>
      <x:c r="L1483" s="53"/>
      <x:c r="M1483" s="53"/>
      <x:c r="N1483" s="53"/>
      <x:c r="O1483" s="53"/>
      <x:c r="P1483" s="53"/>
      <x:c r="Q1483" s="53"/>
      <x:c r="R1483" s="53"/>
      <x:c r="S1483" s="53"/>
      <x:c r="T1483" s="53"/>
      <x:c r="U1483" s="53"/>
      <x:c r="V1483" s="53"/>
      <x:c r="W1483" s="53"/>
      <x:c r="X1483" s="53"/>
      <x:c r="Y1483" s="53"/>
      <x:c r="Z1483" s="53"/>
      <x:c r="AA1483" s="53"/>
      <x:c r="AB1483" s="53"/>
      <x:c r="AC1483" s="53"/>
      <x:c r="AD1483" s="53"/>
      <x:c r="AE1483" s="53"/>
      <x:c r="AF1483" s="53"/>
    </x:row>
    <x:row r="1484">
      <x:c r="A1484" s="53"/>
      <x:c r="B1484" s="53"/>
      <x:c r="C1484" s="53"/>
      <x:c r="D1484" s="53"/>
      <x:c r="E1484" s="53"/>
      <x:c r="F1484" s="53"/>
      <x:c r="G1484" s="53"/>
      <x:c r="H1484" s="53"/>
      <x:c r="I1484" s="53"/>
      <x:c r="J1484" s="53"/>
      <x:c r="K1484" s="53"/>
      <x:c r="L1484" s="53"/>
      <x:c r="M1484" s="53"/>
      <x:c r="N1484" s="53"/>
      <x:c r="O1484" s="53"/>
      <x:c r="P1484" s="53"/>
      <x:c r="Q1484" s="53"/>
      <x:c r="R1484" s="53"/>
      <x:c r="S1484" s="53"/>
      <x:c r="T1484" s="53"/>
      <x:c r="U1484" s="53"/>
      <x:c r="V1484" s="53"/>
      <x:c r="W1484" s="53"/>
      <x:c r="X1484" s="53"/>
      <x:c r="Y1484" s="53"/>
      <x:c r="Z1484" s="53"/>
      <x:c r="AA1484" s="53"/>
      <x:c r="AB1484" s="53"/>
      <x:c r="AC1484" s="53"/>
      <x:c r="AD1484" s="53"/>
      <x:c r="AE1484" s="53"/>
      <x:c r="AF1484" s="53"/>
    </x:row>
    <x:row r="1485">
      <x:c r="A1485" s="53"/>
      <x:c r="B1485" s="53"/>
      <x:c r="C1485" s="53"/>
      <x:c r="D1485" s="53"/>
      <x:c r="E1485" s="53"/>
      <x:c r="F1485" s="53"/>
      <x:c r="G1485" s="53"/>
      <x:c r="H1485" s="53"/>
      <x:c r="I1485" s="53"/>
      <x:c r="J1485" s="53"/>
      <x:c r="K1485" s="53"/>
      <x:c r="L1485" s="53"/>
      <x:c r="M1485" s="53"/>
      <x:c r="N1485" s="53"/>
      <x:c r="O1485" s="53"/>
      <x:c r="P1485" s="53"/>
      <x:c r="Q1485" s="53"/>
      <x:c r="R1485" s="53"/>
      <x:c r="S1485" s="53"/>
      <x:c r="T1485" s="53"/>
      <x:c r="U1485" s="53"/>
      <x:c r="V1485" s="53"/>
      <x:c r="W1485" s="53"/>
      <x:c r="X1485" s="53"/>
      <x:c r="Y1485" s="53"/>
      <x:c r="Z1485" s="53"/>
      <x:c r="AA1485" s="53"/>
      <x:c r="AB1485" s="53"/>
      <x:c r="AC1485" s="53"/>
      <x:c r="AD1485" s="53"/>
      <x:c r="AE1485" s="53"/>
      <x:c r="AF1485" s="53"/>
    </x:row>
    <x:row r="1486">
      <x:c r="A1486" s="53"/>
      <x:c r="B1486" s="53"/>
      <x:c r="C1486" s="53"/>
      <x:c r="D1486" s="53"/>
      <x:c r="E1486" s="53"/>
      <x:c r="F1486" s="53"/>
      <x:c r="G1486" s="53"/>
      <x:c r="H1486" s="53"/>
      <x:c r="I1486" s="53"/>
      <x:c r="J1486" s="53"/>
      <x:c r="K1486" s="53"/>
      <x:c r="L1486" s="53"/>
      <x:c r="M1486" s="53"/>
      <x:c r="N1486" s="53"/>
      <x:c r="O1486" s="53"/>
      <x:c r="P1486" s="53"/>
      <x:c r="Q1486" s="53"/>
      <x:c r="R1486" s="53"/>
      <x:c r="S1486" s="53"/>
      <x:c r="T1486" s="53"/>
      <x:c r="U1486" s="53"/>
      <x:c r="V1486" s="53"/>
      <x:c r="W1486" s="53"/>
      <x:c r="X1486" s="53"/>
      <x:c r="Y1486" s="53"/>
      <x:c r="Z1486" s="53"/>
      <x:c r="AA1486" s="53"/>
      <x:c r="AB1486" s="53"/>
      <x:c r="AC1486" s="53"/>
      <x:c r="AD1486" s="53"/>
      <x:c r="AE1486" s="53"/>
      <x:c r="AF1486" s="53"/>
    </x:row>
    <x:row r="1487">
      <x:c r="A1487" s="53"/>
      <x:c r="B1487" s="53"/>
      <x:c r="C1487" s="53"/>
      <x:c r="D1487" s="53"/>
      <x:c r="E1487" s="53"/>
      <x:c r="F1487" s="53"/>
      <x:c r="G1487" s="53"/>
      <x:c r="H1487" s="53"/>
      <x:c r="I1487" s="53"/>
      <x:c r="J1487" s="53"/>
      <x:c r="K1487" s="53"/>
      <x:c r="L1487" s="53"/>
      <x:c r="M1487" s="53"/>
      <x:c r="N1487" s="53"/>
      <x:c r="O1487" s="53"/>
      <x:c r="P1487" s="53"/>
      <x:c r="Q1487" s="53"/>
      <x:c r="R1487" s="53"/>
      <x:c r="S1487" s="53"/>
      <x:c r="T1487" s="53"/>
      <x:c r="U1487" s="53"/>
      <x:c r="V1487" s="53"/>
      <x:c r="W1487" s="53"/>
      <x:c r="X1487" s="53"/>
      <x:c r="Y1487" s="53"/>
      <x:c r="Z1487" s="53"/>
      <x:c r="AA1487" s="53"/>
      <x:c r="AB1487" s="53"/>
      <x:c r="AC1487" s="53"/>
      <x:c r="AD1487" s="53"/>
      <x:c r="AE1487" s="53"/>
      <x:c r="AF1487" s="53"/>
    </x:row>
    <x:row r="1488">
      <x:c r="A1488" s="53"/>
      <x:c r="B1488" s="53"/>
      <x:c r="C1488" s="53"/>
      <x:c r="D1488" s="53"/>
      <x:c r="E1488" s="53"/>
      <x:c r="F1488" s="53"/>
      <x:c r="G1488" s="53"/>
      <x:c r="H1488" s="53"/>
      <x:c r="I1488" s="53"/>
      <x:c r="J1488" s="53"/>
      <x:c r="K1488" s="53"/>
      <x:c r="L1488" s="53"/>
      <x:c r="M1488" s="53"/>
      <x:c r="N1488" s="53"/>
      <x:c r="O1488" s="53"/>
      <x:c r="P1488" s="53"/>
      <x:c r="Q1488" s="53"/>
      <x:c r="R1488" s="53"/>
      <x:c r="S1488" s="53"/>
      <x:c r="T1488" s="53"/>
      <x:c r="U1488" s="53"/>
      <x:c r="V1488" s="53"/>
      <x:c r="W1488" s="53"/>
      <x:c r="X1488" s="53"/>
      <x:c r="Y1488" s="53"/>
      <x:c r="Z1488" s="53"/>
      <x:c r="AA1488" s="53"/>
      <x:c r="AB1488" s="53"/>
      <x:c r="AC1488" s="53"/>
      <x:c r="AD1488" s="53"/>
      <x:c r="AE1488" s="53"/>
      <x:c r="AF1488" s="53"/>
    </x:row>
    <x:row r="1489">
      <x:c r="A1489" s="53"/>
      <x:c r="B1489" s="53"/>
      <x:c r="C1489" s="53"/>
      <x:c r="D1489" s="53"/>
      <x:c r="E1489" s="53"/>
      <x:c r="F1489" s="53"/>
      <x:c r="G1489" s="53"/>
      <x:c r="H1489" s="53"/>
      <x:c r="I1489" s="53"/>
      <x:c r="J1489" s="53"/>
      <x:c r="K1489" s="53"/>
      <x:c r="L1489" s="53"/>
      <x:c r="M1489" s="53"/>
      <x:c r="N1489" s="53"/>
      <x:c r="O1489" s="53"/>
      <x:c r="P1489" s="53"/>
      <x:c r="Q1489" s="53"/>
      <x:c r="R1489" s="53"/>
      <x:c r="S1489" s="53"/>
      <x:c r="T1489" s="53"/>
      <x:c r="U1489" s="53"/>
      <x:c r="V1489" s="53"/>
      <x:c r="W1489" s="53"/>
      <x:c r="X1489" s="53"/>
      <x:c r="Y1489" s="53"/>
      <x:c r="Z1489" s="53"/>
      <x:c r="AA1489" s="53"/>
      <x:c r="AB1489" s="53"/>
      <x:c r="AC1489" s="53"/>
      <x:c r="AD1489" s="53"/>
      <x:c r="AE1489" s="53"/>
      <x:c r="AF1489" s="53"/>
    </x:row>
    <x:row r="1490">
      <x:c r="A1490" s="53"/>
      <x:c r="B1490" s="53"/>
      <x:c r="C1490" s="53"/>
      <x:c r="D1490" s="53"/>
      <x:c r="E1490" s="53"/>
      <x:c r="F1490" s="53"/>
      <x:c r="G1490" s="53"/>
      <x:c r="H1490" s="53"/>
      <x:c r="I1490" s="53"/>
      <x:c r="J1490" s="53"/>
      <x:c r="K1490" s="53"/>
      <x:c r="L1490" s="53"/>
      <x:c r="M1490" s="53"/>
      <x:c r="N1490" s="53"/>
      <x:c r="O1490" s="53"/>
      <x:c r="P1490" s="53"/>
      <x:c r="Q1490" s="53"/>
      <x:c r="R1490" s="53"/>
      <x:c r="S1490" s="53"/>
      <x:c r="T1490" s="53"/>
      <x:c r="U1490" s="53"/>
      <x:c r="V1490" s="53"/>
      <x:c r="W1490" s="53"/>
      <x:c r="X1490" s="53"/>
      <x:c r="Y1490" s="53"/>
      <x:c r="Z1490" s="53"/>
      <x:c r="AA1490" s="53"/>
      <x:c r="AB1490" s="53"/>
      <x:c r="AC1490" s="53"/>
      <x:c r="AD1490" s="53"/>
      <x:c r="AE1490" s="53"/>
      <x:c r="AF1490" s="53"/>
    </x:row>
    <x:row r="1491">
      <x:c r="A1491" s="53"/>
      <x:c r="B1491" s="53"/>
      <x:c r="C1491" s="53"/>
      <x:c r="D1491" s="53"/>
      <x:c r="E1491" s="53"/>
      <x:c r="F1491" s="53"/>
      <x:c r="G1491" s="53"/>
      <x:c r="H1491" s="53"/>
      <x:c r="I1491" s="53"/>
      <x:c r="J1491" s="53"/>
      <x:c r="K1491" s="53"/>
      <x:c r="L1491" s="53"/>
      <x:c r="M1491" s="53"/>
      <x:c r="N1491" s="53"/>
      <x:c r="O1491" s="53"/>
      <x:c r="P1491" s="53"/>
      <x:c r="Q1491" s="53"/>
      <x:c r="R1491" s="53"/>
      <x:c r="S1491" s="53"/>
      <x:c r="T1491" s="53"/>
      <x:c r="U1491" s="53"/>
      <x:c r="V1491" s="53"/>
      <x:c r="W1491" s="53"/>
      <x:c r="X1491" s="53"/>
      <x:c r="Y1491" s="53"/>
      <x:c r="Z1491" s="53"/>
      <x:c r="AA1491" s="53"/>
      <x:c r="AB1491" s="53"/>
      <x:c r="AC1491" s="53"/>
      <x:c r="AD1491" s="53"/>
      <x:c r="AE1491" s="53"/>
      <x:c r="AF1491" s="53"/>
    </x:row>
    <x:row r="1492">
      <x:c r="A1492" s="53"/>
      <x:c r="B1492" s="53"/>
      <x:c r="C1492" s="53"/>
      <x:c r="D1492" s="53"/>
      <x:c r="E1492" s="53"/>
      <x:c r="F1492" s="53"/>
      <x:c r="G1492" s="53"/>
      <x:c r="H1492" s="53"/>
      <x:c r="I1492" s="53"/>
      <x:c r="J1492" s="53"/>
      <x:c r="K1492" s="53"/>
      <x:c r="L1492" s="53"/>
      <x:c r="M1492" s="53"/>
      <x:c r="N1492" s="53"/>
      <x:c r="O1492" s="53"/>
      <x:c r="P1492" s="53"/>
      <x:c r="Q1492" s="53"/>
      <x:c r="R1492" s="53"/>
      <x:c r="S1492" s="53"/>
      <x:c r="T1492" s="53"/>
      <x:c r="U1492" s="53"/>
      <x:c r="V1492" s="53"/>
      <x:c r="W1492" s="53"/>
      <x:c r="X1492" s="53"/>
      <x:c r="Y1492" s="53"/>
      <x:c r="Z1492" s="53"/>
      <x:c r="AA1492" s="53"/>
      <x:c r="AB1492" s="53"/>
      <x:c r="AC1492" s="53"/>
      <x:c r="AD1492" s="53"/>
      <x:c r="AE1492" s="53"/>
      <x:c r="AF1492" s="53"/>
    </x:row>
    <x:row r="1493">
      <x:c r="A1493" s="53"/>
      <x:c r="B1493" s="53"/>
      <x:c r="C1493" s="53"/>
      <x:c r="D1493" s="53"/>
      <x:c r="E1493" s="53"/>
      <x:c r="F1493" s="53"/>
      <x:c r="G1493" s="53"/>
      <x:c r="H1493" s="53"/>
      <x:c r="I1493" s="53"/>
      <x:c r="J1493" s="53"/>
      <x:c r="K1493" s="53"/>
      <x:c r="L1493" s="53"/>
      <x:c r="M1493" s="53"/>
      <x:c r="N1493" s="53"/>
      <x:c r="O1493" s="53"/>
      <x:c r="P1493" s="53"/>
      <x:c r="Q1493" s="53"/>
      <x:c r="R1493" s="53"/>
      <x:c r="S1493" s="53"/>
      <x:c r="T1493" s="53"/>
      <x:c r="U1493" s="53"/>
      <x:c r="V1493" s="53"/>
      <x:c r="W1493" s="53"/>
      <x:c r="X1493" s="53"/>
      <x:c r="Y1493" s="53"/>
      <x:c r="Z1493" s="53"/>
      <x:c r="AA1493" s="53"/>
      <x:c r="AB1493" s="53"/>
      <x:c r="AC1493" s="53"/>
      <x:c r="AD1493" s="53"/>
      <x:c r="AE1493" s="53"/>
      <x:c r="AF1493" s="53"/>
    </x:row>
    <x:row r="1494">
      <x:c r="A1494" s="53"/>
      <x:c r="B1494" s="53"/>
      <x:c r="C1494" s="53"/>
      <x:c r="D1494" s="53"/>
      <x:c r="E1494" s="53"/>
      <x:c r="F1494" s="53"/>
      <x:c r="G1494" s="53"/>
      <x:c r="H1494" s="53"/>
      <x:c r="I1494" s="53"/>
      <x:c r="J1494" s="53"/>
      <x:c r="K1494" s="53"/>
      <x:c r="L1494" s="53"/>
      <x:c r="M1494" s="53"/>
      <x:c r="N1494" s="53"/>
      <x:c r="O1494" s="53"/>
      <x:c r="P1494" s="53"/>
      <x:c r="Q1494" s="53"/>
      <x:c r="R1494" s="53"/>
      <x:c r="S1494" s="53"/>
      <x:c r="T1494" s="53"/>
      <x:c r="U1494" s="53"/>
      <x:c r="V1494" s="53"/>
      <x:c r="W1494" s="53"/>
      <x:c r="X1494" s="53"/>
      <x:c r="Y1494" s="53"/>
      <x:c r="Z1494" s="53"/>
      <x:c r="AA1494" s="53"/>
      <x:c r="AB1494" s="53"/>
      <x:c r="AC1494" s="53"/>
      <x:c r="AD1494" s="53"/>
      <x:c r="AE1494" s="53"/>
      <x:c r="AF1494" s="53"/>
    </x:row>
    <x:row r="1495">
      <x:c r="A1495" s="53"/>
      <x:c r="B1495" s="53"/>
      <x:c r="C1495" s="53"/>
      <x:c r="D1495" s="53"/>
      <x:c r="E1495" s="53"/>
      <x:c r="F1495" s="53"/>
      <x:c r="G1495" s="53"/>
      <x:c r="H1495" s="53"/>
      <x:c r="I1495" s="53"/>
      <x:c r="J1495" s="53"/>
      <x:c r="K1495" s="53"/>
      <x:c r="L1495" s="53"/>
      <x:c r="M1495" s="53"/>
      <x:c r="N1495" s="53"/>
      <x:c r="O1495" s="53"/>
      <x:c r="P1495" s="53"/>
      <x:c r="Q1495" s="53"/>
      <x:c r="R1495" s="53"/>
      <x:c r="S1495" s="53"/>
      <x:c r="T1495" s="53"/>
      <x:c r="U1495" s="53"/>
      <x:c r="V1495" s="53"/>
      <x:c r="W1495" s="53"/>
      <x:c r="X1495" s="53"/>
      <x:c r="Y1495" s="53"/>
      <x:c r="Z1495" s="53"/>
      <x:c r="AA1495" s="53"/>
      <x:c r="AB1495" s="53"/>
      <x:c r="AC1495" s="53"/>
      <x:c r="AD1495" s="53"/>
      <x:c r="AE1495" s="53"/>
      <x:c r="AF1495" s="53"/>
    </x:row>
    <x:row r="1496">
      <x:c r="A1496" s="53"/>
      <x:c r="B1496" s="53"/>
      <x:c r="C1496" s="53"/>
      <x:c r="D1496" s="53"/>
      <x:c r="E1496" s="53"/>
      <x:c r="F1496" s="53"/>
      <x:c r="G1496" s="53"/>
      <x:c r="H1496" s="53"/>
      <x:c r="I1496" s="53"/>
      <x:c r="J1496" s="53"/>
      <x:c r="K1496" s="53"/>
      <x:c r="L1496" s="53"/>
      <x:c r="M1496" s="53"/>
      <x:c r="N1496" s="53"/>
      <x:c r="O1496" s="53"/>
      <x:c r="P1496" s="53"/>
      <x:c r="Q1496" s="53"/>
      <x:c r="R1496" s="53"/>
      <x:c r="S1496" s="53"/>
      <x:c r="T1496" s="53"/>
      <x:c r="U1496" s="53"/>
      <x:c r="V1496" s="53"/>
      <x:c r="W1496" s="53"/>
      <x:c r="X1496" s="53"/>
      <x:c r="Y1496" s="53"/>
      <x:c r="Z1496" s="53"/>
      <x:c r="AA1496" s="53"/>
      <x:c r="AB1496" s="53"/>
      <x:c r="AC1496" s="53"/>
      <x:c r="AD1496" s="53"/>
      <x:c r="AE1496" s="53"/>
      <x:c r="AF1496" s="53"/>
    </x:row>
    <x:row r="1497">
      <x:c r="A1497" s="53"/>
      <x:c r="B1497" s="53"/>
      <x:c r="C1497" s="53"/>
      <x:c r="D1497" s="53"/>
      <x:c r="E1497" s="53"/>
      <x:c r="F1497" s="53"/>
      <x:c r="G1497" s="53"/>
      <x:c r="H1497" s="53"/>
      <x:c r="I1497" s="53"/>
      <x:c r="J1497" s="53"/>
      <x:c r="K1497" s="53"/>
      <x:c r="L1497" s="53"/>
      <x:c r="M1497" s="53"/>
      <x:c r="N1497" s="53"/>
      <x:c r="O1497" s="53"/>
      <x:c r="P1497" s="53"/>
      <x:c r="Q1497" s="53"/>
      <x:c r="R1497" s="53"/>
      <x:c r="S1497" s="53"/>
      <x:c r="T1497" s="53"/>
      <x:c r="U1497" s="53"/>
      <x:c r="V1497" s="53"/>
      <x:c r="W1497" s="53"/>
      <x:c r="X1497" s="53"/>
      <x:c r="Y1497" s="53"/>
      <x:c r="Z1497" s="53"/>
      <x:c r="AA1497" s="53"/>
      <x:c r="AB1497" s="53"/>
      <x:c r="AC1497" s="53"/>
      <x:c r="AD1497" s="53"/>
      <x:c r="AE1497" s="53"/>
      <x:c r="AF1497" s="53"/>
    </x:row>
    <x:row r="1498">
      <x:c r="A1498" s="53"/>
      <x:c r="B1498" s="53"/>
      <x:c r="C1498" s="53"/>
      <x:c r="D1498" s="53"/>
      <x:c r="E1498" s="53"/>
      <x:c r="F1498" s="53"/>
      <x:c r="G1498" s="53"/>
      <x:c r="H1498" s="53"/>
      <x:c r="I1498" s="53"/>
      <x:c r="J1498" s="53"/>
      <x:c r="K1498" s="53"/>
      <x:c r="L1498" s="53"/>
      <x:c r="M1498" s="53"/>
      <x:c r="N1498" s="53"/>
      <x:c r="O1498" s="53"/>
      <x:c r="P1498" s="53"/>
      <x:c r="Q1498" s="53"/>
      <x:c r="R1498" s="53"/>
      <x:c r="S1498" s="53"/>
      <x:c r="T1498" s="53"/>
      <x:c r="U1498" s="53"/>
      <x:c r="V1498" s="53"/>
      <x:c r="W1498" s="53"/>
      <x:c r="X1498" s="53"/>
      <x:c r="Y1498" s="53"/>
      <x:c r="Z1498" s="53"/>
      <x:c r="AA1498" s="53"/>
      <x:c r="AB1498" s="53"/>
      <x:c r="AC1498" s="53"/>
      <x:c r="AD1498" s="53"/>
      <x:c r="AE1498" s="53"/>
      <x:c r="AF1498" s="53"/>
    </x:row>
    <x:row r="1499">
      <x:c r="A1499" s="53"/>
      <x:c r="B1499" s="53"/>
      <x:c r="C1499" s="53"/>
      <x:c r="D1499" s="53"/>
      <x:c r="E1499" s="53"/>
      <x:c r="F1499" s="53"/>
      <x:c r="G1499" s="53"/>
      <x:c r="H1499" s="53"/>
      <x:c r="I1499" s="53"/>
      <x:c r="J1499" s="53"/>
      <x:c r="K1499" s="53"/>
      <x:c r="L1499" s="53"/>
      <x:c r="M1499" s="53"/>
      <x:c r="N1499" s="53"/>
      <x:c r="O1499" s="53"/>
      <x:c r="P1499" s="53"/>
      <x:c r="Q1499" s="53"/>
      <x:c r="R1499" s="53"/>
      <x:c r="S1499" s="53"/>
      <x:c r="T1499" s="53"/>
      <x:c r="U1499" s="53"/>
      <x:c r="V1499" s="53"/>
      <x:c r="W1499" s="53"/>
      <x:c r="X1499" s="53"/>
      <x:c r="Y1499" s="53"/>
      <x:c r="Z1499" s="53"/>
      <x:c r="AA1499" s="53"/>
      <x:c r="AB1499" s="53"/>
      <x:c r="AC1499" s="53"/>
      <x:c r="AD1499" s="53"/>
      <x:c r="AE1499" s="53"/>
      <x:c r="AF1499" s="53"/>
    </x:row>
    <x:row r="1500">
      <x:c r="A1500" s="53"/>
      <x:c r="B1500" s="53"/>
      <x:c r="C1500" s="53"/>
      <x:c r="D1500" s="53"/>
      <x:c r="E1500" s="53"/>
      <x:c r="F1500" s="53"/>
      <x:c r="G1500" s="53"/>
      <x:c r="H1500" s="53"/>
      <x:c r="I1500" s="53"/>
      <x:c r="J1500" s="53"/>
      <x:c r="K1500" s="53"/>
      <x:c r="L1500" s="53"/>
      <x:c r="M1500" s="53"/>
      <x:c r="N1500" s="53"/>
      <x:c r="O1500" s="53"/>
      <x:c r="P1500" s="53"/>
      <x:c r="Q1500" s="53"/>
      <x:c r="R1500" s="53"/>
      <x:c r="S1500" s="53"/>
      <x:c r="T1500" s="53"/>
      <x:c r="U1500" s="53"/>
      <x:c r="V1500" s="53"/>
      <x:c r="W1500" s="53"/>
      <x:c r="X1500" s="53"/>
      <x:c r="Y1500" s="53"/>
      <x:c r="Z1500" s="53"/>
      <x:c r="AA1500" s="53"/>
      <x:c r="AB1500" s="53"/>
      <x:c r="AC1500" s="53"/>
      <x:c r="AD1500" s="53"/>
      <x:c r="AE1500" s="53"/>
      <x:c r="AF1500" s="53"/>
    </x:row>
    <x:row r="1501">
      <x:c r="A1501" s="53"/>
      <x:c r="B1501" s="53"/>
      <x:c r="C1501" s="53"/>
      <x:c r="D1501" s="53"/>
      <x:c r="E1501" s="53"/>
      <x:c r="F1501" s="53"/>
      <x:c r="G1501" s="53"/>
      <x:c r="H1501" s="53"/>
      <x:c r="I1501" s="53"/>
      <x:c r="J1501" s="53"/>
      <x:c r="K1501" s="53"/>
      <x:c r="L1501" s="53"/>
      <x:c r="M1501" s="53"/>
      <x:c r="N1501" s="53"/>
      <x:c r="O1501" s="53"/>
      <x:c r="P1501" s="53"/>
      <x:c r="Q1501" s="53"/>
      <x:c r="R1501" s="53"/>
      <x:c r="S1501" s="53"/>
      <x:c r="T1501" s="53"/>
      <x:c r="U1501" s="53"/>
      <x:c r="V1501" s="53"/>
      <x:c r="W1501" s="53"/>
      <x:c r="X1501" s="53"/>
      <x:c r="Y1501" s="53"/>
      <x:c r="Z1501" s="53"/>
      <x:c r="AA1501" s="53"/>
      <x:c r="AB1501" s="53"/>
      <x:c r="AC1501" s="53"/>
      <x:c r="AD1501" s="53"/>
      <x:c r="AE1501" s="53"/>
      <x:c r="AF1501" s="53"/>
    </x:row>
    <x:row r="1502">
      <x:c r="A1502" s="53"/>
      <x:c r="B1502" s="53"/>
      <x:c r="C1502" s="53"/>
      <x:c r="D1502" s="53"/>
      <x:c r="E1502" s="53"/>
      <x:c r="F1502" s="53"/>
      <x:c r="G1502" s="53"/>
      <x:c r="H1502" s="53"/>
      <x:c r="I1502" s="53"/>
      <x:c r="J1502" s="53"/>
      <x:c r="K1502" s="53"/>
      <x:c r="L1502" s="53"/>
      <x:c r="M1502" s="53"/>
      <x:c r="N1502" s="53"/>
      <x:c r="O1502" s="53"/>
      <x:c r="P1502" s="53"/>
      <x:c r="Q1502" s="53"/>
      <x:c r="R1502" s="53"/>
      <x:c r="S1502" s="53"/>
      <x:c r="T1502" s="53"/>
      <x:c r="U1502" s="53"/>
      <x:c r="V1502" s="53"/>
      <x:c r="W1502" s="53"/>
      <x:c r="X1502" s="53"/>
      <x:c r="Y1502" s="53"/>
      <x:c r="Z1502" s="53"/>
      <x:c r="AA1502" s="53"/>
      <x:c r="AB1502" s="53"/>
      <x:c r="AC1502" s="53"/>
      <x:c r="AD1502" s="53"/>
      <x:c r="AE1502" s="53"/>
      <x:c r="AF1502" s="53"/>
    </x:row>
    <x:row r="1503">
      <x:c r="A1503" s="53"/>
      <x:c r="B1503" s="53"/>
      <x:c r="C1503" s="53"/>
      <x:c r="D1503" s="53"/>
      <x:c r="E1503" s="53"/>
      <x:c r="F1503" s="53"/>
      <x:c r="G1503" s="53"/>
      <x:c r="H1503" s="53"/>
      <x:c r="I1503" s="53"/>
      <x:c r="J1503" s="53"/>
      <x:c r="K1503" s="53"/>
      <x:c r="L1503" s="53"/>
      <x:c r="M1503" s="53"/>
      <x:c r="N1503" s="53"/>
      <x:c r="O1503" s="53"/>
      <x:c r="P1503" s="53"/>
      <x:c r="Q1503" s="53"/>
      <x:c r="R1503" s="53"/>
      <x:c r="S1503" s="53"/>
      <x:c r="T1503" s="53"/>
      <x:c r="U1503" s="53"/>
      <x:c r="V1503" s="53"/>
      <x:c r="W1503" s="53"/>
      <x:c r="X1503" s="53"/>
      <x:c r="Y1503" s="53"/>
      <x:c r="Z1503" s="53"/>
      <x:c r="AA1503" s="53"/>
      <x:c r="AB1503" s="53"/>
      <x:c r="AC1503" s="53"/>
      <x:c r="AD1503" s="53"/>
      <x:c r="AE1503" s="53"/>
      <x:c r="AF1503" s="53"/>
    </x:row>
    <x:row r="1504">
      <x:c r="A1504" s="53"/>
      <x:c r="B1504" s="53"/>
      <x:c r="C1504" s="53"/>
      <x:c r="D1504" s="53"/>
      <x:c r="E1504" s="53"/>
      <x:c r="F1504" s="53"/>
      <x:c r="G1504" s="53"/>
      <x:c r="H1504" s="53"/>
      <x:c r="I1504" s="53"/>
      <x:c r="J1504" s="53"/>
      <x:c r="K1504" s="53"/>
      <x:c r="L1504" s="53"/>
      <x:c r="M1504" s="53"/>
      <x:c r="N1504" s="53"/>
      <x:c r="O1504" s="53"/>
      <x:c r="P1504" s="53"/>
      <x:c r="Q1504" s="53"/>
      <x:c r="R1504" s="53"/>
      <x:c r="S1504" s="53"/>
      <x:c r="T1504" s="53"/>
      <x:c r="U1504" s="53"/>
      <x:c r="V1504" s="53"/>
      <x:c r="W1504" s="53"/>
      <x:c r="X1504" s="53"/>
      <x:c r="Y1504" s="53"/>
      <x:c r="Z1504" s="53"/>
      <x:c r="AA1504" s="53"/>
      <x:c r="AB1504" s="53"/>
      <x:c r="AC1504" s="53"/>
      <x:c r="AD1504" s="53"/>
      <x:c r="AE1504" s="53"/>
      <x:c r="AF1504" s="53"/>
    </x:row>
    <x:row r="1505">
      <x:c r="A1505" s="53"/>
      <x:c r="B1505" s="53"/>
      <x:c r="C1505" s="53"/>
      <x:c r="D1505" s="53"/>
      <x:c r="E1505" s="53"/>
      <x:c r="F1505" s="53"/>
      <x:c r="G1505" s="53"/>
      <x:c r="H1505" s="53"/>
      <x:c r="I1505" s="53"/>
      <x:c r="J1505" s="53"/>
      <x:c r="K1505" s="53"/>
      <x:c r="L1505" s="53"/>
      <x:c r="M1505" s="53"/>
      <x:c r="N1505" s="53"/>
      <x:c r="O1505" s="53"/>
      <x:c r="P1505" s="53"/>
      <x:c r="Q1505" s="53"/>
      <x:c r="R1505" s="53"/>
      <x:c r="S1505" s="53"/>
      <x:c r="T1505" s="53"/>
      <x:c r="U1505" s="53"/>
      <x:c r="V1505" s="53"/>
      <x:c r="W1505" s="53"/>
      <x:c r="X1505" s="53"/>
      <x:c r="Y1505" s="53"/>
      <x:c r="Z1505" s="53"/>
      <x:c r="AA1505" s="53"/>
      <x:c r="AB1505" s="53"/>
      <x:c r="AC1505" s="53"/>
      <x:c r="AD1505" s="53"/>
      <x:c r="AE1505" s="53"/>
      <x:c r="AF1505" s="53"/>
    </x:row>
    <x:row r="1506">
      <x:c r="A1506" s="53"/>
      <x:c r="B1506" s="53"/>
      <x:c r="C1506" s="53"/>
      <x:c r="D1506" s="53"/>
      <x:c r="E1506" s="53"/>
      <x:c r="F1506" s="53"/>
      <x:c r="G1506" s="53"/>
      <x:c r="H1506" s="53"/>
      <x:c r="I1506" s="53"/>
      <x:c r="J1506" s="53"/>
      <x:c r="K1506" s="53"/>
      <x:c r="L1506" s="53"/>
      <x:c r="M1506" s="53"/>
      <x:c r="N1506" s="53"/>
      <x:c r="O1506" s="53"/>
      <x:c r="P1506" s="53"/>
      <x:c r="Q1506" s="53"/>
      <x:c r="R1506" s="53"/>
      <x:c r="S1506" s="53"/>
      <x:c r="T1506" s="53"/>
      <x:c r="U1506" s="53"/>
      <x:c r="V1506" s="53"/>
      <x:c r="W1506" s="53"/>
      <x:c r="X1506" s="53"/>
      <x:c r="Y1506" s="53"/>
      <x:c r="Z1506" s="53"/>
      <x:c r="AA1506" s="53"/>
      <x:c r="AB1506" s="53"/>
      <x:c r="AC1506" s="53"/>
      <x:c r="AD1506" s="53"/>
      <x:c r="AE1506" s="53"/>
      <x:c r="AF1506" s="53"/>
    </x:row>
    <x:row r="1507">
      <x:c r="A1507" s="53"/>
      <x:c r="B1507" s="53"/>
      <x:c r="C1507" s="53"/>
      <x:c r="D1507" s="53"/>
      <x:c r="E1507" s="53"/>
      <x:c r="F1507" s="53"/>
      <x:c r="G1507" s="53"/>
      <x:c r="H1507" s="53"/>
      <x:c r="I1507" s="53"/>
      <x:c r="J1507" s="53"/>
      <x:c r="K1507" s="53"/>
      <x:c r="L1507" s="53"/>
      <x:c r="M1507" s="53"/>
      <x:c r="N1507" s="53"/>
      <x:c r="O1507" s="53"/>
      <x:c r="P1507" s="53"/>
      <x:c r="Q1507" s="53"/>
      <x:c r="R1507" s="53"/>
      <x:c r="S1507" s="53"/>
      <x:c r="T1507" s="53"/>
      <x:c r="U1507" s="53"/>
      <x:c r="V1507" s="53"/>
      <x:c r="W1507" s="53"/>
      <x:c r="X1507" s="53"/>
      <x:c r="Y1507" s="53"/>
      <x:c r="Z1507" s="53"/>
      <x:c r="AA1507" s="53"/>
      <x:c r="AB1507" s="53"/>
      <x:c r="AC1507" s="53"/>
      <x:c r="AD1507" s="53"/>
      <x:c r="AE1507" s="53"/>
      <x:c r="AF1507" s="53"/>
    </x:row>
    <x:row r="1508">
      <x:c r="A1508" s="53"/>
      <x:c r="B1508" s="53"/>
      <x:c r="C1508" s="53"/>
      <x:c r="D1508" s="53"/>
      <x:c r="E1508" s="53"/>
      <x:c r="F1508" s="53"/>
      <x:c r="G1508" s="53"/>
      <x:c r="H1508" s="53"/>
      <x:c r="I1508" s="53"/>
      <x:c r="J1508" s="53"/>
      <x:c r="K1508" s="53"/>
      <x:c r="L1508" s="53"/>
      <x:c r="M1508" s="53"/>
      <x:c r="N1508" s="53"/>
      <x:c r="O1508" s="53"/>
      <x:c r="P1508" s="53"/>
      <x:c r="Q1508" s="53"/>
      <x:c r="R1508" s="53"/>
      <x:c r="S1508" s="53"/>
      <x:c r="T1508" s="53"/>
      <x:c r="U1508" s="53"/>
      <x:c r="V1508" s="53"/>
      <x:c r="W1508" s="53"/>
      <x:c r="X1508" s="53"/>
      <x:c r="Y1508" s="53"/>
      <x:c r="Z1508" s="53"/>
      <x:c r="AA1508" s="53"/>
      <x:c r="AB1508" s="53"/>
      <x:c r="AC1508" s="53"/>
      <x:c r="AD1508" s="53"/>
      <x:c r="AE1508" s="53"/>
      <x:c r="AF1508" s="53"/>
    </x:row>
    <x:row r="1509">
      <x:c r="A1509" s="53"/>
      <x:c r="B1509" s="53"/>
      <x:c r="C1509" s="53"/>
      <x:c r="D1509" s="53"/>
      <x:c r="E1509" s="53"/>
      <x:c r="F1509" s="53"/>
      <x:c r="G1509" s="53"/>
      <x:c r="H1509" s="53"/>
      <x:c r="I1509" s="53"/>
      <x:c r="J1509" s="53"/>
      <x:c r="K1509" s="53"/>
      <x:c r="L1509" s="53"/>
      <x:c r="M1509" s="53"/>
      <x:c r="N1509" s="53"/>
      <x:c r="O1509" s="53"/>
      <x:c r="P1509" s="53"/>
      <x:c r="Q1509" s="53"/>
      <x:c r="R1509" s="53"/>
      <x:c r="S1509" s="53"/>
      <x:c r="T1509" s="53"/>
      <x:c r="U1509" s="53"/>
      <x:c r="V1509" s="53"/>
      <x:c r="W1509" s="53"/>
      <x:c r="X1509" s="53"/>
      <x:c r="Y1509" s="53"/>
      <x:c r="Z1509" s="53"/>
      <x:c r="AA1509" s="53"/>
      <x:c r="AB1509" s="53"/>
      <x:c r="AC1509" s="53"/>
      <x:c r="AD1509" s="53"/>
      <x:c r="AE1509" s="53"/>
      <x:c r="AF1509" s="53"/>
    </x:row>
    <x:row r="1510">
      <x:c r="A1510" s="53"/>
      <x:c r="B1510" s="53"/>
      <x:c r="C1510" s="53"/>
      <x:c r="D1510" s="53"/>
      <x:c r="E1510" s="53"/>
      <x:c r="F1510" s="53"/>
      <x:c r="G1510" s="53"/>
      <x:c r="H1510" s="53"/>
      <x:c r="I1510" s="53"/>
      <x:c r="J1510" s="53"/>
      <x:c r="K1510" s="53"/>
      <x:c r="L1510" s="53"/>
      <x:c r="M1510" s="53"/>
      <x:c r="N1510" s="53"/>
      <x:c r="O1510" s="53"/>
      <x:c r="P1510" s="53"/>
      <x:c r="Q1510" s="53"/>
      <x:c r="R1510" s="53"/>
      <x:c r="S1510" s="53"/>
      <x:c r="T1510" s="53"/>
      <x:c r="U1510" s="53"/>
      <x:c r="V1510" s="53"/>
      <x:c r="W1510" s="53"/>
      <x:c r="X1510" s="53"/>
      <x:c r="Y1510" s="53"/>
      <x:c r="Z1510" s="53"/>
      <x:c r="AA1510" s="53"/>
      <x:c r="AB1510" s="53"/>
      <x:c r="AC1510" s="53"/>
      <x:c r="AD1510" s="53"/>
      <x:c r="AE1510" s="53"/>
      <x:c r="AF1510" s="53"/>
    </x:row>
    <x:row r="1511">
      <x:c r="A1511" s="53"/>
      <x:c r="B1511" s="53"/>
      <x:c r="C1511" s="53"/>
      <x:c r="D1511" s="53"/>
      <x:c r="E1511" s="53"/>
      <x:c r="F1511" s="53"/>
      <x:c r="G1511" s="53"/>
      <x:c r="H1511" s="53"/>
      <x:c r="I1511" s="53"/>
      <x:c r="J1511" s="53"/>
      <x:c r="K1511" s="53"/>
      <x:c r="L1511" s="53"/>
      <x:c r="M1511" s="53"/>
      <x:c r="N1511" s="53"/>
      <x:c r="O1511" s="53"/>
      <x:c r="P1511" s="53"/>
      <x:c r="Q1511" s="53"/>
      <x:c r="R1511" s="53"/>
      <x:c r="S1511" s="53"/>
      <x:c r="T1511" s="53"/>
      <x:c r="U1511" s="53"/>
      <x:c r="V1511" s="53"/>
      <x:c r="W1511" s="53"/>
      <x:c r="X1511" s="53"/>
      <x:c r="Y1511" s="53"/>
      <x:c r="Z1511" s="53"/>
      <x:c r="AA1511" s="53"/>
      <x:c r="AB1511" s="53"/>
      <x:c r="AC1511" s="53"/>
      <x:c r="AD1511" s="53"/>
      <x:c r="AE1511" s="53"/>
      <x:c r="AF1511" s="53"/>
    </x:row>
    <x:row r="1512">
      <x:c r="A1512" s="53"/>
      <x:c r="B1512" s="53"/>
      <x:c r="C1512" s="53"/>
      <x:c r="D1512" s="53"/>
      <x:c r="E1512" s="53"/>
      <x:c r="F1512" s="53"/>
      <x:c r="G1512" s="53"/>
      <x:c r="H1512" s="53"/>
      <x:c r="I1512" s="53"/>
      <x:c r="J1512" s="53"/>
      <x:c r="K1512" s="53"/>
      <x:c r="L1512" s="53"/>
      <x:c r="M1512" s="53"/>
      <x:c r="N1512" s="53"/>
      <x:c r="O1512" s="53"/>
      <x:c r="P1512" s="53"/>
      <x:c r="Q1512" s="53"/>
      <x:c r="R1512" s="53"/>
      <x:c r="S1512" s="53"/>
      <x:c r="T1512" s="53"/>
      <x:c r="U1512" s="53"/>
      <x:c r="V1512" s="53"/>
      <x:c r="W1512" s="53"/>
      <x:c r="X1512" s="53"/>
      <x:c r="Y1512" s="53"/>
      <x:c r="Z1512" s="53"/>
      <x:c r="AA1512" s="53"/>
      <x:c r="AB1512" s="53"/>
      <x:c r="AC1512" s="53"/>
      <x:c r="AD1512" s="53"/>
      <x:c r="AE1512" s="53"/>
      <x:c r="AF1512" s="53"/>
    </x:row>
    <x:row r="1513">
      <x:c r="A1513" s="53"/>
      <x:c r="B1513" s="53"/>
      <x:c r="C1513" s="53"/>
      <x:c r="D1513" s="53"/>
      <x:c r="E1513" s="53"/>
      <x:c r="F1513" s="53"/>
      <x:c r="G1513" s="53"/>
      <x:c r="H1513" s="53"/>
      <x:c r="I1513" s="53"/>
      <x:c r="J1513" s="53"/>
      <x:c r="K1513" s="53"/>
      <x:c r="L1513" s="53"/>
      <x:c r="M1513" s="53"/>
      <x:c r="N1513" s="53"/>
      <x:c r="O1513" s="53"/>
      <x:c r="P1513" s="53"/>
      <x:c r="Q1513" s="53"/>
      <x:c r="R1513" s="53"/>
      <x:c r="S1513" s="53"/>
      <x:c r="T1513" s="53"/>
      <x:c r="U1513" s="53"/>
      <x:c r="V1513" s="53"/>
      <x:c r="W1513" s="53"/>
      <x:c r="X1513" s="53"/>
      <x:c r="Y1513" s="53"/>
      <x:c r="Z1513" s="53"/>
      <x:c r="AA1513" s="53"/>
      <x:c r="AB1513" s="53"/>
      <x:c r="AC1513" s="53"/>
      <x:c r="AD1513" s="53"/>
      <x:c r="AE1513" s="53"/>
      <x:c r="AF1513" s="53"/>
    </x:row>
    <x:row r="1514">
      <x:c r="A1514" s="53"/>
      <x:c r="B1514" s="53"/>
      <x:c r="C1514" s="53"/>
      <x:c r="D1514" s="53"/>
      <x:c r="E1514" s="53"/>
      <x:c r="F1514" s="53"/>
      <x:c r="G1514" s="53"/>
      <x:c r="H1514" s="53"/>
      <x:c r="I1514" s="53"/>
      <x:c r="J1514" s="53"/>
      <x:c r="K1514" s="53"/>
      <x:c r="L1514" s="53"/>
      <x:c r="M1514" s="53"/>
      <x:c r="N1514" s="53"/>
      <x:c r="O1514" s="53"/>
      <x:c r="P1514" s="53"/>
      <x:c r="Q1514" s="53"/>
      <x:c r="R1514" s="53"/>
      <x:c r="S1514" s="53"/>
      <x:c r="T1514" s="53"/>
      <x:c r="U1514" s="53"/>
      <x:c r="V1514" s="53"/>
      <x:c r="W1514" s="53"/>
      <x:c r="X1514" s="53"/>
      <x:c r="Y1514" s="53"/>
      <x:c r="Z1514" s="53"/>
      <x:c r="AA1514" s="53"/>
      <x:c r="AB1514" s="53"/>
      <x:c r="AC1514" s="53"/>
      <x:c r="AD1514" s="53"/>
      <x:c r="AE1514" s="53"/>
      <x:c r="AF1514" s="53"/>
    </x:row>
    <x:row r="1515">
      <x:c r="A1515" s="53"/>
      <x:c r="B1515" s="53"/>
      <x:c r="C1515" s="53"/>
      <x:c r="D1515" s="53"/>
      <x:c r="E1515" s="53"/>
      <x:c r="F1515" s="53"/>
      <x:c r="G1515" s="53"/>
      <x:c r="H1515" s="53"/>
      <x:c r="I1515" s="53"/>
      <x:c r="J1515" s="53"/>
      <x:c r="K1515" s="53"/>
      <x:c r="L1515" s="53"/>
      <x:c r="M1515" s="53"/>
      <x:c r="N1515" s="53"/>
      <x:c r="O1515" s="53"/>
      <x:c r="P1515" s="53"/>
      <x:c r="Q1515" s="53"/>
      <x:c r="R1515" s="53"/>
      <x:c r="S1515" s="53"/>
      <x:c r="T1515" s="53"/>
      <x:c r="U1515" s="53"/>
      <x:c r="V1515" s="53"/>
      <x:c r="W1515" s="53"/>
      <x:c r="X1515" s="53"/>
      <x:c r="Y1515" s="53"/>
      <x:c r="Z1515" s="53"/>
      <x:c r="AA1515" s="53"/>
      <x:c r="AB1515" s="53"/>
      <x:c r="AC1515" s="53"/>
      <x:c r="AD1515" s="53"/>
      <x:c r="AE1515" s="53"/>
      <x:c r="AF1515" s="53"/>
    </x:row>
    <x:row r="1516">
      <x:c r="A1516" s="53"/>
      <x:c r="B1516" s="53"/>
      <x:c r="C1516" s="53"/>
      <x:c r="D1516" s="53"/>
      <x:c r="E1516" s="53"/>
      <x:c r="F1516" s="53"/>
      <x:c r="G1516" s="53"/>
      <x:c r="H1516" s="53"/>
      <x:c r="I1516" s="53"/>
      <x:c r="J1516" s="53"/>
      <x:c r="K1516" s="53"/>
      <x:c r="L1516" s="53"/>
      <x:c r="M1516" s="53"/>
      <x:c r="N1516" s="53"/>
      <x:c r="O1516" s="53"/>
      <x:c r="P1516" s="53"/>
      <x:c r="Q1516" s="53"/>
      <x:c r="R1516" s="53"/>
      <x:c r="S1516" s="53"/>
      <x:c r="T1516" s="53"/>
      <x:c r="U1516" s="53"/>
      <x:c r="V1516" s="53"/>
      <x:c r="W1516" s="53"/>
      <x:c r="X1516" s="53"/>
      <x:c r="Y1516" s="53"/>
      <x:c r="Z1516" s="53"/>
      <x:c r="AA1516" s="53"/>
      <x:c r="AB1516" s="53"/>
      <x:c r="AC1516" s="53"/>
      <x:c r="AD1516" s="53"/>
      <x:c r="AE1516" s="53"/>
      <x:c r="AF1516" s="53"/>
    </x:row>
    <x:row r="1517">
      <x:c r="A1517" s="53"/>
      <x:c r="B1517" s="53"/>
      <x:c r="C1517" s="53"/>
      <x:c r="D1517" s="53"/>
      <x:c r="E1517" s="53"/>
      <x:c r="F1517" s="53"/>
      <x:c r="G1517" s="53"/>
      <x:c r="H1517" s="53"/>
      <x:c r="I1517" s="53"/>
      <x:c r="J1517" s="53"/>
      <x:c r="K1517" s="53"/>
      <x:c r="L1517" s="53"/>
      <x:c r="M1517" s="53"/>
      <x:c r="N1517" s="53"/>
      <x:c r="O1517" s="53"/>
      <x:c r="P1517" s="53"/>
      <x:c r="Q1517" s="53"/>
      <x:c r="R1517" s="53"/>
      <x:c r="S1517" s="53"/>
      <x:c r="T1517" s="53"/>
      <x:c r="U1517" s="53"/>
      <x:c r="V1517" s="53"/>
      <x:c r="W1517" s="53"/>
      <x:c r="X1517" s="53"/>
      <x:c r="Y1517" s="53"/>
      <x:c r="Z1517" s="53"/>
      <x:c r="AA1517" s="53"/>
      <x:c r="AB1517" s="53"/>
      <x:c r="AC1517" s="53"/>
      <x:c r="AD1517" s="53"/>
      <x:c r="AE1517" s="53"/>
      <x:c r="AF1517" s="53"/>
    </x:row>
    <x:row r="1518">
      <x:c r="A1518" s="53"/>
      <x:c r="B1518" s="53"/>
      <x:c r="C1518" s="53"/>
      <x:c r="D1518" s="53"/>
      <x:c r="E1518" s="53"/>
      <x:c r="F1518" s="53"/>
      <x:c r="G1518" s="53"/>
      <x:c r="H1518" s="53"/>
      <x:c r="I1518" s="53"/>
      <x:c r="J1518" s="53"/>
      <x:c r="K1518" s="53"/>
      <x:c r="L1518" s="53"/>
      <x:c r="M1518" s="53"/>
      <x:c r="N1518" s="53"/>
      <x:c r="O1518" s="53"/>
      <x:c r="P1518" s="53"/>
      <x:c r="Q1518" s="53"/>
      <x:c r="R1518" s="53"/>
      <x:c r="S1518" s="53"/>
      <x:c r="T1518" s="53"/>
      <x:c r="U1518" s="53"/>
      <x:c r="V1518" s="53"/>
      <x:c r="W1518" s="53"/>
      <x:c r="X1518" s="53"/>
      <x:c r="Y1518" s="53"/>
      <x:c r="Z1518" s="53"/>
      <x:c r="AA1518" s="53"/>
      <x:c r="AB1518" s="53"/>
      <x:c r="AC1518" s="53"/>
      <x:c r="AD1518" s="53"/>
      <x:c r="AE1518" s="53"/>
      <x:c r="AF1518" s="53"/>
    </x:row>
    <x:row r="1519">
      <x:c r="A1519" s="53"/>
      <x:c r="B1519" s="53"/>
      <x:c r="C1519" s="53"/>
      <x:c r="D1519" s="53"/>
      <x:c r="E1519" s="53"/>
      <x:c r="F1519" s="53"/>
      <x:c r="G1519" s="53"/>
      <x:c r="H1519" s="53"/>
      <x:c r="I1519" s="53"/>
      <x:c r="J1519" s="53"/>
      <x:c r="K1519" s="53"/>
      <x:c r="L1519" s="53"/>
      <x:c r="M1519" s="53"/>
      <x:c r="N1519" s="53"/>
      <x:c r="O1519" s="53"/>
      <x:c r="P1519" s="53"/>
      <x:c r="Q1519" s="53"/>
      <x:c r="R1519" s="53"/>
      <x:c r="S1519" s="53"/>
      <x:c r="T1519" s="53"/>
      <x:c r="U1519" s="53"/>
      <x:c r="V1519" s="53"/>
      <x:c r="W1519" s="53"/>
      <x:c r="X1519" s="53"/>
      <x:c r="Y1519" s="53"/>
      <x:c r="Z1519" s="53"/>
      <x:c r="AA1519" s="53"/>
      <x:c r="AB1519" s="53"/>
      <x:c r="AC1519" s="53"/>
      <x:c r="AD1519" s="53"/>
      <x:c r="AE1519" s="53"/>
      <x:c r="AF1519" s="53"/>
    </x:row>
    <x:row r="1520">
      <x:c r="A1520" s="53"/>
      <x:c r="B1520" s="53"/>
      <x:c r="C1520" s="53"/>
      <x:c r="D1520" s="53"/>
      <x:c r="E1520" s="53"/>
      <x:c r="F1520" s="53"/>
      <x:c r="G1520" s="53"/>
      <x:c r="H1520" s="53"/>
      <x:c r="I1520" s="53"/>
      <x:c r="J1520" s="53"/>
      <x:c r="K1520" s="53"/>
      <x:c r="L1520" s="53"/>
      <x:c r="M1520" s="53"/>
      <x:c r="N1520" s="53"/>
      <x:c r="O1520" s="53"/>
      <x:c r="P1520" s="53"/>
      <x:c r="Q1520" s="53"/>
      <x:c r="R1520" s="53"/>
      <x:c r="S1520" s="53"/>
      <x:c r="T1520" s="53"/>
      <x:c r="U1520" s="53"/>
      <x:c r="V1520" s="53"/>
      <x:c r="W1520" s="53"/>
      <x:c r="X1520" s="53"/>
      <x:c r="Y1520" s="53"/>
      <x:c r="Z1520" s="53"/>
      <x:c r="AA1520" s="53"/>
      <x:c r="AB1520" s="53"/>
      <x:c r="AC1520" s="53"/>
      <x:c r="AD1520" s="53"/>
      <x:c r="AE1520" s="53"/>
      <x:c r="AF1520" s="53"/>
    </x:row>
    <x:row r="1521">
      <x:c r="A1521" s="53"/>
      <x:c r="B1521" s="53"/>
      <x:c r="C1521" s="53"/>
      <x:c r="D1521" s="53"/>
      <x:c r="E1521" s="53"/>
      <x:c r="F1521" s="53"/>
      <x:c r="G1521" s="53"/>
      <x:c r="H1521" s="53"/>
      <x:c r="I1521" s="53"/>
      <x:c r="J1521" s="53"/>
      <x:c r="K1521" s="53"/>
      <x:c r="L1521" s="53"/>
      <x:c r="M1521" s="53"/>
      <x:c r="N1521" s="53"/>
      <x:c r="O1521" s="53"/>
      <x:c r="P1521" s="53"/>
      <x:c r="Q1521" s="53"/>
      <x:c r="R1521" s="53"/>
      <x:c r="S1521" s="53"/>
      <x:c r="T1521" s="53"/>
      <x:c r="U1521" s="53"/>
      <x:c r="V1521" s="53"/>
      <x:c r="W1521" s="53"/>
      <x:c r="X1521" s="53"/>
      <x:c r="Y1521" s="53"/>
      <x:c r="Z1521" s="53"/>
      <x:c r="AA1521" s="53"/>
      <x:c r="AB1521" s="53"/>
      <x:c r="AC1521" s="53"/>
      <x:c r="AD1521" s="53"/>
      <x:c r="AE1521" s="53"/>
      <x:c r="AF1521" s="53"/>
    </x:row>
    <x:row r="1522">
      <x:c r="A1522" s="53"/>
      <x:c r="B1522" s="53"/>
      <x:c r="C1522" s="53"/>
      <x:c r="D1522" s="53"/>
      <x:c r="E1522" s="53"/>
      <x:c r="F1522" s="53"/>
      <x:c r="G1522" s="53"/>
      <x:c r="H1522" s="53"/>
      <x:c r="I1522" s="53"/>
      <x:c r="J1522" s="53"/>
      <x:c r="K1522" s="53"/>
      <x:c r="L1522" s="53"/>
      <x:c r="M1522" s="53"/>
      <x:c r="N1522" s="53"/>
      <x:c r="O1522" s="53"/>
      <x:c r="P1522" s="53"/>
      <x:c r="Q1522" s="53"/>
      <x:c r="R1522" s="53"/>
      <x:c r="S1522" s="53"/>
      <x:c r="T1522" s="53"/>
      <x:c r="U1522" s="53"/>
      <x:c r="V1522" s="53"/>
      <x:c r="W1522" s="53"/>
      <x:c r="X1522" s="53"/>
      <x:c r="Y1522" s="53"/>
      <x:c r="Z1522" s="53"/>
      <x:c r="AA1522" s="53"/>
      <x:c r="AB1522" s="53"/>
      <x:c r="AC1522" s="53"/>
      <x:c r="AD1522" s="53"/>
      <x:c r="AE1522" s="53"/>
      <x:c r="AF1522" s="53"/>
    </x:row>
    <x:row r="1523">
      <x:c r="A1523" s="53"/>
      <x:c r="B1523" s="53"/>
      <x:c r="C1523" s="53"/>
      <x:c r="D1523" s="53"/>
      <x:c r="E1523" s="53"/>
      <x:c r="F1523" s="53"/>
      <x:c r="G1523" s="53"/>
      <x:c r="H1523" s="53"/>
      <x:c r="I1523" s="53"/>
      <x:c r="J1523" s="53"/>
      <x:c r="K1523" s="53"/>
      <x:c r="L1523" s="53"/>
      <x:c r="M1523" s="53"/>
      <x:c r="N1523" s="53"/>
      <x:c r="O1523" s="53"/>
      <x:c r="P1523" s="53"/>
      <x:c r="Q1523" s="53"/>
      <x:c r="R1523" s="53"/>
      <x:c r="S1523" s="53"/>
      <x:c r="T1523" s="53"/>
      <x:c r="U1523" s="53"/>
      <x:c r="V1523" s="53"/>
      <x:c r="W1523" s="53"/>
      <x:c r="X1523" s="53"/>
      <x:c r="Y1523" s="53"/>
      <x:c r="Z1523" s="53"/>
      <x:c r="AA1523" s="53"/>
      <x:c r="AB1523" s="53"/>
      <x:c r="AC1523" s="53"/>
      <x:c r="AD1523" s="53"/>
      <x:c r="AE1523" s="53"/>
      <x:c r="AF1523" s="53"/>
    </x:row>
    <x:row r="1524">
      <x:c r="A1524" s="53"/>
      <x:c r="B1524" s="53"/>
      <x:c r="C1524" s="53"/>
      <x:c r="D1524" s="53"/>
      <x:c r="E1524" s="53"/>
      <x:c r="F1524" s="53"/>
      <x:c r="G1524" s="53"/>
      <x:c r="H1524" s="53"/>
      <x:c r="I1524" s="53"/>
      <x:c r="J1524" s="53"/>
      <x:c r="K1524" s="53"/>
      <x:c r="L1524" s="53"/>
      <x:c r="M1524" s="53"/>
      <x:c r="N1524" s="53"/>
      <x:c r="O1524" s="53"/>
      <x:c r="P1524" s="53"/>
      <x:c r="Q1524" s="53"/>
      <x:c r="R1524" s="53"/>
      <x:c r="S1524" s="53"/>
      <x:c r="T1524" s="53"/>
      <x:c r="U1524" s="53"/>
      <x:c r="V1524" s="53"/>
      <x:c r="W1524" s="53"/>
      <x:c r="X1524" s="53"/>
      <x:c r="Y1524" s="53"/>
      <x:c r="Z1524" s="53"/>
      <x:c r="AA1524" s="53"/>
      <x:c r="AB1524" s="53"/>
      <x:c r="AC1524" s="53"/>
      <x:c r="AD1524" s="53"/>
      <x:c r="AE1524" s="53"/>
      <x:c r="AF1524" s="53"/>
    </x:row>
    <x:row r="1525">
      <x:c r="A1525" s="53"/>
      <x:c r="B1525" s="53"/>
      <x:c r="C1525" s="53"/>
      <x:c r="D1525" s="53"/>
      <x:c r="E1525" s="53"/>
      <x:c r="F1525" s="53"/>
      <x:c r="G1525" s="53"/>
      <x:c r="H1525" s="53"/>
      <x:c r="I1525" s="53"/>
      <x:c r="J1525" s="53"/>
      <x:c r="K1525" s="53"/>
      <x:c r="L1525" s="53"/>
      <x:c r="M1525" s="53"/>
      <x:c r="N1525" s="53"/>
      <x:c r="O1525" s="53"/>
      <x:c r="P1525" s="53"/>
      <x:c r="Q1525" s="53"/>
      <x:c r="R1525" s="53"/>
      <x:c r="S1525" s="53"/>
      <x:c r="T1525" s="53"/>
      <x:c r="U1525" s="53"/>
      <x:c r="V1525" s="53"/>
      <x:c r="W1525" s="53"/>
      <x:c r="X1525" s="53"/>
      <x:c r="Y1525" s="53"/>
      <x:c r="Z1525" s="53"/>
      <x:c r="AA1525" s="53"/>
      <x:c r="AB1525" s="53"/>
      <x:c r="AC1525" s="53"/>
      <x:c r="AD1525" s="53"/>
      <x:c r="AE1525" s="53"/>
      <x:c r="AF1525" s="53"/>
    </x:row>
    <x:row r="1526">
      <x:c r="A1526" s="53"/>
      <x:c r="B1526" s="53"/>
      <x:c r="C1526" s="53"/>
      <x:c r="D1526" s="53"/>
      <x:c r="E1526" s="53"/>
      <x:c r="F1526" s="53"/>
      <x:c r="G1526" s="53"/>
      <x:c r="H1526" s="53"/>
      <x:c r="I1526" s="53"/>
      <x:c r="J1526" s="53"/>
      <x:c r="K1526" s="53"/>
      <x:c r="L1526" s="53"/>
      <x:c r="M1526" s="53"/>
      <x:c r="N1526" s="53"/>
      <x:c r="O1526" s="53"/>
      <x:c r="P1526" s="53"/>
      <x:c r="Q1526" s="53"/>
      <x:c r="R1526" s="53"/>
      <x:c r="S1526" s="53"/>
      <x:c r="T1526" s="53"/>
      <x:c r="U1526" s="53"/>
      <x:c r="V1526" s="53"/>
      <x:c r="W1526" s="53"/>
      <x:c r="X1526" s="53"/>
      <x:c r="Y1526" s="53"/>
      <x:c r="Z1526" s="53"/>
      <x:c r="AA1526" s="53"/>
      <x:c r="AB1526" s="53"/>
      <x:c r="AC1526" s="53"/>
      <x:c r="AD1526" s="53"/>
      <x:c r="AE1526" s="53"/>
      <x:c r="AF1526" s="53"/>
    </x:row>
    <x:row r="1527">
      <x:c r="A1527" s="53"/>
      <x:c r="B1527" s="53"/>
      <x:c r="C1527" s="53"/>
      <x:c r="D1527" s="53"/>
      <x:c r="E1527" s="53"/>
      <x:c r="F1527" s="53"/>
      <x:c r="G1527" s="53"/>
      <x:c r="H1527" s="53"/>
      <x:c r="I1527" s="53"/>
      <x:c r="J1527" s="53"/>
      <x:c r="K1527" s="53"/>
      <x:c r="L1527" s="53"/>
      <x:c r="M1527" s="53"/>
      <x:c r="N1527" s="53"/>
      <x:c r="O1527" s="53"/>
      <x:c r="P1527" s="53"/>
      <x:c r="Q1527" s="53"/>
      <x:c r="R1527" s="53"/>
      <x:c r="S1527" s="53"/>
      <x:c r="T1527" s="53"/>
      <x:c r="U1527" s="53"/>
      <x:c r="V1527" s="53"/>
      <x:c r="W1527" s="53"/>
      <x:c r="X1527" s="53"/>
      <x:c r="Y1527" s="53"/>
      <x:c r="Z1527" s="53"/>
      <x:c r="AA1527" s="53"/>
      <x:c r="AB1527" s="53"/>
      <x:c r="AC1527" s="53"/>
      <x:c r="AD1527" s="53"/>
      <x:c r="AE1527" s="53"/>
      <x:c r="AF1527" s="53"/>
    </x:row>
    <x:row r="1528">
      <x:c r="A1528" s="53"/>
      <x:c r="B1528" s="53"/>
      <x:c r="C1528" s="53"/>
      <x:c r="D1528" s="53"/>
      <x:c r="E1528" s="53"/>
      <x:c r="F1528" s="53"/>
      <x:c r="G1528" s="53"/>
      <x:c r="H1528" s="53"/>
      <x:c r="I1528" s="53"/>
      <x:c r="J1528" s="53"/>
      <x:c r="K1528" s="53"/>
      <x:c r="L1528" s="53"/>
      <x:c r="M1528" s="53"/>
      <x:c r="N1528" s="53"/>
      <x:c r="O1528" s="53"/>
      <x:c r="P1528" s="53"/>
      <x:c r="Q1528" s="53"/>
      <x:c r="R1528" s="53"/>
      <x:c r="S1528" s="53"/>
      <x:c r="T1528" s="53"/>
      <x:c r="U1528" s="53"/>
      <x:c r="V1528" s="53"/>
      <x:c r="W1528" s="53"/>
      <x:c r="X1528" s="53"/>
      <x:c r="Y1528" s="53"/>
      <x:c r="Z1528" s="53"/>
      <x:c r="AA1528" s="53"/>
      <x:c r="AB1528" s="53"/>
      <x:c r="AC1528" s="53"/>
      <x:c r="AD1528" s="53"/>
      <x:c r="AE1528" s="53"/>
      <x:c r="AF1528" s="53"/>
    </x:row>
    <x:row r="1529">
      <x:c r="A1529" s="53"/>
      <x:c r="B1529" s="53"/>
      <x:c r="C1529" s="53"/>
      <x:c r="D1529" s="53"/>
      <x:c r="E1529" s="53"/>
      <x:c r="F1529" s="53"/>
      <x:c r="G1529" s="53"/>
      <x:c r="H1529" s="53"/>
      <x:c r="I1529" s="53"/>
      <x:c r="J1529" s="53"/>
      <x:c r="K1529" s="53"/>
      <x:c r="L1529" s="53"/>
      <x:c r="M1529" s="53"/>
      <x:c r="N1529" s="53"/>
      <x:c r="O1529" s="53"/>
      <x:c r="P1529" s="53"/>
      <x:c r="Q1529" s="53"/>
      <x:c r="R1529" s="53"/>
      <x:c r="S1529" s="53"/>
      <x:c r="T1529" s="53"/>
      <x:c r="U1529" s="53"/>
      <x:c r="V1529" s="53"/>
      <x:c r="W1529" s="53"/>
      <x:c r="X1529" s="53"/>
      <x:c r="Y1529" s="53"/>
      <x:c r="Z1529" s="53"/>
      <x:c r="AA1529" s="53"/>
      <x:c r="AB1529" s="53"/>
      <x:c r="AC1529" s="53"/>
      <x:c r="AD1529" s="53"/>
      <x:c r="AE1529" s="53"/>
      <x:c r="AF1529" s="53"/>
    </x:row>
    <x:row r="1530">
      <x:c r="A1530" s="53"/>
      <x:c r="B1530" s="53"/>
      <x:c r="C1530" s="53"/>
      <x:c r="D1530" s="53"/>
      <x:c r="E1530" s="53"/>
      <x:c r="F1530" s="53"/>
      <x:c r="G1530" s="53"/>
      <x:c r="H1530" s="53"/>
      <x:c r="I1530" s="53"/>
      <x:c r="J1530" s="53"/>
      <x:c r="K1530" s="53"/>
      <x:c r="L1530" s="53"/>
      <x:c r="M1530" s="53"/>
      <x:c r="N1530" s="53"/>
      <x:c r="O1530" s="53"/>
      <x:c r="P1530" s="53"/>
      <x:c r="Q1530" s="53"/>
      <x:c r="R1530" s="53"/>
      <x:c r="S1530" s="53"/>
      <x:c r="T1530" s="53"/>
      <x:c r="U1530" s="53"/>
      <x:c r="V1530" s="53"/>
      <x:c r="W1530" s="53"/>
      <x:c r="X1530" s="53"/>
      <x:c r="Y1530" s="53"/>
      <x:c r="Z1530" s="53"/>
      <x:c r="AA1530" s="53"/>
      <x:c r="AB1530" s="53"/>
      <x:c r="AC1530" s="53"/>
      <x:c r="AD1530" s="53"/>
      <x:c r="AE1530" s="53"/>
      <x:c r="AF1530" s="53"/>
    </x:row>
    <x:row r="1531">
      <x:c r="A1531" s="53"/>
      <x:c r="B1531" s="53"/>
      <x:c r="C1531" s="53"/>
      <x:c r="D1531" s="53"/>
      <x:c r="E1531" s="53"/>
      <x:c r="F1531" s="53"/>
      <x:c r="G1531" s="53"/>
      <x:c r="H1531" s="53"/>
      <x:c r="I1531" s="53"/>
      <x:c r="J1531" s="53"/>
      <x:c r="K1531" s="53"/>
      <x:c r="L1531" s="53"/>
      <x:c r="M1531" s="53"/>
      <x:c r="N1531" s="53"/>
      <x:c r="O1531" s="53"/>
      <x:c r="P1531" s="53"/>
      <x:c r="Q1531" s="53"/>
      <x:c r="R1531" s="53"/>
      <x:c r="S1531" s="53"/>
      <x:c r="T1531" s="53"/>
      <x:c r="U1531" s="53"/>
      <x:c r="V1531" s="53"/>
      <x:c r="W1531" s="53"/>
      <x:c r="X1531" s="53"/>
      <x:c r="Y1531" s="53"/>
      <x:c r="Z1531" s="53"/>
      <x:c r="AA1531" s="53"/>
      <x:c r="AB1531" s="53"/>
      <x:c r="AC1531" s="53"/>
      <x:c r="AD1531" s="53"/>
      <x:c r="AE1531" s="53"/>
      <x:c r="AF1531" s="53"/>
    </x:row>
    <x:row r="1532">
      <x:c r="A1532" s="53"/>
      <x:c r="B1532" s="53"/>
      <x:c r="C1532" s="53"/>
      <x:c r="D1532" s="53"/>
      <x:c r="E1532" s="53"/>
      <x:c r="F1532" s="53"/>
      <x:c r="G1532" s="53"/>
      <x:c r="H1532" s="53"/>
      <x:c r="I1532" s="53"/>
      <x:c r="J1532" s="53"/>
      <x:c r="K1532" s="53"/>
      <x:c r="L1532" s="53"/>
      <x:c r="M1532" s="53"/>
      <x:c r="N1532" s="53"/>
      <x:c r="O1532" s="53"/>
      <x:c r="P1532" s="53"/>
      <x:c r="Q1532" s="53"/>
      <x:c r="R1532" s="53"/>
      <x:c r="S1532" s="53"/>
      <x:c r="T1532" s="53"/>
      <x:c r="U1532" s="53"/>
      <x:c r="V1532" s="53"/>
      <x:c r="W1532" s="53"/>
      <x:c r="X1532" s="53"/>
      <x:c r="Y1532" s="53"/>
      <x:c r="Z1532" s="53"/>
      <x:c r="AA1532" s="53"/>
      <x:c r="AB1532" s="53"/>
      <x:c r="AC1532" s="53"/>
      <x:c r="AD1532" s="53"/>
      <x:c r="AE1532" s="53"/>
      <x:c r="AF1532" s="53"/>
    </x:row>
    <x:row r="1533">
      <x:c r="A1533" s="53"/>
      <x:c r="B1533" s="53"/>
      <x:c r="C1533" s="53"/>
      <x:c r="D1533" s="53"/>
      <x:c r="E1533" s="53"/>
      <x:c r="F1533" s="53"/>
      <x:c r="G1533" s="53"/>
      <x:c r="H1533" s="53"/>
      <x:c r="I1533" s="53"/>
      <x:c r="J1533" s="53"/>
      <x:c r="K1533" s="53"/>
      <x:c r="L1533" s="53"/>
      <x:c r="M1533" s="53"/>
      <x:c r="N1533" s="53"/>
      <x:c r="O1533" s="53"/>
      <x:c r="P1533" s="53"/>
      <x:c r="Q1533" s="53"/>
      <x:c r="R1533" s="53"/>
      <x:c r="S1533" s="53"/>
      <x:c r="T1533" s="53"/>
      <x:c r="U1533" s="53"/>
      <x:c r="V1533" s="53"/>
      <x:c r="W1533" s="53"/>
      <x:c r="X1533" s="53"/>
      <x:c r="Y1533" s="53"/>
      <x:c r="Z1533" s="53"/>
      <x:c r="AA1533" s="53"/>
      <x:c r="AB1533" s="53"/>
      <x:c r="AC1533" s="53"/>
      <x:c r="AD1533" s="53"/>
      <x:c r="AE1533" s="53"/>
      <x:c r="AF1533" s="53"/>
    </x:row>
    <x:row r="1534">
      <x:c r="A1534" s="53"/>
      <x:c r="B1534" s="53"/>
      <x:c r="C1534" s="53"/>
      <x:c r="D1534" s="53"/>
      <x:c r="E1534" s="53"/>
      <x:c r="F1534" s="53"/>
      <x:c r="G1534" s="53"/>
      <x:c r="H1534" s="53"/>
      <x:c r="I1534" s="53"/>
      <x:c r="J1534" s="53"/>
      <x:c r="K1534" s="53"/>
      <x:c r="L1534" s="53"/>
      <x:c r="M1534" s="53"/>
      <x:c r="N1534" s="53"/>
      <x:c r="O1534" s="53"/>
      <x:c r="P1534" s="53"/>
      <x:c r="Q1534" s="53"/>
      <x:c r="R1534" s="53"/>
      <x:c r="S1534" s="53"/>
      <x:c r="T1534" s="53"/>
      <x:c r="U1534" s="53"/>
      <x:c r="V1534" s="53"/>
      <x:c r="W1534" s="53"/>
      <x:c r="X1534" s="53"/>
      <x:c r="Y1534" s="53"/>
      <x:c r="Z1534" s="53"/>
      <x:c r="AA1534" s="53"/>
      <x:c r="AB1534" s="53"/>
      <x:c r="AC1534" s="53"/>
      <x:c r="AD1534" s="53"/>
      <x:c r="AE1534" s="53"/>
      <x:c r="AF1534" s="53"/>
    </x:row>
    <x:row r="1535">
      <x:c r="A1535" s="53"/>
      <x:c r="B1535" s="53"/>
      <x:c r="C1535" s="53"/>
      <x:c r="D1535" s="53"/>
      <x:c r="E1535" s="53"/>
      <x:c r="F1535" s="53"/>
      <x:c r="G1535" s="53"/>
      <x:c r="H1535" s="53"/>
      <x:c r="I1535" s="53"/>
      <x:c r="J1535" s="53"/>
      <x:c r="K1535" s="53"/>
      <x:c r="L1535" s="53"/>
      <x:c r="M1535" s="53"/>
      <x:c r="N1535" s="53"/>
      <x:c r="O1535" s="53"/>
      <x:c r="P1535" s="53"/>
      <x:c r="Q1535" s="53"/>
      <x:c r="R1535" s="53"/>
      <x:c r="S1535" s="53"/>
      <x:c r="T1535" s="53"/>
      <x:c r="U1535" s="53"/>
      <x:c r="V1535" s="53"/>
      <x:c r="W1535" s="53"/>
      <x:c r="X1535" s="53"/>
      <x:c r="Y1535" s="53"/>
      <x:c r="Z1535" s="53"/>
      <x:c r="AA1535" s="53"/>
      <x:c r="AB1535" s="53"/>
      <x:c r="AC1535" s="53"/>
      <x:c r="AD1535" s="53"/>
      <x:c r="AE1535" s="53"/>
      <x:c r="AF1535" s="53"/>
    </x:row>
    <x:row r="1536">
      <x:c r="A1536" s="53"/>
      <x:c r="B1536" s="53"/>
      <x:c r="C1536" s="53"/>
      <x:c r="D1536" s="53"/>
      <x:c r="E1536" s="53"/>
      <x:c r="F1536" s="53"/>
      <x:c r="G1536" s="53"/>
      <x:c r="H1536" s="53"/>
      <x:c r="I1536" s="53"/>
      <x:c r="J1536" s="53"/>
      <x:c r="K1536" s="53"/>
      <x:c r="L1536" s="53"/>
      <x:c r="M1536" s="53"/>
      <x:c r="N1536" s="53"/>
      <x:c r="O1536" s="53"/>
      <x:c r="P1536" s="53"/>
      <x:c r="Q1536" s="53"/>
      <x:c r="R1536" s="53"/>
      <x:c r="S1536" s="53"/>
      <x:c r="T1536" s="53"/>
      <x:c r="U1536" s="53"/>
      <x:c r="V1536" s="53"/>
      <x:c r="W1536" s="53"/>
      <x:c r="X1536" s="53"/>
      <x:c r="Y1536" s="53"/>
      <x:c r="Z1536" s="53"/>
      <x:c r="AA1536" s="53"/>
      <x:c r="AB1536" s="53"/>
      <x:c r="AC1536" s="53"/>
      <x:c r="AD1536" s="53"/>
      <x:c r="AE1536" s="53"/>
      <x:c r="AF1536" s="53"/>
    </x:row>
    <x:row r="1537">
      <x:c r="A1537" s="53"/>
      <x:c r="B1537" s="53"/>
      <x:c r="C1537" s="53"/>
      <x:c r="D1537" s="53"/>
      <x:c r="E1537" s="53"/>
      <x:c r="F1537" s="53"/>
      <x:c r="G1537" s="53"/>
      <x:c r="H1537" s="53"/>
      <x:c r="I1537" s="53"/>
      <x:c r="J1537" s="53"/>
      <x:c r="K1537" s="53"/>
      <x:c r="L1537" s="53"/>
      <x:c r="M1537" s="53"/>
      <x:c r="N1537" s="53"/>
      <x:c r="O1537" s="53"/>
      <x:c r="P1537" s="53"/>
      <x:c r="Q1537" s="53"/>
      <x:c r="R1537" s="53"/>
      <x:c r="S1537" s="53"/>
      <x:c r="T1537" s="53"/>
      <x:c r="U1537" s="53"/>
      <x:c r="V1537" s="53"/>
      <x:c r="W1537" s="53"/>
      <x:c r="X1537" s="53"/>
      <x:c r="Y1537" s="53"/>
      <x:c r="Z1537" s="53"/>
      <x:c r="AA1537" s="53"/>
      <x:c r="AB1537" s="53"/>
      <x:c r="AC1537" s="53"/>
      <x:c r="AD1537" s="53"/>
      <x:c r="AE1537" s="53"/>
      <x:c r="AF1537" s="53"/>
    </x:row>
    <x:row r="1538">
      <x:c r="A1538" s="53"/>
      <x:c r="B1538" s="53"/>
      <x:c r="C1538" s="53"/>
      <x:c r="D1538" s="53"/>
      <x:c r="E1538" s="53"/>
      <x:c r="F1538" s="53"/>
      <x:c r="G1538" s="53"/>
      <x:c r="H1538" s="53"/>
      <x:c r="I1538" s="53"/>
      <x:c r="J1538" s="53"/>
      <x:c r="K1538" s="53"/>
      <x:c r="L1538" s="53"/>
      <x:c r="M1538" s="53"/>
      <x:c r="N1538" s="53"/>
      <x:c r="O1538" s="53"/>
      <x:c r="P1538" s="53"/>
      <x:c r="Q1538" s="53"/>
      <x:c r="R1538" s="53"/>
      <x:c r="S1538" s="53"/>
      <x:c r="T1538" s="53"/>
      <x:c r="U1538" s="53"/>
      <x:c r="V1538" s="53"/>
      <x:c r="W1538" s="53"/>
      <x:c r="X1538" s="53"/>
      <x:c r="Y1538" s="53"/>
      <x:c r="Z1538" s="53"/>
      <x:c r="AA1538" s="53"/>
      <x:c r="AB1538" s="53"/>
      <x:c r="AC1538" s="53"/>
      <x:c r="AD1538" s="53"/>
      <x:c r="AE1538" s="53"/>
      <x:c r="AF1538" s="53"/>
    </x:row>
    <x:row r="1539">
      <x:c r="A1539" s="53"/>
      <x:c r="B1539" s="53"/>
      <x:c r="C1539" s="53"/>
      <x:c r="D1539" s="53"/>
      <x:c r="E1539" s="53"/>
      <x:c r="F1539" s="53"/>
      <x:c r="G1539" s="53"/>
      <x:c r="H1539" s="53"/>
      <x:c r="I1539" s="53"/>
      <x:c r="J1539" s="53"/>
      <x:c r="K1539" s="53"/>
      <x:c r="L1539" s="53"/>
      <x:c r="M1539" s="53"/>
      <x:c r="N1539" s="53"/>
      <x:c r="O1539" s="53"/>
      <x:c r="P1539" s="53"/>
      <x:c r="Q1539" s="53"/>
      <x:c r="R1539" s="53"/>
      <x:c r="S1539" s="53"/>
      <x:c r="T1539" s="53"/>
      <x:c r="U1539" s="53"/>
      <x:c r="V1539" s="53"/>
      <x:c r="W1539" s="53"/>
      <x:c r="X1539" s="53"/>
      <x:c r="Y1539" s="53"/>
      <x:c r="Z1539" s="53"/>
      <x:c r="AA1539" s="53"/>
      <x:c r="AB1539" s="53"/>
      <x:c r="AC1539" s="53"/>
      <x:c r="AD1539" s="53"/>
      <x:c r="AE1539" s="53"/>
      <x:c r="AF1539" s="53"/>
    </x:row>
    <x:row r="1540">
      <x:c r="A1540" s="53"/>
      <x:c r="B1540" s="53"/>
      <x:c r="C1540" s="53"/>
      <x:c r="D1540" s="53"/>
      <x:c r="E1540" s="53"/>
      <x:c r="F1540" s="53"/>
      <x:c r="G1540" s="53"/>
      <x:c r="H1540" s="53"/>
      <x:c r="I1540" s="53"/>
      <x:c r="J1540" s="53"/>
      <x:c r="K1540" s="53"/>
      <x:c r="L1540" s="53"/>
      <x:c r="M1540" s="53"/>
      <x:c r="N1540" s="53"/>
      <x:c r="O1540" s="53"/>
      <x:c r="P1540" s="53"/>
      <x:c r="Q1540" s="53"/>
      <x:c r="R1540" s="53"/>
      <x:c r="S1540" s="53"/>
      <x:c r="T1540" s="53"/>
      <x:c r="U1540" s="53"/>
      <x:c r="V1540" s="53"/>
      <x:c r="W1540" s="53"/>
      <x:c r="X1540" s="53"/>
      <x:c r="Y1540" s="53"/>
      <x:c r="Z1540" s="53"/>
      <x:c r="AA1540" s="53"/>
      <x:c r="AB1540" s="53"/>
      <x:c r="AC1540" s="53"/>
      <x:c r="AD1540" s="53"/>
      <x:c r="AE1540" s="53"/>
      <x:c r="AF1540" s="53"/>
    </x:row>
    <x:row r="1541">
      <x:c r="A1541" s="53"/>
      <x:c r="B1541" s="53"/>
      <x:c r="C1541" s="53"/>
      <x:c r="D1541" s="53"/>
      <x:c r="E1541" s="53"/>
      <x:c r="F1541" s="53"/>
      <x:c r="G1541" s="53"/>
      <x:c r="H1541" s="53"/>
      <x:c r="I1541" s="53"/>
      <x:c r="J1541" s="53"/>
      <x:c r="K1541" s="53"/>
      <x:c r="L1541" s="53"/>
      <x:c r="M1541" s="53"/>
      <x:c r="N1541" s="53"/>
      <x:c r="O1541" s="53"/>
      <x:c r="P1541" s="53"/>
      <x:c r="Q1541" s="53"/>
      <x:c r="R1541" s="53"/>
      <x:c r="S1541" s="53"/>
      <x:c r="T1541" s="53"/>
      <x:c r="U1541" s="53"/>
      <x:c r="V1541" s="53"/>
      <x:c r="W1541" s="53"/>
      <x:c r="X1541" s="53"/>
      <x:c r="Y1541" s="53"/>
      <x:c r="Z1541" s="53"/>
      <x:c r="AA1541" s="53"/>
      <x:c r="AB1541" s="53"/>
      <x:c r="AC1541" s="53"/>
      <x:c r="AD1541" s="53"/>
      <x:c r="AE1541" s="53"/>
      <x:c r="AF1541" s="53"/>
    </x:row>
    <x:row r="1542">
      <x:c r="A1542" s="53"/>
      <x:c r="B1542" s="53"/>
      <x:c r="C1542" s="53"/>
      <x:c r="D1542" s="53"/>
      <x:c r="E1542" s="53"/>
      <x:c r="F1542" s="53"/>
      <x:c r="G1542" s="53"/>
      <x:c r="H1542" s="53"/>
      <x:c r="I1542" s="53"/>
      <x:c r="J1542" s="53"/>
      <x:c r="K1542" s="53"/>
      <x:c r="L1542" s="53"/>
      <x:c r="M1542" s="53"/>
      <x:c r="N1542" s="53"/>
      <x:c r="O1542" s="53"/>
      <x:c r="P1542" s="53"/>
      <x:c r="Q1542" s="53"/>
      <x:c r="R1542" s="53"/>
      <x:c r="S1542" s="53"/>
      <x:c r="T1542" s="53"/>
      <x:c r="U1542" s="53"/>
      <x:c r="V1542" s="53"/>
      <x:c r="W1542" s="53"/>
      <x:c r="X1542" s="53"/>
      <x:c r="Y1542" s="53"/>
      <x:c r="Z1542" s="53"/>
      <x:c r="AA1542" s="53"/>
      <x:c r="AB1542" s="53"/>
      <x:c r="AC1542" s="53"/>
      <x:c r="AD1542" s="53"/>
      <x:c r="AE1542" s="53"/>
      <x:c r="AF1542" s="53"/>
    </x:row>
    <x:row r="1543">
      <x:c r="A1543" s="53"/>
      <x:c r="B1543" s="53"/>
      <x:c r="C1543" s="53"/>
      <x:c r="D1543" s="53"/>
      <x:c r="E1543" s="53"/>
      <x:c r="F1543" s="53"/>
      <x:c r="G1543" s="53"/>
      <x:c r="H1543" s="53"/>
      <x:c r="I1543" s="53"/>
      <x:c r="J1543" s="53"/>
      <x:c r="K1543" s="53"/>
      <x:c r="L1543" s="53"/>
      <x:c r="M1543" s="53"/>
      <x:c r="N1543" s="53"/>
      <x:c r="O1543" s="53"/>
      <x:c r="P1543" s="53"/>
      <x:c r="Q1543" s="53"/>
      <x:c r="R1543" s="53"/>
      <x:c r="S1543" s="53"/>
      <x:c r="T1543" s="53"/>
      <x:c r="U1543" s="53"/>
      <x:c r="V1543" s="53"/>
      <x:c r="W1543" s="53"/>
      <x:c r="X1543" s="53"/>
      <x:c r="Y1543" s="53"/>
      <x:c r="Z1543" s="53"/>
      <x:c r="AA1543" s="53"/>
      <x:c r="AB1543" s="53"/>
      <x:c r="AC1543" s="53"/>
      <x:c r="AD1543" s="53"/>
      <x:c r="AE1543" s="53"/>
      <x:c r="AF1543" s="53"/>
    </x:row>
    <x:row r="1544">
      <x:c r="A1544" s="53"/>
      <x:c r="B1544" s="53"/>
      <x:c r="C1544" s="53"/>
      <x:c r="D1544" s="53"/>
      <x:c r="E1544" s="53"/>
      <x:c r="F1544" s="53"/>
      <x:c r="G1544" s="53"/>
      <x:c r="H1544" s="53"/>
      <x:c r="I1544" s="53"/>
      <x:c r="J1544" s="53"/>
      <x:c r="K1544" s="53"/>
      <x:c r="L1544" s="53"/>
      <x:c r="M1544" s="53"/>
      <x:c r="N1544" s="53"/>
      <x:c r="O1544" s="53"/>
      <x:c r="P1544" s="53"/>
      <x:c r="Q1544" s="53"/>
      <x:c r="R1544" s="53"/>
      <x:c r="S1544" s="53"/>
      <x:c r="T1544" s="53"/>
      <x:c r="U1544" s="53"/>
      <x:c r="V1544" s="53"/>
      <x:c r="W1544" s="53"/>
      <x:c r="X1544" s="53"/>
      <x:c r="Y1544" s="53"/>
      <x:c r="Z1544" s="53"/>
      <x:c r="AA1544" s="53"/>
      <x:c r="AB1544" s="53"/>
      <x:c r="AC1544" s="53"/>
      <x:c r="AD1544" s="53"/>
      <x:c r="AE1544" s="53"/>
      <x:c r="AF1544" s="53"/>
    </x:row>
    <x:row r="1545">
      <x:c r="A1545" s="53"/>
      <x:c r="B1545" s="53"/>
      <x:c r="C1545" s="53"/>
      <x:c r="D1545" s="53"/>
      <x:c r="E1545" s="53"/>
      <x:c r="F1545" s="53"/>
      <x:c r="G1545" s="53"/>
      <x:c r="H1545" s="53"/>
      <x:c r="I1545" s="53"/>
      <x:c r="J1545" s="53"/>
      <x:c r="K1545" s="53"/>
      <x:c r="L1545" s="53"/>
      <x:c r="M1545" s="53"/>
      <x:c r="N1545" s="53"/>
      <x:c r="O1545" s="53"/>
      <x:c r="P1545" s="53"/>
      <x:c r="Q1545" s="53"/>
      <x:c r="R1545" s="53"/>
      <x:c r="S1545" s="53"/>
      <x:c r="T1545" s="53"/>
      <x:c r="U1545" s="53"/>
      <x:c r="V1545" s="53"/>
      <x:c r="W1545" s="53"/>
      <x:c r="X1545" s="53"/>
      <x:c r="Y1545" s="53"/>
      <x:c r="Z1545" s="53"/>
      <x:c r="AA1545" s="53"/>
      <x:c r="AB1545" s="53"/>
      <x:c r="AC1545" s="53"/>
      <x:c r="AD1545" s="53"/>
      <x:c r="AE1545" s="53"/>
      <x:c r="AF1545" s="53"/>
    </x:row>
    <x:row r="1546">
      <x:c r="A1546" s="53"/>
      <x:c r="B1546" s="53"/>
      <x:c r="C1546" s="53"/>
      <x:c r="D1546" s="53"/>
      <x:c r="E1546" s="53"/>
      <x:c r="F1546" s="53"/>
      <x:c r="G1546" s="53"/>
      <x:c r="H1546" s="53"/>
      <x:c r="I1546" s="53"/>
      <x:c r="J1546" s="53"/>
      <x:c r="K1546" s="53"/>
      <x:c r="L1546" s="53"/>
      <x:c r="M1546" s="53"/>
      <x:c r="N1546" s="53"/>
      <x:c r="O1546" s="53"/>
      <x:c r="P1546" s="53"/>
      <x:c r="Q1546" s="53"/>
      <x:c r="R1546" s="53"/>
      <x:c r="S1546" s="53"/>
      <x:c r="T1546" s="53"/>
      <x:c r="U1546" s="53"/>
      <x:c r="V1546" s="53"/>
      <x:c r="W1546" s="53"/>
      <x:c r="X1546" s="53"/>
      <x:c r="Y1546" s="53"/>
      <x:c r="Z1546" s="53"/>
      <x:c r="AA1546" s="53"/>
      <x:c r="AB1546" s="53"/>
      <x:c r="AC1546" s="53"/>
      <x:c r="AD1546" s="53"/>
      <x:c r="AE1546" s="53"/>
      <x:c r="AF1546" s="53"/>
    </x:row>
    <x:row r="1547">
      <x:c r="A1547" s="53"/>
      <x:c r="B1547" s="53"/>
      <x:c r="C1547" s="53"/>
      <x:c r="D1547" s="53"/>
      <x:c r="E1547" s="53"/>
      <x:c r="F1547" s="53"/>
      <x:c r="G1547" s="53"/>
      <x:c r="H1547" s="53"/>
      <x:c r="I1547" s="53"/>
      <x:c r="J1547" s="53"/>
      <x:c r="K1547" s="53"/>
      <x:c r="L1547" s="53"/>
      <x:c r="M1547" s="53"/>
      <x:c r="N1547" s="53"/>
      <x:c r="O1547" s="53"/>
      <x:c r="P1547" s="53"/>
      <x:c r="Q1547" s="53"/>
      <x:c r="R1547" s="53"/>
      <x:c r="S1547" s="53"/>
      <x:c r="T1547" s="53"/>
      <x:c r="U1547" s="53"/>
      <x:c r="V1547" s="53"/>
      <x:c r="W1547" s="53"/>
      <x:c r="X1547" s="53"/>
      <x:c r="Y1547" s="53"/>
      <x:c r="Z1547" s="53"/>
      <x:c r="AA1547" s="53"/>
      <x:c r="AB1547" s="53"/>
      <x:c r="AC1547" s="53"/>
      <x:c r="AD1547" s="53"/>
      <x:c r="AE1547" s="53"/>
      <x:c r="AF1547" s="53"/>
    </x:row>
    <x:row r="1548">
      <x:c r="A1548" s="53"/>
      <x:c r="B1548" s="53"/>
      <x:c r="C1548" s="53"/>
      <x:c r="D1548" s="53"/>
      <x:c r="E1548" s="53"/>
      <x:c r="F1548" s="53"/>
      <x:c r="G1548" s="53"/>
      <x:c r="H1548" s="53"/>
      <x:c r="I1548" s="53"/>
      <x:c r="J1548" s="53"/>
      <x:c r="K1548" s="53"/>
      <x:c r="L1548" s="53"/>
      <x:c r="M1548" s="53"/>
      <x:c r="N1548" s="53"/>
      <x:c r="O1548" s="53"/>
      <x:c r="P1548" s="53"/>
      <x:c r="Q1548" s="53"/>
      <x:c r="R1548" s="53"/>
      <x:c r="S1548" s="53"/>
      <x:c r="T1548" s="53"/>
      <x:c r="U1548" s="53"/>
      <x:c r="V1548" s="53"/>
      <x:c r="W1548" s="53"/>
      <x:c r="X1548" s="53"/>
      <x:c r="Y1548" s="53"/>
      <x:c r="Z1548" s="53"/>
      <x:c r="AA1548" s="53"/>
      <x:c r="AB1548" s="53"/>
      <x:c r="AC1548" s="53"/>
      <x:c r="AD1548" s="53"/>
      <x:c r="AE1548" s="53"/>
      <x:c r="AF1548" s="53"/>
    </x:row>
    <x:row r="1549">
      <x:c r="A1549" s="53"/>
      <x:c r="B1549" s="53"/>
      <x:c r="C1549" s="53"/>
      <x:c r="D1549" s="53"/>
      <x:c r="E1549" s="53"/>
      <x:c r="F1549" s="53"/>
      <x:c r="G1549" s="53"/>
      <x:c r="H1549" s="53"/>
      <x:c r="I1549" s="53"/>
      <x:c r="J1549" s="53"/>
      <x:c r="K1549" s="53"/>
      <x:c r="L1549" s="53"/>
      <x:c r="M1549" s="53"/>
      <x:c r="N1549" s="53"/>
      <x:c r="O1549" s="53"/>
      <x:c r="P1549" s="53"/>
      <x:c r="Q1549" s="53"/>
      <x:c r="R1549" s="53"/>
      <x:c r="S1549" s="53"/>
      <x:c r="T1549" s="53"/>
      <x:c r="U1549" s="53"/>
      <x:c r="V1549" s="53"/>
      <x:c r="W1549" s="53"/>
      <x:c r="X1549" s="53"/>
      <x:c r="Y1549" s="53"/>
      <x:c r="Z1549" s="53"/>
      <x:c r="AA1549" s="53"/>
      <x:c r="AB1549" s="53"/>
      <x:c r="AC1549" s="53"/>
      <x:c r="AD1549" s="53"/>
      <x:c r="AE1549" s="53"/>
      <x:c r="AF1549" s="53"/>
    </x:row>
    <x:row r="1550">
      <x:c r="A1550" s="53"/>
      <x:c r="B1550" s="53"/>
      <x:c r="C1550" s="53"/>
      <x:c r="D1550" s="53"/>
      <x:c r="E1550" s="53"/>
      <x:c r="F1550" s="53"/>
      <x:c r="G1550" s="53"/>
      <x:c r="H1550" s="53"/>
      <x:c r="I1550" s="53"/>
      <x:c r="J1550" s="53"/>
      <x:c r="K1550" s="53"/>
      <x:c r="L1550" s="53"/>
      <x:c r="M1550" s="53"/>
      <x:c r="N1550" s="53"/>
      <x:c r="O1550" s="53"/>
      <x:c r="P1550" s="53"/>
      <x:c r="Q1550" s="53"/>
      <x:c r="R1550" s="53"/>
      <x:c r="S1550" s="53"/>
      <x:c r="T1550" s="53"/>
      <x:c r="U1550" s="53"/>
      <x:c r="V1550" s="53"/>
      <x:c r="W1550" s="53"/>
      <x:c r="X1550" s="53"/>
      <x:c r="Y1550" s="53"/>
      <x:c r="Z1550" s="53"/>
      <x:c r="AA1550" s="53"/>
      <x:c r="AB1550" s="53"/>
      <x:c r="AC1550" s="53"/>
      <x:c r="AD1550" s="53"/>
      <x:c r="AE1550" s="53"/>
      <x:c r="AF1550" s="53"/>
    </x:row>
    <x:row r="1551">
      <x:c r="A1551" s="53"/>
      <x:c r="B1551" s="53"/>
      <x:c r="C1551" s="53"/>
      <x:c r="D1551" s="53"/>
      <x:c r="E1551" s="53"/>
      <x:c r="F1551" s="53"/>
      <x:c r="G1551" s="53"/>
      <x:c r="H1551" s="53"/>
      <x:c r="I1551" s="53"/>
      <x:c r="J1551" s="53"/>
      <x:c r="K1551" s="53"/>
      <x:c r="L1551" s="53"/>
      <x:c r="M1551" s="53"/>
      <x:c r="N1551" s="53"/>
      <x:c r="O1551" s="53"/>
      <x:c r="P1551" s="53"/>
      <x:c r="Q1551" s="53"/>
      <x:c r="R1551" s="53"/>
      <x:c r="S1551" s="53"/>
      <x:c r="T1551" s="53"/>
      <x:c r="U1551" s="53"/>
      <x:c r="V1551" s="53"/>
      <x:c r="W1551" s="53"/>
      <x:c r="X1551" s="53"/>
      <x:c r="Y1551" s="53"/>
      <x:c r="Z1551" s="53"/>
      <x:c r="AA1551" s="53"/>
      <x:c r="AB1551" s="53"/>
      <x:c r="AC1551" s="53"/>
      <x:c r="AD1551" s="53"/>
      <x:c r="AE1551" s="53"/>
      <x:c r="AF1551" s="53"/>
    </x:row>
    <x:row r="1552">
      <x:c r="A1552" s="53"/>
      <x:c r="B1552" s="53"/>
      <x:c r="C1552" s="53"/>
      <x:c r="D1552" s="53"/>
      <x:c r="E1552" s="53"/>
      <x:c r="F1552" s="53"/>
      <x:c r="G1552" s="53"/>
      <x:c r="H1552" s="53"/>
      <x:c r="I1552" s="53"/>
      <x:c r="J1552" s="53"/>
      <x:c r="K1552" s="53"/>
      <x:c r="L1552" s="53"/>
      <x:c r="M1552" s="53"/>
      <x:c r="N1552" s="53"/>
      <x:c r="O1552" s="53"/>
      <x:c r="P1552" s="53"/>
      <x:c r="Q1552" s="53"/>
      <x:c r="R1552" s="53"/>
      <x:c r="S1552" s="53"/>
      <x:c r="T1552" s="53"/>
      <x:c r="U1552" s="53"/>
      <x:c r="V1552" s="53"/>
      <x:c r="W1552" s="53"/>
      <x:c r="X1552" s="53"/>
      <x:c r="Y1552" s="53"/>
      <x:c r="Z1552" s="53"/>
      <x:c r="AA1552" s="53"/>
      <x:c r="AB1552" s="53"/>
      <x:c r="AC1552" s="53"/>
      <x:c r="AD1552" s="53"/>
      <x:c r="AE1552" s="53"/>
      <x:c r="AF1552" s="53"/>
    </x:row>
    <x:row r="1553">
      <x:c r="A1553" s="53"/>
      <x:c r="B1553" s="53"/>
      <x:c r="C1553" s="53"/>
      <x:c r="D1553" s="53"/>
      <x:c r="E1553" s="53"/>
      <x:c r="F1553" s="53"/>
      <x:c r="G1553" s="53"/>
      <x:c r="H1553" s="53"/>
      <x:c r="I1553" s="53"/>
      <x:c r="J1553" s="53"/>
      <x:c r="K1553" s="53"/>
      <x:c r="L1553" s="53"/>
      <x:c r="M1553" s="53"/>
      <x:c r="N1553" s="53"/>
      <x:c r="O1553" s="53"/>
      <x:c r="P1553" s="53"/>
      <x:c r="Q1553" s="53"/>
      <x:c r="R1553" s="53"/>
      <x:c r="S1553" s="53"/>
      <x:c r="T1553" s="53"/>
      <x:c r="U1553" s="53"/>
      <x:c r="V1553" s="53"/>
      <x:c r="W1553" s="53"/>
      <x:c r="X1553" s="53"/>
      <x:c r="Y1553" s="53"/>
      <x:c r="Z1553" s="53"/>
      <x:c r="AA1553" s="53"/>
      <x:c r="AB1553" s="53"/>
      <x:c r="AC1553" s="53"/>
      <x:c r="AD1553" s="53"/>
      <x:c r="AE1553" s="53"/>
      <x:c r="AF1553" s="53"/>
    </x:row>
    <x:row r="1554">
      <x:c r="A1554" s="53"/>
      <x:c r="B1554" s="53"/>
      <x:c r="C1554" s="53"/>
      <x:c r="D1554" s="53"/>
      <x:c r="E1554" s="53"/>
      <x:c r="F1554" s="53"/>
      <x:c r="G1554" s="53"/>
      <x:c r="H1554" s="53"/>
      <x:c r="I1554" s="53"/>
      <x:c r="J1554" s="53"/>
      <x:c r="K1554" s="53"/>
      <x:c r="L1554" s="53"/>
      <x:c r="M1554" s="53"/>
      <x:c r="N1554" s="53"/>
      <x:c r="O1554" s="53"/>
      <x:c r="P1554" s="53"/>
      <x:c r="Q1554" s="53"/>
      <x:c r="R1554" s="53"/>
      <x:c r="S1554" s="53"/>
      <x:c r="T1554" s="53"/>
      <x:c r="U1554" s="53"/>
      <x:c r="V1554" s="53"/>
      <x:c r="W1554" s="53"/>
      <x:c r="X1554" s="53"/>
      <x:c r="Y1554" s="53"/>
      <x:c r="Z1554" s="53"/>
      <x:c r="AA1554" s="53"/>
      <x:c r="AB1554" s="53"/>
      <x:c r="AC1554" s="53"/>
      <x:c r="AD1554" s="53"/>
      <x:c r="AE1554" s="53"/>
      <x:c r="AF1554" s="53"/>
    </x:row>
    <x:row r="1555">
      <x:c r="A1555" s="53"/>
      <x:c r="B1555" s="53"/>
      <x:c r="C1555" s="53"/>
      <x:c r="D1555" s="53"/>
      <x:c r="E1555" s="53"/>
      <x:c r="F1555" s="53"/>
      <x:c r="G1555" s="53"/>
      <x:c r="H1555" s="53"/>
      <x:c r="I1555" s="53"/>
      <x:c r="J1555" s="53"/>
      <x:c r="K1555" s="53"/>
      <x:c r="L1555" s="53"/>
      <x:c r="M1555" s="53"/>
      <x:c r="N1555" s="53"/>
      <x:c r="O1555" s="53"/>
      <x:c r="P1555" s="53"/>
      <x:c r="Q1555" s="53"/>
      <x:c r="R1555" s="53"/>
      <x:c r="S1555" s="53"/>
      <x:c r="T1555" s="53"/>
      <x:c r="U1555" s="53"/>
      <x:c r="V1555" s="53"/>
      <x:c r="W1555" s="53"/>
      <x:c r="X1555" s="53"/>
      <x:c r="Y1555" s="53"/>
      <x:c r="Z1555" s="53"/>
      <x:c r="AA1555" s="53"/>
      <x:c r="AB1555" s="53"/>
      <x:c r="AC1555" s="53"/>
      <x:c r="AD1555" s="53"/>
      <x:c r="AE1555" s="53"/>
      <x:c r="AF1555" s="53"/>
    </x:row>
    <x:row r="1556">
      <x:c r="A1556" s="53"/>
      <x:c r="B1556" s="53"/>
      <x:c r="C1556" s="53"/>
      <x:c r="D1556" s="53"/>
      <x:c r="E1556" s="53"/>
      <x:c r="F1556" s="53"/>
      <x:c r="G1556" s="53"/>
      <x:c r="H1556" s="53"/>
      <x:c r="I1556" s="53"/>
      <x:c r="J1556" s="53"/>
      <x:c r="K1556" s="53"/>
      <x:c r="L1556" s="53"/>
      <x:c r="M1556" s="53"/>
      <x:c r="N1556" s="53"/>
      <x:c r="O1556" s="53"/>
      <x:c r="P1556" s="53"/>
      <x:c r="Q1556" s="53"/>
      <x:c r="R1556" s="53"/>
      <x:c r="S1556" s="53"/>
      <x:c r="T1556" s="53"/>
      <x:c r="U1556" s="53"/>
      <x:c r="V1556" s="53"/>
      <x:c r="W1556" s="53"/>
      <x:c r="X1556" s="53"/>
      <x:c r="Y1556" s="53"/>
      <x:c r="Z1556" s="53"/>
      <x:c r="AA1556" s="53"/>
      <x:c r="AB1556" s="53"/>
      <x:c r="AC1556" s="53"/>
      <x:c r="AD1556" s="53"/>
      <x:c r="AE1556" s="53"/>
      <x:c r="AF1556" s="53"/>
    </x:row>
    <x:row r="1557">
      <x:c r="A1557" s="53"/>
      <x:c r="B1557" s="53"/>
      <x:c r="C1557" s="53"/>
      <x:c r="D1557" s="53"/>
      <x:c r="E1557" s="53"/>
      <x:c r="F1557" s="53"/>
      <x:c r="G1557" s="53"/>
      <x:c r="H1557" s="53"/>
      <x:c r="I1557" s="53"/>
      <x:c r="J1557" s="53"/>
      <x:c r="K1557" s="53"/>
      <x:c r="L1557" s="53"/>
      <x:c r="M1557" s="53"/>
      <x:c r="N1557" s="53"/>
      <x:c r="O1557" s="53"/>
      <x:c r="P1557" s="53"/>
      <x:c r="Q1557" s="53"/>
      <x:c r="R1557" s="53"/>
      <x:c r="S1557" s="53"/>
      <x:c r="T1557" s="53"/>
      <x:c r="U1557" s="53"/>
      <x:c r="V1557" s="53"/>
      <x:c r="W1557" s="53"/>
      <x:c r="X1557" s="53"/>
      <x:c r="Y1557" s="53"/>
      <x:c r="Z1557" s="53"/>
      <x:c r="AA1557" s="53"/>
      <x:c r="AB1557" s="53"/>
      <x:c r="AC1557" s="53"/>
      <x:c r="AD1557" s="53"/>
      <x:c r="AE1557" s="53"/>
      <x:c r="AF1557" s="53"/>
    </x:row>
    <x:row r="1558">
      <x:c r="A1558" s="53"/>
      <x:c r="B1558" s="53"/>
      <x:c r="C1558" s="53"/>
      <x:c r="D1558" s="53"/>
      <x:c r="E1558" s="53"/>
      <x:c r="F1558" s="53"/>
      <x:c r="G1558" s="53"/>
      <x:c r="H1558" s="53"/>
      <x:c r="I1558" s="53"/>
      <x:c r="J1558" s="53"/>
      <x:c r="K1558" s="53"/>
      <x:c r="L1558" s="53"/>
      <x:c r="M1558" s="53"/>
      <x:c r="N1558" s="53"/>
      <x:c r="O1558" s="53"/>
      <x:c r="P1558" s="53"/>
      <x:c r="Q1558" s="53"/>
      <x:c r="R1558" s="53"/>
      <x:c r="S1558" s="53"/>
      <x:c r="T1558" s="53"/>
      <x:c r="U1558" s="53"/>
      <x:c r="V1558" s="53"/>
      <x:c r="W1558" s="53"/>
      <x:c r="X1558" s="53"/>
      <x:c r="Y1558" s="53"/>
      <x:c r="Z1558" s="53"/>
      <x:c r="AA1558" s="53"/>
      <x:c r="AB1558" s="53"/>
      <x:c r="AC1558" s="53"/>
      <x:c r="AD1558" s="53"/>
      <x:c r="AE1558" s="53"/>
      <x:c r="AF1558" s="53"/>
    </x:row>
    <x:row r="1559">
      <x:c r="A1559" s="53"/>
      <x:c r="B1559" s="53"/>
      <x:c r="C1559" s="53"/>
      <x:c r="D1559" s="53"/>
      <x:c r="E1559" s="53"/>
      <x:c r="F1559" s="53"/>
      <x:c r="G1559" s="53"/>
      <x:c r="H1559" s="53"/>
      <x:c r="I1559" s="53"/>
      <x:c r="J1559" s="53"/>
      <x:c r="K1559" s="53"/>
      <x:c r="L1559" s="53"/>
      <x:c r="M1559" s="53"/>
      <x:c r="N1559" s="53"/>
      <x:c r="O1559" s="53"/>
      <x:c r="P1559" s="53"/>
      <x:c r="Q1559" s="53"/>
      <x:c r="R1559" s="53"/>
      <x:c r="S1559" s="53"/>
      <x:c r="T1559" s="53"/>
      <x:c r="U1559" s="53"/>
      <x:c r="V1559" s="53"/>
      <x:c r="W1559" s="53"/>
      <x:c r="X1559" s="53"/>
      <x:c r="Y1559" s="53"/>
      <x:c r="Z1559" s="53"/>
      <x:c r="AA1559" s="53"/>
      <x:c r="AB1559" s="53"/>
      <x:c r="AC1559" s="53"/>
      <x:c r="AD1559" s="53"/>
      <x:c r="AE1559" s="53"/>
      <x:c r="AF1559" s="53"/>
    </x:row>
    <x:row r="1560">
      <x:c r="A1560" s="53"/>
      <x:c r="B1560" s="53"/>
      <x:c r="C1560" s="53"/>
      <x:c r="D1560" s="53"/>
      <x:c r="E1560" s="53"/>
      <x:c r="F1560" s="53"/>
      <x:c r="G1560" s="53"/>
      <x:c r="H1560" s="53"/>
      <x:c r="I1560" s="53"/>
      <x:c r="J1560" s="53"/>
      <x:c r="K1560" s="53"/>
      <x:c r="L1560" s="53"/>
      <x:c r="M1560" s="53"/>
      <x:c r="N1560" s="53"/>
      <x:c r="O1560" s="53"/>
      <x:c r="P1560" s="53"/>
      <x:c r="Q1560" s="53"/>
      <x:c r="R1560" s="53"/>
      <x:c r="S1560" s="53"/>
      <x:c r="T1560" s="53"/>
      <x:c r="U1560" s="53"/>
      <x:c r="V1560" s="53"/>
      <x:c r="W1560" s="53"/>
      <x:c r="X1560" s="53"/>
      <x:c r="Y1560" s="53"/>
      <x:c r="Z1560" s="53"/>
      <x:c r="AA1560" s="53"/>
      <x:c r="AB1560" s="53"/>
      <x:c r="AC1560" s="53"/>
      <x:c r="AD1560" s="53"/>
      <x:c r="AE1560" s="53"/>
      <x:c r="AF1560" s="53"/>
    </x:row>
    <x:row r="1561">
      <x:c r="A1561" s="53"/>
      <x:c r="B1561" s="53"/>
      <x:c r="C1561" s="53"/>
      <x:c r="D1561" s="53"/>
      <x:c r="E1561" s="53"/>
      <x:c r="F1561" s="53"/>
      <x:c r="G1561" s="53"/>
      <x:c r="H1561" s="53"/>
      <x:c r="I1561" s="53"/>
      <x:c r="J1561" s="53"/>
      <x:c r="K1561" s="53"/>
      <x:c r="L1561" s="53"/>
      <x:c r="M1561" s="53"/>
      <x:c r="N1561" s="53"/>
      <x:c r="O1561" s="53"/>
      <x:c r="P1561" s="53"/>
      <x:c r="Q1561" s="53"/>
      <x:c r="R1561" s="53"/>
      <x:c r="S1561" s="53"/>
      <x:c r="T1561" s="53"/>
      <x:c r="U1561" s="53"/>
      <x:c r="V1561" s="53"/>
      <x:c r="W1561" s="53"/>
      <x:c r="X1561" s="53"/>
      <x:c r="Y1561" s="53"/>
      <x:c r="Z1561" s="53"/>
      <x:c r="AA1561" s="53"/>
      <x:c r="AB1561" s="53"/>
      <x:c r="AC1561" s="53"/>
      <x:c r="AD1561" s="53"/>
      <x:c r="AE1561" s="53"/>
      <x:c r="AF1561" s="53"/>
    </x:row>
    <x:row r="1562">
      <x:c r="A1562" s="53"/>
      <x:c r="B1562" s="53"/>
      <x:c r="C1562" s="53"/>
      <x:c r="D1562" s="53"/>
      <x:c r="E1562" s="53"/>
      <x:c r="F1562" s="53"/>
      <x:c r="G1562" s="53"/>
      <x:c r="H1562" s="53"/>
      <x:c r="I1562" s="53"/>
      <x:c r="J1562" s="53"/>
      <x:c r="K1562" s="53"/>
      <x:c r="L1562" s="53"/>
      <x:c r="M1562" s="53"/>
      <x:c r="N1562" s="53"/>
      <x:c r="O1562" s="53"/>
      <x:c r="P1562" s="53"/>
      <x:c r="Q1562" s="53"/>
      <x:c r="R1562" s="53"/>
      <x:c r="S1562" s="53"/>
      <x:c r="T1562" s="53"/>
      <x:c r="U1562" s="53"/>
      <x:c r="V1562" s="53"/>
      <x:c r="W1562" s="53"/>
      <x:c r="X1562" s="53"/>
      <x:c r="Y1562" s="53"/>
      <x:c r="Z1562" s="53"/>
      <x:c r="AA1562" s="53"/>
      <x:c r="AB1562" s="53"/>
      <x:c r="AC1562" s="53"/>
      <x:c r="AD1562" s="53"/>
      <x:c r="AE1562" s="53"/>
      <x:c r="AF1562" s="53"/>
    </x:row>
    <x:row r="1563">
      <x:c r="A1563" s="53"/>
      <x:c r="B1563" s="53"/>
      <x:c r="C1563" s="53"/>
      <x:c r="D1563" s="53"/>
      <x:c r="E1563" s="53"/>
      <x:c r="F1563" s="53"/>
      <x:c r="G1563" s="53"/>
      <x:c r="H1563" s="53"/>
      <x:c r="I1563" s="53"/>
      <x:c r="J1563" s="53"/>
      <x:c r="K1563" s="53"/>
      <x:c r="L1563" s="53"/>
      <x:c r="M1563" s="53"/>
      <x:c r="N1563" s="53"/>
      <x:c r="O1563" s="53"/>
      <x:c r="P1563" s="53"/>
      <x:c r="Q1563" s="53"/>
      <x:c r="R1563" s="53"/>
      <x:c r="S1563" s="53"/>
      <x:c r="T1563" s="53"/>
      <x:c r="U1563" s="53"/>
      <x:c r="V1563" s="53"/>
      <x:c r="W1563" s="53"/>
      <x:c r="X1563" s="53"/>
      <x:c r="Y1563" s="53"/>
      <x:c r="Z1563" s="53"/>
      <x:c r="AA1563" s="53"/>
      <x:c r="AB1563" s="53"/>
      <x:c r="AC1563" s="53"/>
      <x:c r="AD1563" s="53"/>
      <x:c r="AE1563" s="53"/>
      <x:c r="AF1563" s="53"/>
    </x:row>
    <x:row r="1564">
      <x:c r="A1564" s="53"/>
      <x:c r="B1564" s="53"/>
      <x:c r="C1564" s="53"/>
      <x:c r="D1564" s="53"/>
      <x:c r="E1564" s="53"/>
      <x:c r="F1564" s="53"/>
      <x:c r="G1564" s="53"/>
      <x:c r="H1564" s="53"/>
      <x:c r="I1564" s="53"/>
      <x:c r="J1564" s="53"/>
      <x:c r="K1564" s="53"/>
      <x:c r="L1564" s="53"/>
      <x:c r="M1564" s="53"/>
      <x:c r="N1564" s="53"/>
      <x:c r="O1564" s="53"/>
      <x:c r="P1564" s="53"/>
      <x:c r="Q1564" s="53"/>
      <x:c r="R1564" s="53"/>
      <x:c r="S1564" s="53"/>
      <x:c r="T1564" s="53"/>
      <x:c r="U1564" s="53"/>
      <x:c r="V1564" s="53"/>
      <x:c r="W1564" s="53"/>
      <x:c r="X1564" s="53"/>
      <x:c r="Y1564" s="53"/>
      <x:c r="Z1564" s="53"/>
      <x:c r="AA1564" s="53"/>
      <x:c r="AB1564" s="53"/>
      <x:c r="AC1564" s="53"/>
      <x:c r="AD1564" s="53"/>
      <x:c r="AE1564" s="53"/>
      <x:c r="AF1564" s="53"/>
    </x:row>
    <x:row r="1565">
      <x:c r="A1565" s="53"/>
      <x:c r="B1565" s="53"/>
      <x:c r="C1565" s="53"/>
      <x:c r="D1565" s="53"/>
      <x:c r="E1565" s="53"/>
      <x:c r="F1565" s="53"/>
      <x:c r="G1565" s="53"/>
      <x:c r="H1565" s="53"/>
      <x:c r="I1565" s="53"/>
      <x:c r="J1565" s="53"/>
      <x:c r="K1565" s="53"/>
      <x:c r="L1565" s="53"/>
      <x:c r="M1565" s="53"/>
      <x:c r="N1565" s="53"/>
      <x:c r="O1565" s="53"/>
      <x:c r="P1565" s="53"/>
      <x:c r="Q1565" s="53"/>
      <x:c r="R1565" s="53"/>
      <x:c r="S1565" s="53"/>
      <x:c r="T1565" s="53"/>
      <x:c r="U1565" s="53"/>
      <x:c r="V1565" s="53"/>
      <x:c r="W1565" s="53"/>
      <x:c r="X1565" s="53"/>
      <x:c r="Y1565" s="53"/>
      <x:c r="Z1565" s="53"/>
      <x:c r="AA1565" s="53"/>
      <x:c r="AB1565" s="53"/>
      <x:c r="AC1565" s="53"/>
      <x:c r="AD1565" s="53"/>
      <x:c r="AE1565" s="53"/>
      <x:c r="AF1565" s="53"/>
    </x:row>
    <x:row r="1566">
      <x:c r="A1566" s="53"/>
      <x:c r="B1566" s="53"/>
      <x:c r="C1566" s="53"/>
      <x:c r="D1566" s="53"/>
      <x:c r="E1566" s="53"/>
      <x:c r="F1566" s="53"/>
      <x:c r="G1566" s="53"/>
      <x:c r="H1566" s="53"/>
      <x:c r="I1566" s="53"/>
      <x:c r="J1566" s="53"/>
      <x:c r="K1566" s="53"/>
      <x:c r="L1566" s="53"/>
      <x:c r="M1566" s="53"/>
      <x:c r="N1566" s="53"/>
      <x:c r="O1566" s="53"/>
      <x:c r="P1566" s="53"/>
      <x:c r="Q1566" s="53"/>
      <x:c r="R1566" s="53"/>
      <x:c r="S1566" s="53"/>
      <x:c r="T1566" s="53"/>
      <x:c r="U1566" s="53"/>
      <x:c r="V1566" s="53"/>
      <x:c r="W1566" s="53"/>
      <x:c r="X1566" s="53"/>
      <x:c r="Y1566" s="53"/>
      <x:c r="Z1566" s="53"/>
      <x:c r="AA1566" s="53"/>
      <x:c r="AB1566" s="53"/>
      <x:c r="AC1566" s="53"/>
      <x:c r="AD1566" s="53"/>
      <x:c r="AE1566" s="53"/>
      <x:c r="AF1566" s="53"/>
    </x:row>
    <x:row r="1567">
      <x:c r="A1567" s="53"/>
      <x:c r="B1567" s="53"/>
      <x:c r="C1567" s="53"/>
      <x:c r="D1567" s="53"/>
      <x:c r="E1567" s="53"/>
      <x:c r="F1567" s="53"/>
      <x:c r="G1567" s="53"/>
      <x:c r="H1567" s="53"/>
      <x:c r="I1567" s="53"/>
      <x:c r="J1567" s="53"/>
      <x:c r="K1567" s="53"/>
      <x:c r="L1567" s="53"/>
      <x:c r="M1567" s="53"/>
      <x:c r="N1567" s="53"/>
      <x:c r="O1567" s="53"/>
      <x:c r="P1567" s="53"/>
      <x:c r="Q1567" s="53"/>
      <x:c r="R1567" s="53"/>
      <x:c r="S1567" s="53"/>
      <x:c r="T1567" s="53"/>
      <x:c r="U1567" s="53"/>
      <x:c r="V1567" s="53"/>
      <x:c r="W1567" s="53"/>
      <x:c r="X1567" s="53"/>
      <x:c r="Y1567" s="53"/>
      <x:c r="Z1567" s="53"/>
      <x:c r="AA1567" s="53"/>
      <x:c r="AB1567" s="53"/>
      <x:c r="AC1567" s="53"/>
      <x:c r="AD1567" s="53"/>
      <x:c r="AE1567" s="53"/>
      <x:c r="AF1567" s="53"/>
    </x:row>
    <x:row r="1568">
      <x:c r="A1568" s="53"/>
      <x:c r="B1568" s="53"/>
      <x:c r="C1568" s="53"/>
      <x:c r="D1568" s="53"/>
      <x:c r="E1568" s="53"/>
      <x:c r="F1568" s="53"/>
      <x:c r="G1568" s="53"/>
      <x:c r="H1568" s="53"/>
      <x:c r="I1568" s="53"/>
      <x:c r="J1568" s="53"/>
      <x:c r="K1568" s="53"/>
      <x:c r="L1568" s="53"/>
      <x:c r="M1568" s="53"/>
      <x:c r="N1568" s="53"/>
      <x:c r="O1568" s="53"/>
      <x:c r="P1568" s="53"/>
      <x:c r="Q1568" s="53"/>
      <x:c r="R1568" s="53"/>
      <x:c r="S1568" s="53"/>
      <x:c r="T1568" s="53"/>
      <x:c r="U1568" s="53"/>
      <x:c r="V1568" s="53"/>
      <x:c r="W1568" s="53"/>
      <x:c r="X1568" s="53"/>
      <x:c r="Y1568" s="53"/>
      <x:c r="Z1568" s="53"/>
      <x:c r="AA1568" s="53"/>
      <x:c r="AB1568" s="53"/>
      <x:c r="AC1568" s="53"/>
      <x:c r="AD1568" s="53"/>
      <x:c r="AE1568" s="53"/>
      <x:c r="AF1568" s="53"/>
    </x:row>
    <x:row r="1569">
      <x:c r="A1569" s="53"/>
      <x:c r="B1569" s="53"/>
      <x:c r="C1569" s="53"/>
      <x:c r="D1569" s="53"/>
      <x:c r="E1569" s="53"/>
      <x:c r="F1569" s="53"/>
      <x:c r="G1569" s="53"/>
      <x:c r="H1569" s="53"/>
      <x:c r="I1569" s="53"/>
      <x:c r="J1569" s="53"/>
      <x:c r="K1569" s="53"/>
      <x:c r="L1569" s="53"/>
      <x:c r="M1569" s="53"/>
      <x:c r="N1569" s="53"/>
      <x:c r="O1569" s="53"/>
      <x:c r="P1569" s="53"/>
      <x:c r="Q1569" s="53"/>
      <x:c r="R1569" s="53"/>
      <x:c r="S1569" s="53"/>
      <x:c r="T1569" s="53"/>
      <x:c r="U1569" s="53"/>
      <x:c r="V1569" s="53"/>
      <x:c r="W1569" s="53"/>
      <x:c r="X1569" s="53"/>
      <x:c r="Y1569" s="53"/>
      <x:c r="Z1569" s="53"/>
      <x:c r="AA1569" s="53"/>
      <x:c r="AB1569" s="53"/>
      <x:c r="AC1569" s="53"/>
      <x:c r="AD1569" s="53"/>
      <x:c r="AE1569" s="53"/>
      <x:c r="AF1569" s="53"/>
    </x:row>
    <x:row r="1570">
      <x:c r="A1570" s="53"/>
      <x:c r="B1570" s="53"/>
      <x:c r="C1570" s="53"/>
      <x:c r="D1570" s="53"/>
      <x:c r="E1570" s="53"/>
      <x:c r="F1570" s="53"/>
      <x:c r="G1570" s="53"/>
      <x:c r="H1570" s="53"/>
      <x:c r="I1570" s="53"/>
      <x:c r="J1570" s="53"/>
      <x:c r="K1570" s="53"/>
      <x:c r="L1570" s="53"/>
      <x:c r="M1570" s="53"/>
      <x:c r="N1570" s="53"/>
      <x:c r="O1570" s="53"/>
      <x:c r="P1570" s="53"/>
      <x:c r="Q1570" s="53"/>
      <x:c r="R1570" s="53"/>
      <x:c r="S1570" s="53"/>
      <x:c r="T1570" s="53"/>
      <x:c r="U1570" s="53"/>
      <x:c r="V1570" s="53"/>
      <x:c r="W1570" s="53"/>
      <x:c r="X1570" s="53"/>
      <x:c r="Y1570" s="53"/>
      <x:c r="Z1570" s="53"/>
      <x:c r="AA1570" s="53"/>
      <x:c r="AB1570" s="53"/>
      <x:c r="AC1570" s="53"/>
      <x:c r="AD1570" s="53"/>
      <x:c r="AE1570" s="53"/>
      <x:c r="AF1570" s="53"/>
    </x:row>
    <x:row r="1571">
      <x:c r="A1571" s="53"/>
      <x:c r="B1571" s="53"/>
      <x:c r="C1571" s="53"/>
      <x:c r="D1571" s="53"/>
      <x:c r="E1571" s="53"/>
      <x:c r="F1571" s="53"/>
      <x:c r="G1571" s="53"/>
      <x:c r="H1571" s="53"/>
      <x:c r="I1571" s="53"/>
      <x:c r="J1571" s="53"/>
      <x:c r="K1571" s="53"/>
      <x:c r="L1571" s="53"/>
      <x:c r="M1571" s="53"/>
      <x:c r="N1571" s="53"/>
      <x:c r="O1571" s="53"/>
      <x:c r="P1571" s="53"/>
      <x:c r="Q1571" s="53"/>
      <x:c r="R1571" s="53"/>
      <x:c r="S1571" s="53"/>
      <x:c r="T1571" s="53"/>
      <x:c r="U1571" s="53"/>
      <x:c r="V1571" s="53"/>
      <x:c r="W1571" s="53"/>
      <x:c r="X1571" s="53"/>
      <x:c r="Y1571" s="53"/>
      <x:c r="Z1571" s="53"/>
      <x:c r="AA1571" s="53"/>
      <x:c r="AB1571" s="53"/>
      <x:c r="AC1571" s="53"/>
      <x:c r="AD1571" s="53"/>
      <x:c r="AE1571" s="53"/>
      <x:c r="AF1571" s="53"/>
    </x:row>
    <x:row r="1572">
      <x:c r="A1572" s="53"/>
      <x:c r="B1572" s="53"/>
      <x:c r="C1572" s="53"/>
      <x:c r="D1572" s="53"/>
      <x:c r="E1572" s="53"/>
      <x:c r="F1572" s="53"/>
      <x:c r="G1572" s="53"/>
      <x:c r="H1572" s="53"/>
      <x:c r="I1572" s="53"/>
      <x:c r="J1572" s="53"/>
      <x:c r="K1572" s="53"/>
      <x:c r="L1572" s="53"/>
      <x:c r="M1572" s="53"/>
      <x:c r="N1572" s="53"/>
      <x:c r="O1572" s="53"/>
      <x:c r="P1572" s="53"/>
      <x:c r="Q1572" s="53"/>
      <x:c r="R1572" s="53"/>
      <x:c r="S1572" s="53"/>
      <x:c r="T1572" s="53"/>
      <x:c r="U1572" s="53"/>
      <x:c r="V1572" s="53"/>
      <x:c r="W1572" s="53"/>
      <x:c r="X1572" s="53"/>
      <x:c r="Y1572" s="53"/>
      <x:c r="Z1572" s="53"/>
      <x:c r="AA1572" s="53"/>
      <x:c r="AB1572" s="53"/>
      <x:c r="AC1572" s="53"/>
      <x:c r="AD1572" s="53"/>
      <x:c r="AE1572" s="53"/>
      <x:c r="AF1572" s="53"/>
    </x:row>
    <x:row r="1573">
      <x:c r="A1573" s="53"/>
      <x:c r="B1573" s="53"/>
      <x:c r="C1573" s="53"/>
      <x:c r="D1573" s="53"/>
      <x:c r="E1573" s="53"/>
      <x:c r="F1573" s="53"/>
      <x:c r="G1573" s="53"/>
      <x:c r="H1573" s="53"/>
      <x:c r="I1573" s="53"/>
      <x:c r="J1573" s="53"/>
      <x:c r="K1573" s="53"/>
      <x:c r="L1573" s="53"/>
      <x:c r="M1573" s="53"/>
      <x:c r="N1573" s="53"/>
      <x:c r="O1573" s="53"/>
      <x:c r="P1573" s="53"/>
      <x:c r="Q1573" s="53"/>
      <x:c r="R1573" s="53"/>
      <x:c r="S1573" s="53"/>
      <x:c r="T1573" s="53"/>
      <x:c r="U1573" s="53"/>
      <x:c r="V1573" s="53"/>
      <x:c r="W1573" s="53"/>
      <x:c r="X1573" s="53"/>
      <x:c r="Y1573" s="53"/>
      <x:c r="Z1573" s="53"/>
      <x:c r="AA1573" s="53"/>
      <x:c r="AB1573" s="53"/>
      <x:c r="AC1573" s="53"/>
      <x:c r="AD1573" s="53"/>
      <x:c r="AE1573" s="53"/>
      <x:c r="AF1573" s="53"/>
    </x:row>
    <x:row r="1574">
      <x:c r="A1574" s="53"/>
      <x:c r="B1574" s="53"/>
      <x:c r="C1574" s="53"/>
      <x:c r="D1574" s="53"/>
      <x:c r="E1574" s="53"/>
      <x:c r="F1574" s="53"/>
      <x:c r="G1574" s="53"/>
      <x:c r="H1574" s="53"/>
      <x:c r="I1574" s="53"/>
      <x:c r="J1574" s="53"/>
      <x:c r="K1574" s="53"/>
      <x:c r="L1574" s="53"/>
      <x:c r="M1574" s="53"/>
      <x:c r="N1574" s="53"/>
      <x:c r="O1574" s="53"/>
      <x:c r="P1574" s="53"/>
      <x:c r="Q1574" s="53"/>
      <x:c r="R1574" s="53"/>
      <x:c r="S1574" s="53"/>
      <x:c r="T1574" s="53"/>
      <x:c r="U1574" s="53"/>
      <x:c r="V1574" s="53"/>
      <x:c r="W1574" s="53"/>
      <x:c r="X1574" s="53"/>
      <x:c r="Y1574" s="53"/>
      <x:c r="Z1574" s="53"/>
      <x:c r="AA1574" s="53"/>
      <x:c r="AB1574" s="53"/>
      <x:c r="AC1574" s="53"/>
      <x:c r="AD1574" s="53"/>
      <x:c r="AE1574" s="53"/>
      <x:c r="AF1574" s="53"/>
    </x:row>
    <x:row r="1575">
      <x:c r="A1575" s="53"/>
      <x:c r="B1575" s="53"/>
      <x:c r="C1575" s="53"/>
      <x:c r="D1575" s="53"/>
      <x:c r="E1575" s="53"/>
      <x:c r="F1575" s="53"/>
      <x:c r="G1575" s="53"/>
      <x:c r="H1575" s="53"/>
      <x:c r="I1575" s="53"/>
      <x:c r="J1575" s="53"/>
      <x:c r="K1575" s="53"/>
      <x:c r="L1575" s="53"/>
      <x:c r="M1575" s="53"/>
      <x:c r="N1575" s="53"/>
      <x:c r="O1575" s="53"/>
      <x:c r="P1575" s="53"/>
      <x:c r="Q1575" s="53"/>
      <x:c r="R1575" s="53"/>
      <x:c r="S1575" s="53"/>
      <x:c r="T1575" s="53"/>
      <x:c r="U1575" s="53"/>
      <x:c r="V1575" s="53"/>
      <x:c r="W1575" s="53"/>
      <x:c r="X1575" s="53"/>
      <x:c r="Y1575" s="53"/>
      <x:c r="Z1575" s="53"/>
      <x:c r="AA1575" s="53"/>
      <x:c r="AB1575" s="53"/>
      <x:c r="AC1575" s="53"/>
      <x:c r="AD1575" s="53"/>
      <x:c r="AE1575" s="53"/>
      <x:c r="AF1575" s="53"/>
    </x:row>
    <x:row r="1576">
      <x:c r="A1576" s="53"/>
      <x:c r="B1576" s="53"/>
      <x:c r="C1576" s="53"/>
      <x:c r="D1576" s="53"/>
      <x:c r="E1576" s="53"/>
      <x:c r="F1576" s="53"/>
      <x:c r="G1576" s="53"/>
      <x:c r="H1576" s="53"/>
      <x:c r="I1576" s="53"/>
      <x:c r="J1576" s="53"/>
      <x:c r="K1576" s="53"/>
      <x:c r="L1576" s="53"/>
      <x:c r="M1576" s="53"/>
      <x:c r="N1576" s="53"/>
      <x:c r="O1576" s="53"/>
      <x:c r="P1576" s="53"/>
      <x:c r="Q1576" s="53"/>
      <x:c r="R1576" s="53"/>
      <x:c r="S1576" s="53"/>
      <x:c r="T1576" s="53"/>
      <x:c r="U1576" s="53"/>
      <x:c r="V1576" s="53"/>
      <x:c r="W1576" s="53"/>
      <x:c r="X1576" s="53"/>
      <x:c r="Y1576" s="53"/>
      <x:c r="Z1576" s="53"/>
      <x:c r="AA1576" s="53"/>
      <x:c r="AB1576" s="53"/>
      <x:c r="AC1576" s="53"/>
      <x:c r="AD1576" s="53"/>
      <x:c r="AE1576" s="53"/>
      <x:c r="AF1576" s="53"/>
    </x:row>
    <x:row r="1577">
      <x:c r="A1577" s="53"/>
      <x:c r="B1577" s="53"/>
      <x:c r="C1577" s="53"/>
      <x:c r="D1577" s="53"/>
      <x:c r="E1577" s="53"/>
      <x:c r="F1577" s="53"/>
      <x:c r="G1577" s="53"/>
      <x:c r="H1577" s="53"/>
      <x:c r="I1577" s="53"/>
      <x:c r="J1577" s="53"/>
      <x:c r="K1577" s="53"/>
      <x:c r="L1577" s="53"/>
      <x:c r="M1577" s="53"/>
      <x:c r="N1577" s="53"/>
      <x:c r="O1577" s="53"/>
      <x:c r="P1577" s="53"/>
      <x:c r="Q1577" s="53"/>
      <x:c r="R1577" s="53"/>
      <x:c r="S1577" s="53"/>
      <x:c r="T1577" s="53"/>
      <x:c r="U1577" s="53"/>
      <x:c r="V1577" s="53"/>
      <x:c r="W1577" s="53"/>
      <x:c r="X1577" s="53"/>
      <x:c r="Y1577" s="53"/>
      <x:c r="Z1577" s="53"/>
      <x:c r="AA1577" s="53"/>
      <x:c r="AB1577" s="53"/>
      <x:c r="AC1577" s="53"/>
      <x:c r="AD1577" s="53"/>
      <x:c r="AE1577" s="53"/>
      <x:c r="AF1577" s="53"/>
    </x:row>
    <x:row r="1578">
      <x:c r="A1578" s="53"/>
      <x:c r="B1578" s="53"/>
      <x:c r="C1578" s="53"/>
      <x:c r="D1578" s="53"/>
      <x:c r="E1578" s="53"/>
      <x:c r="F1578" s="53"/>
      <x:c r="G1578" s="53"/>
      <x:c r="H1578" s="53"/>
      <x:c r="I1578" s="53"/>
      <x:c r="J1578" s="53"/>
      <x:c r="K1578" s="53"/>
      <x:c r="L1578" s="53"/>
      <x:c r="M1578" s="53"/>
      <x:c r="N1578" s="53"/>
      <x:c r="O1578" s="53"/>
      <x:c r="P1578" s="53"/>
      <x:c r="Q1578" s="53"/>
      <x:c r="R1578" s="53"/>
      <x:c r="S1578" s="53"/>
      <x:c r="T1578" s="53"/>
      <x:c r="U1578" s="53"/>
      <x:c r="V1578" s="53"/>
      <x:c r="W1578" s="53"/>
      <x:c r="X1578" s="53"/>
      <x:c r="Y1578" s="53"/>
      <x:c r="Z1578" s="53"/>
      <x:c r="AA1578" s="53"/>
      <x:c r="AB1578" s="53"/>
      <x:c r="AC1578" s="53"/>
      <x:c r="AD1578" s="53"/>
      <x:c r="AE1578" s="53"/>
      <x:c r="AF1578" s="53"/>
    </x:row>
    <x:row r="1579">
      <x:c r="A1579" s="53"/>
      <x:c r="B1579" s="53"/>
      <x:c r="C1579" s="53"/>
      <x:c r="D1579" s="53"/>
      <x:c r="E1579" s="53"/>
      <x:c r="F1579" s="53"/>
      <x:c r="G1579" s="53"/>
      <x:c r="H1579" s="53"/>
      <x:c r="I1579" s="53"/>
      <x:c r="J1579" s="53"/>
      <x:c r="K1579" s="53"/>
      <x:c r="L1579" s="53"/>
      <x:c r="M1579" s="53"/>
      <x:c r="N1579" s="53"/>
      <x:c r="O1579" s="53"/>
      <x:c r="P1579" s="53"/>
      <x:c r="Q1579" s="53"/>
      <x:c r="R1579" s="53"/>
      <x:c r="S1579" s="53"/>
      <x:c r="T1579" s="53"/>
      <x:c r="U1579" s="53"/>
      <x:c r="V1579" s="53"/>
      <x:c r="W1579" s="53"/>
      <x:c r="X1579" s="53"/>
      <x:c r="Y1579" s="53"/>
      <x:c r="Z1579" s="53"/>
      <x:c r="AA1579" s="53"/>
      <x:c r="AB1579" s="53"/>
      <x:c r="AC1579" s="53"/>
      <x:c r="AD1579" s="53"/>
      <x:c r="AE1579" s="53"/>
      <x:c r="AF1579" s="53"/>
    </x:row>
    <x:row r="1580">
      <x:c r="A1580" s="53"/>
      <x:c r="B1580" s="53"/>
      <x:c r="C1580" s="53"/>
      <x:c r="D1580" s="53"/>
      <x:c r="E1580" s="53"/>
      <x:c r="F1580" s="53"/>
      <x:c r="G1580" s="53"/>
      <x:c r="H1580" s="53"/>
      <x:c r="I1580" s="53"/>
      <x:c r="J1580" s="53"/>
      <x:c r="K1580" s="53"/>
      <x:c r="L1580" s="53"/>
      <x:c r="M1580" s="53"/>
      <x:c r="N1580" s="53"/>
      <x:c r="O1580" s="53"/>
      <x:c r="P1580" s="53"/>
      <x:c r="Q1580" s="53"/>
      <x:c r="R1580" s="53"/>
      <x:c r="S1580" s="53"/>
      <x:c r="T1580" s="53"/>
      <x:c r="U1580" s="53"/>
      <x:c r="V1580" s="53"/>
      <x:c r="W1580" s="53"/>
      <x:c r="X1580" s="53"/>
      <x:c r="Y1580" s="53"/>
      <x:c r="Z1580" s="53"/>
      <x:c r="AA1580" s="53"/>
      <x:c r="AB1580" s="53"/>
      <x:c r="AC1580" s="53"/>
      <x:c r="AD1580" s="53"/>
      <x:c r="AE1580" s="53"/>
      <x:c r="AF1580" s="53"/>
    </x:row>
    <x:row r="1581">
      <x:c r="A1581" s="53"/>
      <x:c r="B1581" s="53"/>
      <x:c r="C1581" s="53"/>
      <x:c r="D1581" s="53"/>
      <x:c r="E1581" s="53"/>
      <x:c r="F1581" s="53"/>
      <x:c r="G1581" s="53"/>
      <x:c r="H1581" s="53"/>
      <x:c r="I1581" s="53"/>
      <x:c r="J1581" s="53"/>
      <x:c r="K1581" s="53"/>
      <x:c r="L1581" s="53"/>
      <x:c r="M1581" s="53"/>
      <x:c r="N1581" s="53"/>
      <x:c r="O1581" s="53"/>
      <x:c r="P1581" s="53"/>
      <x:c r="Q1581" s="53"/>
      <x:c r="R1581" s="53"/>
      <x:c r="S1581" s="53"/>
      <x:c r="T1581" s="53"/>
      <x:c r="U1581" s="53"/>
      <x:c r="V1581" s="53"/>
      <x:c r="W1581" s="53"/>
      <x:c r="X1581" s="53"/>
      <x:c r="Y1581" s="53"/>
      <x:c r="Z1581" s="53"/>
      <x:c r="AA1581" s="53"/>
      <x:c r="AB1581" s="53"/>
      <x:c r="AC1581" s="53"/>
      <x:c r="AD1581" s="53"/>
      <x:c r="AE1581" s="53"/>
      <x:c r="AF1581" s="53"/>
    </x:row>
    <x:row r="1582">
      <x:c r="A1582" s="53"/>
      <x:c r="B1582" s="53"/>
      <x:c r="C1582" s="53"/>
      <x:c r="D1582" s="53"/>
      <x:c r="E1582" s="53"/>
      <x:c r="F1582" s="53"/>
      <x:c r="G1582" s="53"/>
      <x:c r="H1582" s="53"/>
      <x:c r="I1582" s="53"/>
      <x:c r="J1582" s="53"/>
      <x:c r="K1582" s="53"/>
      <x:c r="L1582" s="53"/>
      <x:c r="M1582" s="53"/>
      <x:c r="N1582" s="53"/>
      <x:c r="O1582" s="53"/>
      <x:c r="P1582" s="53"/>
      <x:c r="Q1582" s="53"/>
      <x:c r="R1582" s="53"/>
      <x:c r="S1582" s="53"/>
      <x:c r="T1582" s="53"/>
      <x:c r="U1582" s="53"/>
      <x:c r="V1582" s="53"/>
      <x:c r="W1582" s="53"/>
      <x:c r="X1582" s="53"/>
      <x:c r="Y1582" s="53"/>
      <x:c r="Z1582" s="53"/>
      <x:c r="AA1582" s="53"/>
      <x:c r="AB1582" s="53"/>
      <x:c r="AC1582" s="53"/>
      <x:c r="AD1582" s="53"/>
      <x:c r="AE1582" s="53"/>
      <x:c r="AF1582" s="53"/>
    </x:row>
    <x:row r="1583">
      <x:c r="A1583" s="53"/>
      <x:c r="B1583" s="53"/>
      <x:c r="C1583" s="53"/>
      <x:c r="D1583" s="53"/>
      <x:c r="E1583" s="53"/>
      <x:c r="F1583" s="53"/>
      <x:c r="G1583" s="53"/>
      <x:c r="H1583" s="53"/>
      <x:c r="I1583" s="53"/>
      <x:c r="J1583" s="53"/>
      <x:c r="K1583" s="53"/>
      <x:c r="L1583" s="53"/>
      <x:c r="M1583" s="53"/>
      <x:c r="N1583" s="53"/>
      <x:c r="O1583" s="53"/>
      <x:c r="P1583" s="53"/>
      <x:c r="Q1583" s="53"/>
      <x:c r="R1583" s="53"/>
      <x:c r="S1583" s="53"/>
      <x:c r="T1583" s="53"/>
      <x:c r="U1583" s="53"/>
      <x:c r="V1583" s="53"/>
      <x:c r="W1583" s="53"/>
      <x:c r="X1583" s="53"/>
      <x:c r="Y1583" s="53"/>
      <x:c r="Z1583" s="53"/>
      <x:c r="AA1583" s="53"/>
      <x:c r="AB1583" s="53"/>
      <x:c r="AC1583" s="53"/>
      <x:c r="AD1583" s="53"/>
      <x:c r="AE1583" s="53"/>
      <x:c r="AF1583" s="53"/>
    </x:row>
    <x:row r="1584">
      <x:c r="A1584" s="53"/>
      <x:c r="B1584" s="53"/>
      <x:c r="C1584" s="53"/>
      <x:c r="D1584" s="53"/>
      <x:c r="E1584" s="53"/>
      <x:c r="F1584" s="53"/>
      <x:c r="G1584" s="53"/>
      <x:c r="H1584" s="53"/>
      <x:c r="I1584" s="53"/>
      <x:c r="J1584" s="53"/>
      <x:c r="K1584" s="53"/>
      <x:c r="L1584" s="53"/>
      <x:c r="M1584" s="53"/>
      <x:c r="N1584" s="53"/>
      <x:c r="O1584" s="53"/>
      <x:c r="P1584" s="53"/>
      <x:c r="Q1584" s="53"/>
      <x:c r="R1584" s="53"/>
      <x:c r="S1584" s="53"/>
      <x:c r="T1584" s="53"/>
      <x:c r="U1584" s="53"/>
      <x:c r="V1584" s="53"/>
      <x:c r="W1584" s="53"/>
      <x:c r="X1584" s="53"/>
      <x:c r="Y1584" s="53"/>
      <x:c r="Z1584" s="53"/>
      <x:c r="AA1584" s="53"/>
      <x:c r="AB1584" s="53"/>
      <x:c r="AC1584" s="53"/>
      <x:c r="AD1584" s="53"/>
      <x:c r="AE1584" s="53"/>
      <x:c r="AF1584" s="53"/>
    </x:row>
    <x:row r="1585">
      <x:c r="A1585" s="53"/>
      <x:c r="B1585" s="53"/>
      <x:c r="C1585" s="53"/>
      <x:c r="D1585" s="53"/>
      <x:c r="E1585" s="53"/>
      <x:c r="F1585" s="53"/>
      <x:c r="G1585" s="53"/>
      <x:c r="H1585" s="53"/>
      <x:c r="I1585" s="53"/>
      <x:c r="J1585" s="53"/>
      <x:c r="K1585" s="53"/>
      <x:c r="L1585" s="53"/>
      <x:c r="M1585" s="53"/>
      <x:c r="N1585" s="53"/>
      <x:c r="O1585" s="53"/>
      <x:c r="P1585" s="53"/>
      <x:c r="Q1585" s="53"/>
      <x:c r="R1585" s="53"/>
      <x:c r="S1585" s="53"/>
      <x:c r="T1585" s="53"/>
      <x:c r="U1585" s="53"/>
      <x:c r="V1585" s="53"/>
      <x:c r="W1585" s="53"/>
      <x:c r="X1585" s="53"/>
      <x:c r="Y1585" s="53"/>
      <x:c r="Z1585" s="53"/>
      <x:c r="AA1585" s="53"/>
      <x:c r="AB1585" s="53"/>
      <x:c r="AC1585" s="53"/>
      <x:c r="AD1585" s="53"/>
      <x:c r="AE1585" s="53"/>
      <x:c r="AF1585" s="53"/>
    </x:row>
    <x:row r="1586">
      <x:c r="A1586" s="53"/>
      <x:c r="B1586" s="53"/>
      <x:c r="C1586" s="53"/>
      <x:c r="D1586" s="53"/>
      <x:c r="E1586" s="53"/>
      <x:c r="F1586" s="53"/>
      <x:c r="G1586" s="53"/>
      <x:c r="H1586" s="53"/>
      <x:c r="I1586" s="53"/>
      <x:c r="J1586" s="53"/>
      <x:c r="K1586" s="53"/>
      <x:c r="L1586" s="53"/>
      <x:c r="M1586" s="53"/>
      <x:c r="N1586" s="53"/>
      <x:c r="O1586" s="53"/>
      <x:c r="P1586" s="53"/>
      <x:c r="Q1586" s="53"/>
      <x:c r="R1586" s="53"/>
      <x:c r="S1586" s="53"/>
      <x:c r="T1586" s="53"/>
      <x:c r="U1586" s="53"/>
      <x:c r="V1586" s="53"/>
      <x:c r="W1586" s="53"/>
      <x:c r="X1586" s="53"/>
      <x:c r="Y1586" s="53"/>
      <x:c r="Z1586" s="53"/>
      <x:c r="AA1586" s="53"/>
      <x:c r="AB1586" s="53"/>
      <x:c r="AC1586" s="53"/>
      <x:c r="AD1586" s="53"/>
      <x:c r="AE1586" s="53"/>
      <x:c r="AF1586" s="53"/>
    </x:row>
    <x:row r="1587">
      <x:c r="A1587" s="53"/>
      <x:c r="B1587" s="53"/>
      <x:c r="C1587" s="53"/>
      <x:c r="D1587" s="53"/>
      <x:c r="E1587" s="53"/>
      <x:c r="F1587" s="53"/>
      <x:c r="G1587" s="53"/>
      <x:c r="H1587" s="53"/>
      <x:c r="I1587" s="53"/>
      <x:c r="J1587" s="53"/>
      <x:c r="K1587" s="53"/>
      <x:c r="L1587" s="53"/>
      <x:c r="M1587" s="53"/>
      <x:c r="N1587" s="53"/>
      <x:c r="O1587" s="53"/>
      <x:c r="P1587" s="53"/>
      <x:c r="Q1587" s="53"/>
      <x:c r="R1587" s="53"/>
      <x:c r="S1587" s="53"/>
      <x:c r="T1587" s="53"/>
      <x:c r="U1587" s="53"/>
      <x:c r="V1587" s="53"/>
      <x:c r="W1587" s="53"/>
      <x:c r="X1587" s="53"/>
      <x:c r="Y1587" s="53"/>
      <x:c r="Z1587" s="53"/>
      <x:c r="AA1587" s="53"/>
      <x:c r="AB1587" s="53"/>
      <x:c r="AC1587" s="53"/>
      <x:c r="AD1587" s="53"/>
      <x:c r="AE1587" s="53"/>
      <x:c r="AF1587" s="53"/>
    </x:row>
    <x:row r="1588">
      <x:c r="A1588" s="53"/>
      <x:c r="B1588" s="53"/>
      <x:c r="C1588" s="53"/>
      <x:c r="D1588" s="53"/>
      <x:c r="E1588" s="53"/>
      <x:c r="F1588" s="53"/>
      <x:c r="G1588" s="53"/>
      <x:c r="H1588" s="53"/>
      <x:c r="I1588" s="53"/>
      <x:c r="J1588" s="53"/>
      <x:c r="K1588" s="53"/>
      <x:c r="L1588" s="53"/>
      <x:c r="M1588" s="53"/>
      <x:c r="N1588" s="53"/>
      <x:c r="O1588" s="53"/>
      <x:c r="P1588" s="53"/>
      <x:c r="Q1588" s="53"/>
      <x:c r="R1588" s="53"/>
      <x:c r="S1588" s="53"/>
      <x:c r="T1588" s="53"/>
      <x:c r="U1588" s="53"/>
      <x:c r="V1588" s="53"/>
      <x:c r="W1588" s="53"/>
      <x:c r="X1588" s="53"/>
      <x:c r="Y1588" s="53"/>
      <x:c r="Z1588" s="53"/>
      <x:c r="AA1588" s="53"/>
      <x:c r="AB1588" s="53"/>
      <x:c r="AC1588" s="53"/>
      <x:c r="AD1588" s="53"/>
      <x:c r="AE1588" s="53"/>
      <x:c r="AF1588" s="53"/>
    </x:row>
    <x:row r="1589">
      <x:c r="A1589" s="53"/>
      <x:c r="B1589" s="53"/>
      <x:c r="C1589" s="53"/>
      <x:c r="D1589" s="53"/>
      <x:c r="E1589" s="53"/>
      <x:c r="F1589" s="53"/>
      <x:c r="G1589" s="53"/>
      <x:c r="H1589" s="53"/>
      <x:c r="I1589" s="53"/>
      <x:c r="J1589" s="53"/>
      <x:c r="K1589" s="53"/>
      <x:c r="L1589" s="53"/>
      <x:c r="M1589" s="53"/>
      <x:c r="N1589" s="53"/>
      <x:c r="O1589" s="53"/>
      <x:c r="P1589" s="53"/>
      <x:c r="Q1589" s="53"/>
      <x:c r="R1589" s="53"/>
      <x:c r="S1589" s="53"/>
      <x:c r="T1589" s="53"/>
      <x:c r="U1589" s="53"/>
      <x:c r="V1589" s="53"/>
      <x:c r="W1589" s="53"/>
      <x:c r="X1589" s="53"/>
      <x:c r="Y1589" s="53"/>
      <x:c r="Z1589" s="53"/>
      <x:c r="AA1589" s="53"/>
      <x:c r="AB1589" s="53"/>
      <x:c r="AC1589" s="53"/>
      <x:c r="AD1589" s="53"/>
      <x:c r="AE1589" s="53"/>
      <x:c r="AF1589" s="53"/>
    </x:row>
    <x:row r="1590">
      <x:c r="A1590" s="53"/>
      <x:c r="B1590" s="53"/>
      <x:c r="C1590" s="53"/>
      <x:c r="D1590" s="53"/>
      <x:c r="E1590" s="53"/>
      <x:c r="F1590" s="53"/>
      <x:c r="G1590" s="53"/>
      <x:c r="H1590" s="53"/>
      <x:c r="I1590" s="53"/>
      <x:c r="J1590" s="53"/>
      <x:c r="K1590" s="53"/>
      <x:c r="L1590" s="53"/>
      <x:c r="M1590" s="53"/>
      <x:c r="N1590" s="53"/>
      <x:c r="O1590" s="53"/>
      <x:c r="P1590" s="53"/>
      <x:c r="Q1590" s="53"/>
      <x:c r="R1590" s="53"/>
      <x:c r="S1590" s="53"/>
      <x:c r="T1590" s="53"/>
      <x:c r="U1590" s="53"/>
      <x:c r="V1590" s="53"/>
      <x:c r="W1590" s="53"/>
      <x:c r="X1590" s="53"/>
      <x:c r="Y1590" s="53"/>
      <x:c r="Z1590" s="53"/>
      <x:c r="AA1590" s="53"/>
      <x:c r="AB1590" s="53"/>
      <x:c r="AC1590" s="53"/>
      <x:c r="AD1590" s="53"/>
      <x:c r="AE1590" s="53"/>
      <x:c r="AF1590" s="53"/>
    </x:row>
    <x:row r="1591">
      <x:c r="A1591" s="53"/>
      <x:c r="B1591" s="53"/>
      <x:c r="C1591" s="53"/>
      <x:c r="D1591" s="53"/>
      <x:c r="E1591" s="53"/>
      <x:c r="F1591" s="53"/>
      <x:c r="G1591" s="53"/>
      <x:c r="H1591" s="53"/>
      <x:c r="I1591" s="53"/>
      <x:c r="J1591" s="53"/>
      <x:c r="K1591" s="53"/>
      <x:c r="L1591" s="53"/>
      <x:c r="M1591" s="53"/>
      <x:c r="N1591" s="53"/>
      <x:c r="O1591" s="53"/>
      <x:c r="P1591" s="53"/>
      <x:c r="Q1591" s="53"/>
      <x:c r="R1591" s="53"/>
      <x:c r="S1591" s="53"/>
      <x:c r="T1591" s="53"/>
      <x:c r="U1591" s="53"/>
      <x:c r="V1591" s="53"/>
      <x:c r="W1591" s="53"/>
      <x:c r="X1591" s="53"/>
      <x:c r="Y1591" s="53"/>
      <x:c r="Z1591" s="53"/>
      <x:c r="AA1591" s="53"/>
      <x:c r="AB1591" s="53"/>
      <x:c r="AC1591" s="53"/>
      <x:c r="AD1591" s="53"/>
      <x:c r="AE1591" s="53"/>
      <x:c r="AF1591" s="53"/>
    </x:row>
    <x:row r="1592">
      <x:c r="A1592" s="53"/>
      <x:c r="B1592" s="53"/>
      <x:c r="C1592" s="53"/>
      <x:c r="D1592" s="53"/>
      <x:c r="E1592" s="53"/>
      <x:c r="F1592" s="53"/>
      <x:c r="G1592" s="53"/>
      <x:c r="H1592" s="53"/>
      <x:c r="I1592" s="53"/>
      <x:c r="J1592" s="53"/>
      <x:c r="K1592" s="53"/>
      <x:c r="L1592" s="53"/>
      <x:c r="M1592" s="53"/>
      <x:c r="N1592" s="53"/>
      <x:c r="O1592" s="53"/>
      <x:c r="P1592" s="53"/>
      <x:c r="Q1592" s="53"/>
      <x:c r="R1592" s="53"/>
      <x:c r="S1592" s="53"/>
      <x:c r="T1592" s="53"/>
      <x:c r="U1592" s="53"/>
      <x:c r="V1592" s="53"/>
      <x:c r="W1592" s="53"/>
      <x:c r="X1592" s="53"/>
      <x:c r="Y1592" s="53"/>
      <x:c r="Z1592" s="53"/>
      <x:c r="AA1592" s="53"/>
      <x:c r="AB1592" s="53"/>
      <x:c r="AC1592" s="53"/>
      <x:c r="AD1592" s="53"/>
      <x:c r="AE1592" s="53"/>
      <x:c r="AF1592" s="53"/>
    </x:row>
    <x:row r="1593">
      <x:c r="A1593" s="53"/>
      <x:c r="B1593" s="53"/>
      <x:c r="C1593" s="53"/>
      <x:c r="D1593" s="53"/>
      <x:c r="E1593" s="53"/>
      <x:c r="F1593" s="53"/>
      <x:c r="G1593" s="53"/>
      <x:c r="H1593" s="53"/>
      <x:c r="I1593" s="53"/>
      <x:c r="J1593" s="53"/>
      <x:c r="K1593" s="53"/>
      <x:c r="L1593" s="53"/>
      <x:c r="M1593" s="53"/>
      <x:c r="N1593" s="53"/>
      <x:c r="O1593" s="53"/>
      <x:c r="P1593" s="53"/>
      <x:c r="Q1593" s="53"/>
      <x:c r="R1593" s="53"/>
      <x:c r="S1593" s="53"/>
      <x:c r="T1593" s="53"/>
      <x:c r="U1593" s="53"/>
      <x:c r="V1593" s="53"/>
      <x:c r="W1593" s="53"/>
      <x:c r="X1593" s="53"/>
      <x:c r="Y1593" s="53"/>
      <x:c r="Z1593" s="53"/>
      <x:c r="AA1593" s="53"/>
      <x:c r="AB1593" s="53"/>
      <x:c r="AC1593" s="53"/>
      <x:c r="AD1593" s="53"/>
      <x:c r="AE1593" s="53"/>
      <x:c r="AF1593" s="53"/>
    </x:row>
    <x:row r="1594">
      <x:c r="A1594" s="53"/>
      <x:c r="B1594" s="53"/>
      <x:c r="C1594" s="53"/>
      <x:c r="D1594" s="53"/>
      <x:c r="E1594" s="53"/>
      <x:c r="F1594" s="53"/>
      <x:c r="G1594" s="53"/>
      <x:c r="H1594" s="53"/>
      <x:c r="I1594" s="53"/>
      <x:c r="J1594" s="53"/>
      <x:c r="K1594" s="53"/>
      <x:c r="L1594" s="53"/>
      <x:c r="M1594" s="53"/>
      <x:c r="N1594" s="53"/>
      <x:c r="O1594" s="53"/>
      <x:c r="P1594" s="53"/>
      <x:c r="Q1594" s="53"/>
      <x:c r="R1594" s="53"/>
      <x:c r="S1594" s="53"/>
      <x:c r="T1594" s="53"/>
      <x:c r="U1594" s="53"/>
      <x:c r="V1594" s="53"/>
      <x:c r="W1594" s="53"/>
      <x:c r="X1594" s="53"/>
      <x:c r="Y1594" s="53"/>
      <x:c r="Z1594" s="53"/>
      <x:c r="AA1594" s="53"/>
      <x:c r="AB1594" s="53"/>
      <x:c r="AC1594" s="53"/>
      <x:c r="AD1594" s="53"/>
      <x:c r="AE1594" s="53"/>
      <x:c r="AF1594" s="53"/>
    </x:row>
    <x:row r="1595">
      <x:c r="A1595" s="53"/>
      <x:c r="B1595" s="53"/>
      <x:c r="C1595" s="53"/>
      <x:c r="D1595" s="53"/>
      <x:c r="E1595" s="53"/>
      <x:c r="F1595" s="53"/>
      <x:c r="G1595" s="53"/>
      <x:c r="H1595" s="53"/>
      <x:c r="I1595" s="53"/>
      <x:c r="J1595" s="53"/>
      <x:c r="K1595" s="53"/>
      <x:c r="L1595" s="53"/>
      <x:c r="M1595" s="53"/>
      <x:c r="N1595" s="53"/>
      <x:c r="O1595" s="53"/>
      <x:c r="P1595" s="53"/>
      <x:c r="Q1595" s="53"/>
      <x:c r="R1595" s="53"/>
      <x:c r="S1595" s="53"/>
      <x:c r="T1595" s="53"/>
      <x:c r="U1595" s="53"/>
      <x:c r="V1595" s="53"/>
      <x:c r="W1595" s="53"/>
      <x:c r="X1595" s="53"/>
      <x:c r="Y1595" s="53"/>
      <x:c r="Z1595" s="53"/>
      <x:c r="AA1595" s="53"/>
      <x:c r="AB1595" s="53"/>
      <x:c r="AC1595" s="53"/>
      <x:c r="AD1595" s="53"/>
      <x:c r="AE1595" s="53"/>
      <x:c r="AF1595" s="53"/>
    </x:row>
    <x:row r="1596">
      <x:c r="A1596" s="53"/>
      <x:c r="B1596" s="53"/>
      <x:c r="C1596" s="53"/>
      <x:c r="D1596" s="53"/>
      <x:c r="E1596" s="53"/>
      <x:c r="F1596" s="53"/>
      <x:c r="G1596" s="53"/>
      <x:c r="H1596" s="53"/>
      <x:c r="I1596" s="53"/>
      <x:c r="J1596" s="53"/>
      <x:c r="K1596" s="53"/>
      <x:c r="L1596" s="53"/>
      <x:c r="M1596" s="53"/>
      <x:c r="N1596" s="53"/>
      <x:c r="O1596" s="53"/>
      <x:c r="P1596" s="53"/>
      <x:c r="Q1596" s="53"/>
      <x:c r="R1596" s="53"/>
      <x:c r="S1596" s="53"/>
      <x:c r="T1596" s="53"/>
      <x:c r="U1596" s="53"/>
      <x:c r="V1596" s="53"/>
      <x:c r="W1596" s="53"/>
      <x:c r="X1596" s="53"/>
      <x:c r="Y1596" s="53"/>
      <x:c r="Z1596" s="53"/>
      <x:c r="AA1596" s="53"/>
      <x:c r="AB1596" s="53"/>
      <x:c r="AC1596" s="53"/>
      <x:c r="AD1596" s="53"/>
      <x:c r="AE1596" s="53"/>
      <x:c r="AF1596" s="53"/>
    </x:row>
    <x:row r="1597">
      <x:c r="A1597" s="53"/>
      <x:c r="B1597" s="53"/>
      <x:c r="C1597" s="53"/>
      <x:c r="D1597" s="53"/>
      <x:c r="E1597" s="53"/>
      <x:c r="F1597" s="53"/>
      <x:c r="G1597" s="53"/>
      <x:c r="H1597" s="53"/>
      <x:c r="I1597" s="53"/>
      <x:c r="J1597" s="53"/>
      <x:c r="K1597" s="53"/>
      <x:c r="L1597" s="53"/>
      <x:c r="M1597" s="53"/>
      <x:c r="N1597" s="53"/>
      <x:c r="O1597" s="53"/>
      <x:c r="P1597" s="53"/>
      <x:c r="Q1597" s="53"/>
      <x:c r="R1597" s="53"/>
      <x:c r="S1597" s="53"/>
      <x:c r="T1597" s="53"/>
      <x:c r="U1597" s="53"/>
      <x:c r="V1597" s="53"/>
      <x:c r="W1597" s="53"/>
      <x:c r="X1597" s="53"/>
      <x:c r="Y1597" s="53"/>
      <x:c r="Z1597" s="53"/>
      <x:c r="AA1597" s="53"/>
      <x:c r="AB1597" s="53"/>
      <x:c r="AC1597" s="53"/>
      <x:c r="AD1597" s="53"/>
      <x:c r="AE1597" s="53"/>
      <x:c r="AF1597" s="53"/>
    </x:row>
    <x:row r="1598">
      <x:c r="A1598" s="53"/>
      <x:c r="B1598" s="53"/>
      <x:c r="C1598" s="53"/>
      <x:c r="D1598" s="53"/>
      <x:c r="E1598" s="53"/>
      <x:c r="F1598" s="53"/>
      <x:c r="G1598" s="53"/>
      <x:c r="H1598" s="53"/>
      <x:c r="I1598" s="53"/>
      <x:c r="J1598" s="53"/>
      <x:c r="K1598" s="53"/>
      <x:c r="L1598" s="53"/>
      <x:c r="M1598" s="53"/>
      <x:c r="N1598" s="53"/>
      <x:c r="O1598" s="53"/>
      <x:c r="P1598" s="53"/>
      <x:c r="Q1598" s="53"/>
      <x:c r="R1598" s="53"/>
      <x:c r="S1598" s="53"/>
      <x:c r="T1598" s="53"/>
      <x:c r="U1598" s="53"/>
      <x:c r="V1598" s="53"/>
      <x:c r="W1598" s="53"/>
      <x:c r="X1598" s="53"/>
      <x:c r="Y1598" s="53"/>
      <x:c r="Z1598" s="53"/>
      <x:c r="AA1598" s="53"/>
      <x:c r="AB1598" s="53"/>
      <x:c r="AC1598" s="53"/>
      <x:c r="AD1598" s="53"/>
      <x:c r="AE1598" s="53"/>
      <x:c r="AF1598" s="53"/>
    </x:row>
    <x:row r="1599">
      <x:c r="A1599" s="53"/>
      <x:c r="B1599" s="53"/>
      <x:c r="C1599" s="53"/>
      <x:c r="D1599" s="53"/>
      <x:c r="E1599" s="53"/>
      <x:c r="F1599" s="53"/>
      <x:c r="G1599" s="53"/>
      <x:c r="H1599" s="53"/>
      <x:c r="I1599" s="53"/>
      <x:c r="J1599" s="53"/>
      <x:c r="K1599" s="53"/>
      <x:c r="L1599" s="53"/>
      <x:c r="M1599" s="53"/>
      <x:c r="N1599" s="53"/>
      <x:c r="O1599" s="53"/>
      <x:c r="P1599" s="53"/>
      <x:c r="Q1599" s="53"/>
      <x:c r="R1599" s="53"/>
      <x:c r="S1599" s="53"/>
      <x:c r="T1599" s="53"/>
      <x:c r="U1599" s="53"/>
      <x:c r="V1599" s="53"/>
      <x:c r="W1599" s="53"/>
      <x:c r="X1599" s="53"/>
      <x:c r="Y1599" s="53"/>
      <x:c r="Z1599" s="53"/>
      <x:c r="AA1599" s="53"/>
      <x:c r="AB1599" s="53"/>
      <x:c r="AC1599" s="53"/>
      <x:c r="AD1599" s="53"/>
      <x:c r="AE1599" s="53"/>
      <x:c r="AF1599" s="53"/>
    </x:row>
    <x:row r="1600">
      <x:c r="A1600" s="53"/>
      <x:c r="B1600" s="53"/>
      <x:c r="C1600" s="53"/>
      <x:c r="D1600" s="53"/>
      <x:c r="E1600" s="53"/>
      <x:c r="F1600" s="53"/>
      <x:c r="G1600" s="53"/>
      <x:c r="H1600" s="53"/>
      <x:c r="I1600" s="53"/>
      <x:c r="J1600" s="53"/>
      <x:c r="K1600" s="53"/>
      <x:c r="L1600" s="53"/>
      <x:c r="M1600" s="53"/>
      <x:c r="N1600" s="53"/>
      <x:c r="O1600" s="53"/>
      <x:c r="P1600" s="53"/>
      <x:c r="Q1600" s="53"/>
      <x:c r="R1600" s="53"/>
      <x:c r="S1600" s="53"/>
      <x:c r="T1600" s="53"/>
      <x:c r="U1600" s="53"/>
      <x:c r="V1600" s="53"/>
      <x:c r="W1600" s="53"/>
      <x:c r="X1600" s="53"/>
      <x:c r="Y1600" s="53"/>
      <x:c r="Z1600" s="53"/>
      <x:c r="AA1600" s="53"/>
      <x:c r="AB1600" s="53"/>
      <x:c r="AC1600" s="53"/>
      <x:c r="AD1600" s="53"/>
      <x:c r="AE1600" s="53"/>
      <x:c r="AF1600" s="53"/>
    </x:row>
  </x:sheetData>
  <x:mergeCells>
    <x:mergeCell ref="A1:H2"/>
    <x:mergeCell ref="A4:H4"/>
    <x:mergeCell ref="A5:H5"/>
    <x:mergeCell ref="A6:H6"/>
    <x:mergeCell ref="A7:H7"/>
    <x:mergeCell ref="A8:H8"/>
    <x:mergeCell ref="A10:H10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8" hidden="0" customWidth="1"/>
    <x:col min="6" max="6" width="34" hidden="0" customWidth="1"/>
    <x:col min="7" max="7" width="22" hidden="0" customWidth="1"/>
    <x:col min="8" max="8" width="24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4" hidden="0" customWidth="1"/>
    <x:col min="15" max="15" width="22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2" hidden="0" customWidth="1"/>
    <x:col min="23" max="23" width="24" hidden="0" customWidth="1"/>
    <x:col min="24" max="24" width="22" hidden="0" customWidth="1"/>
    <x:col min="25" max="25" width="22" hidden="0" customWidth="1"/>
    <x:col min="26" max="26" width="22" hidden="0" customWidth="1"/>
    <x:col min="27" max="27" width="32" hidden="0" customWidth="1"/>
    <x:col min="28" max="28" width="24" hidden="0" customWidth="1"/>
    <x:col min="29" max="29" width="14" hidden="0" customWidth="1"/>
    <x:col min="30" max="30" width="18" hidden="0" customWidth="1"/>
    <x:col min="31" max="31" width="28" hidden="0" customWidth="1"/>
    <x:col min="32" max="32" width="32" hidden="0" customWidth="1"/>
    <x:col min="33" max="33" width="23" hidden="0" customWidth="1"/>
    <x:col min="34" max="34" width="32" hidden="0" customWidth="1"/>
    <x:col min="35" max="35" width="28" hidden="0" customWidth="1"/>
    <x:col min="36" max="36" width="24" hidden="0" customWidth="1"/>
    <x:col min="37" max="37" width="27" hidden="0" customWidth="1"/>
    <x:col min="38" max="38" width="18" hidden="0" customWidth="1"/>
    <x:col min="39" max="39" width="30" hidden="0" customWidth="1"/>
    <x:col min="40" max="40" width="34" hidden="0" customWidth="1"/>
    <x:col min="41" max="41" width="40" hidden="0" customWidth="1"/>
    <x:col min="42" max="42" width="48" hidden="0" customWidth="1"/>
    <x:col min="43" max="43" width="24" hidden="0" customWidth="1"/>
    <x:col min="44" max="44" width="34" hidden="0" customWidth="1"/>
    <x:col min="45" max="45" width="34" hidden="0" customWidth="1"/>
    <x:col min="46" max="46" width="34" hidden="0" customWidth="1"/>
    <x:col min="47" max="47" width="24" hidden="0" customWidth="1"/>
    <x:col min="48" max="48" width="24" hidden="0" customWidth="1"/>
    <x:col min="49" max="49" width="24" hidden="0" customWidth="1"/>
  </x:cols>
  <x:sheetData>
    <x:row r="1">
      <x:c r="A1" s="56" t="str">
        <x:v>Evaluation ID</x:v>
      </x:c>
      <x:c r="B1" s="56" t="str">
        <x:v>Tool / Service</x:v>
      </x:c>
      <x:c r="C1" s="56" t="str">
        <x:v>Provider</x:v>
      </x:c>
      <x:c r="D1" s="56" t="str">
        <x:v>Account / Tenant</x:v>
      </x:c>
      <x:c r="E1" s="56" t="str">
        <x:v>Purpose Domain</x:v>
      </x:c>
      <x:c r="F1" s="56" t="str">
        <x:v>Primary Use Case</x:v>
      </x:c>
      <x:c r="G1" s="56" t="str">
        <x:v>Requesting Unit</x:v>
      </x:c>
      <x:c r="H1" s="56" t="str">
        <x:v>Sponsor / AI System Owner</x:v>
      </x:c>
      <x:c r="I1" s="56" t="str">
        <x:v>User Group</x:v>
      </x:c>
      <x:c r="J1" s="56" t="str">
        <x:v>Intended Scale</x:v>
      </x:c>
      <x:c r="K1" s="56" t="str">
        <x:v>Data Classification</x:v>
      </x:c>
      <x:c r="L1" s="56" t="str">
        <x:v>Personal Data</x:v>
      </x:c>
      <x:c r="M1" s="56" t="str">
        <x:v>Research Confidentiality</x:v>
      </x:c>
      <x:c r="N1" s="56" t="str">
        <x:v>Decision Impact</x:v>
      </x:c>
      <x:c r="O1" s="56" t="str">
        <x:v>System Integration</x:v>
      </x:c>
      <x:c r="P1" s="56" t="str">
        <x:v>Autonomous Actions</x:v>
      </x:c>
      <x:c r="Q1" s="56" t="str">
        <x:v>Procurement Type</x:v>
      </x:c>
      <x:c r="R1" s="56" t="str">
        <x:v>Statutory High-Risk</x:v>
      </x:c>
      <x:c r="S1" s="56" t="str">
        <x:v>Pathway</x:v>
      </x:c>
      <x:c r="T1" s="56" t="str">
        <x:v>Assurance Stage</x:v>
      </x:c>
      <x:c r="U1" s="56" t="str">
        <x:v>Technical Finding</x:v>
      </x:c>
      <x:c r="V1" s="56" t="str">
        <x:v>Privacy / Legal Review</x:v>
      </x:c>
      <x:c r="W1" s="56" t="str">
        <x:v>Academic / Professional Review</x:v>
      </x:c>
      <x:c r="X1" s="56" t="str">
        <x:v>Procurement Review</x:v>
      </x:c>
      <x:c r="Y1" s="56" t="str">
        <x:v>Institutional Decision</x:v>
      </x:c>
      <x:c r="Z1" s="56" t="str">
        <x:v>Register Status</x:v>
      </x:c>
      <x:c r="AA1" s="56" t="str">
        <x:v>Conditions Summary</x:v>
      </x:c>
      <x:c r="AB1" s="56" t="str">
        <x:v>Residual Risk Owner</x:v>
      </x:c>
      <x:c r="AC1" s="56" t="str">
        <x:v>Review Date</x:v>
      </x:c>
      <x:c r="AD1" s="56" t="str">
        <x:v>Last Updated</x:v>
      </x:c>
      <x:c r="AE1" s="56" t="str">
        <x:v>Evidence / Link</x:v>
      </x:c>
      <x:c r="AF1" s="56" t="str">
        <x:v>Notes</x:v>
      </x:c>
      <x:c r="AG1" s="18" t="str">
        <x:v>Research / Ethics Review</x:v>
      </x:c>
      <x:c r="AH1" s="18" t="str">
        <x:v>Existing Assurance Scope</x:v>
      </x:c>
      <x:c r="AI1" s="18" t="str">
        <x:v>Secure Assessment Content</x:v>
      </x:c>
      <x:c r="AJ1" s="18" t="str">
        <x:v>Human Participants / Ethics</x:v>
      </x:c>
      <x:c r="AK1" s="18" t="str">
        <x:v>NDA / Contractual Restrictions</x:v>
      </x:c>
      <x:c r="AL1" s="18" t="str">
        <x:v>Complete Request Date</x:v>
      </x:c>
      <x:c r="AM1" s="18" t="str">
        <x:v>Policy Assurance Trigger</x:v>
      </x:c>
      <x:c r="AN1" s="18" t="str">
        <x:v>Safe Exploration Eligibility</x:v>
      </x:c>
      <x:c r="AO1" s="18" t="str">
        <x:v>Assessment Target Status</x:v>
      </x:c>
      <x:c r="AP1" s="18" t="str">
        <x:v>Pathway Evidence Summary</x:v>
      </x:c>
      <x:c r="AQ1" s="18" t="str">
        <x:v>Operational Lane</x:v>
      </x:c>
      <x:c r="AR1" s="18" t="str">
        <x:v>What May Happen Now</x:v>
      </x:c>
      <x:c r="AS1" s="18" t="str">
        <x:v>Stop / Do Not</x:v>
      </x:c>
      <x:c r="AT1" s="18" t="str">
        <x:v>Next Owner / Action</x:v>
      </x:c>
      <x:c r="AU1" s="18" t="str">
        <x:v>Required Reviews</x:v>
      </x:c>
      <x:c r="AV1" s="18" t="str">
        <x:v>Evidence Requirement</x:v>
      </x:c>
      <x:c r="AW1" s="18" t="str">
        <x:v>Reassessment / Change Triggers</x:v>
      </x:c>
    </x:row>
    <x:row r="2"/>
  </x:sheetData>
  <x:conditionalFormatting sqref="Z2:Z500">
    <x:cfRule type="expression" dxfId="3" priority="1">
      <x:formula>Z2="Restricted"</x:formula>
    </x:cfRule>
    <x:cfRule type="expression" dxfId="4" priority="2">
      <x:formula>Z2="Conditional"</x:formula>
    </x:cfRule>
    <x:cfRule type="expression" dxfId="5" priority="3">
      <x:formula>Z2="BUV Provided / Assured"</x:formula>
    </x:cfRule>
  </x:conditionalFormatting>
  <x:dataValidations count="24">
    <x:dataValidation type="list" sqref="E2:E500">
      <x:formula1>"Teaching &amp; Learning,Assessment,Research,Student Support,Professional Services,Administration,IT / Cybersecurity,Other"</x:formula1>
    </x:dataValidation>
    <x:dataValidation type="list" sqref="I2:I500">
      <x:formula1>"Faculty,Researchers,Professional Staff,Students,Applicants,External / Third Party,Mixed"</x:formula1>
    </x:dataValidation>
    <x:dataValidation type="list" sqref="J2:J500">
      <x:formula1>"Individual / Exploration,Team / Department,Pilot Cohort,School / Function,Institution-wide"</x:formula1>
    </x:dataValidation>
    <x:dataValidation type="list" sqref="K2:K500">
      <x:formula1>"Public,Internal,Confidential,Restricted,Unknown"</x:formula1>
    </x:dataValidation>
    <x:dataValidation type="list" sqref="L2:L500">
      <x:formula1>"None,Basic / Ordinary,Sensitive / Special,Large-scale / Systematic,Unknown"</x:formula1>
    </x:dataValidation>
    <x:dataValidation type="list" sqref="M2:M500">
      <x:formula1>"No,Yes,Unknown"</x:formula1>
    </x:dataValidation>
    <x:dataValidation type="list" sqref="N2:N500">
      <x:formula1>"No material effect,Human-reviewed decision support,Material / consequential decision,Unknown"</x:formula1>
    </x:dataValidation>
    <x:dataValidation type="list" sqref="O2:O500">
      <x:formula1>"None,Read-only / low privilege,Write / action capability,Privileged / broad access,Unknown"</x:formula1>
    </x:dataValidation>
    <x:dataValidation type="list" sqref="P2:P500">
      <x:formula1>"No,Limited with human confirmation,Yes - consequential actions,Unknown"</x:formula1>
    </x:dataValidation>
    <x:dataValidation type="list" sqref="Q2:Q500">
      <x:formula1>"No procurement / exploration,Free / individual account,Departmental pilot,Paid institutional service,Existing enterprise service"</x:formula1>
    </x:dataValidation>
    <x:dataValidation type="list" sqref="R2:R500">
      <x:formula1>"No known trigger,Possible / Legal review required,Yes / likely high-risk,Unknown"</x:formula1>
    </x:dataValidation>
    <x:dataValidation type="list" sqref="S2:S500">
      <x:formula1>"GREEN,AMBER,RED,RESEARCH CONFIDENTIALITY,RED + RESEARCH CONFIDENTIALITY"</x:formula1>
    </x:dataValidation>
    <x:dataValidation type="list" sqref="T2:T500">
      <x:formula1>"Draft,Evidence gathering,Specialist review,Ready for decision,Decision recorded,Suspended / Reassessment"</x:formula1>
    </x:dataValidation>
    <x:dataValidation type="list" sqref="U2:U500">
      <x:formula1>"Not assessed,Not required — existing assured scope,Supported,Supported with Controls,Technical Risk Identified"</x:formula1>
    </x:dataValidation>
    <x:dataValidation type="list" sqref="V2:V500">
      <x:formula1>"Not required,Not started,In progress,Completed / No objection,Completed / Conditions,Blocked / Concern"</x:formula1>
    </x:dataValidation>
    <x:dataValidation type="list" sqref="W2:W500">
      <x:formula1>"Not required,Not started,In progress,Completed / No objection,Completed / Conditions,Blocked / Concern"</x:formula1>
    </x:dataValidation>
    <x:dataValidation type="list" sqref="X2:X500">
      <x:formula1>"Not required,Not started,In progress,Completed / No objection,Completed / Conditions,Blocked / Concern"</x:formula1>
    </x:dataValidation>
    <x:dataValidation type="list" sqref="Y2:Y500">
      <x:formula1>"Pending,Approve,Conditional,Pilot,Reject,Suspend,Retire"</x:formula1>
    </x:dataValidation>
    <x:dataValidation type="list" sqref="Z2:Z500">
      <x:formula1>"Unassessed,BUV Provided / Assured,Conditional,Pilot,Restricted,Suspended,Retired"</x:formula1>
    </x:dataValidation>
    <x:dataValidation type="list" sqref="AG2:AG500">
      <x:formula1>"Not required,Not started,In progress,Completed / No objection,Completed / Conditions,Blocked / Concern"</x:formula1>
    </x:dataValidation>
    <x:dataValidation type="list" sqref="AH2:AH500">
      <x:formula1>"New / Unassessed service or scope,Existing BUV-assured service within approved scope,Existing service — new/expanded use,Conditional / Pilot scope,Unknown"</x:formula1>
    </x:dataValidation>
    <x:dataValidation type="list" sqref="AI2:AI500">
      <x:formula1>"No,Draft / non-secure only,Yes - live / secure assessment,Unknown"</x:formula1>
    </x:dataValidation>
    <x:dataValidation type="list" sqref="AJ2:AJ500">
      <x:formula1>"No,Yes,Unknown"</x:formula1>
    </x:dataValidation>
    <x:dataValidation type="list" sqref="AK2:AK500">
      <x:formula1>"No,Yes,Unknown"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5a14f3e6b4b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32" hidden="0" customWidth="1"/>
    <x:col min="5" max="5" width="24" hidden="0" customWidth="1"/>
    <x:col min="6" max="6" width="16" hidden="0" customWidth="1"/>
    <x:col min="7" max="7" width="14" hidden="0" customWidth="1"/>
    <x:col min="8" max="8" width="10" hidden="0" customWidth="1"/>
    <x:col min="9" max="9" width="38" hidden="0" customWidth="1"/>
    <x:col min="10" max="10" width="38" hidden="0" customWidth="1"/>
    <x:col min="11" max="11" width="38" hidden="0" customWidth="1"/>
    <x:col min="12" max="12" width="24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38" hidden="0" customWidth="1"/>
  </x:cols>
  <x:sheetData>
    <x:row r="1">
      <x:c r="A1" s="56" t="str">
        <x:v>Evaluation ID</x:v>
      </x:c>
      <x:c r="B1" s="56" t="str">
        <x:v>Criterion ID</x:v>
      </x:c>
      <x:c r="C1" s="56" t="str">
        <x:v>Domain</x:v>
      </x:c>
      <x:c r="D1" s="56" t="str">
        <x:v>Criterion</x:v>
      </x:c>
      <x:c r="E1" s="56" t="str">
        <x:v>Primary Owner</x:v>
      </x:c>
      <x:c r="F1" s="56" t="str">
        <x:v>Critical Trigger</x:v>
      </x:c>
      <x:c r="G1" s="56" t="str">
        <x:v>Rating</x:v>
      </x:c>
      <x:c r="H1" s="56" t="str">
        <x:v>Score</x:v>
      </x:c>
      <x:c r="I1" s="56" t="str">
        <x:v>Evidence / Source</x:v>
      </x:c>
      <x:c r="J1" s="56" t="str">
        <x:v>Finding / Notes</x:v>
      </x:c>
      <x:c r="K1" s="56" t="str">
        <x:v>Mitigation / Condition</x:v>
      </x:c>
      <x:c r="L1" s="56" t="str">
        <x:v>Action Owner</x:v>
      </x:c>
      <x:c r="M1" s="56" t="str">
        <x:v>Due Date</x:v>
      </x:c>
      <x:c r="N1" s="56" t="str">
        <x:v>Review Status</x:v>
      </x:c>
      <x:c r="O1" s="56" t="str">
        <x:v>Updated At</x:v>
      </x:c>
      <x:c r="P1" s="55" t="str">
        <x:v>Applicability</x:v>
      </x:c>
      <x:c r="Q1" s="55" t="str">
        <x:v>Applicability Rationale</x:v>
      </x:c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/>
  </x:sheetData>
  <x:conditionalFormatting sqref="G2:G1500">
    <x:cfRule type="expression" dxfId="0" priority="1">
      <x:formula>G2="High"</x:formula>
    </x:cfRule>
    <x:cfRule type="expression" dxfId="1" priority="2">
      <x:formula>G2="Medium"</x:formula>
    </x:cfRule>
    <x:cfRule type="expression" dxfId="2" priority="3">
      <x:formula>G2="Low"</x:formula>
    </x:cfRule>
  </x:conditionalFormatting>
  <x:dataValidations count="2">
    <x:dataValidation type="list" sqref="G2:G1500">
      <x:formula1>"Not assessed,Low,Medium,High,N/A"</x:formula1>
    </x:dataValidation>
    <x:dataValidation type="list" sqref="N2:N1500">
      <x:formula1>"Open,Evidence needed,Mitigation required,Ready,Closed"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6d6ddae18147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54" hidden="0" customWidth="1"/>
    <x:col min="5" max="5" width="28" hidden="0" customWidth="1"/>
    <x:col min="6" max="6" width="16" hidden="0" customWidth="1"/>
    <x:col min="7" max="7" width="44" hidden="0" customWidth="1"/>
    <x:col min="8" max="8" width="44" hidden="0" customWidth="1"/>
    <x:col min="9" max="9" width="44" hidden="0" customWidth="1"/>
    <x:col min="10" max="10" width="30" hidden="0" customWidth="1"/>
    <x:col min="11" max="11" width="10" hidden="0" customWidth="1"/>
  </x:cols>
  <x:sheetData>
    <x:row r="1">
      <x:c r="A1" s="56" t="str">
        <x:v>Criterion ID</x:v>
      </x:c>
      <x:c r="B1" s="56" t="str">
        <x:v>Domain</x:v>
      </x:c>
      <x:c r="C1" s="56" t="str">
        <x:v>Criterion</x:v>
      </x:c>
      <x:c r="D1" s="56" t="str">
        <x:v>Assessment Question</x:v>
      </x:c>
      <x:c r="E1" s="56" t="str">
        <x:v>Primary Owner</x:v>
      </x:c>
      <x:c r="F1" s="56" t="str">
        <x:v>Critical Trigger</x:v>
      </x:c>
      <x:c r="G1" s="56" t="str">
        <x:v>Low (1) — evidence indicates</x:v>
      </x:c>
      <x:c r="H1" s="56" t="str">
        <x:v>Medium (2) — evidence indicates</x:v>
      </x:c>
      <x:c r="I1" s="56" t="str">
        <x:v>High (3) — evidence indicates</x:v>
      </x:c>
      <x:c r="J1" s="56" t="str">
        <x:v>Source Basis</x:v>
      </x:c>
      <x:c r="K1" s="56" t="str">
        <x:v>Sort Order</x:v>
      </x:c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>
      <x:c r="A2" s="55" t="inlineStr">
        <x:is>
          <x:t xml:space="preserve">C01</x:t>
        </x:is>
      </x:c>
      <x:c r="B2" s="55" t="inlineStr">
        <x:is>
          <x:t xml:space="preserve">Context &amp; Value</x:t>
        </x:is>
      </x:c>
      <x:c r="C2" s="55" t="inlineStr">
        <x:is>
          <x:t xml:space="preserve">Use case clarity</x:t>
        </x:is>
      </x:c>
      <x:c r="D2" s="55" t="inlineStr">
        <x:is>
          <x:t xml:space="preserve">Is the intended BUV purpose specific, legitimate and documented, including what the AI will and will not do?</x:t>
        </x:is>
      </x:c>
      <x:c r="E2" s="55" t="inlineStr">
        <x:is>
          <x:t xml:space="preserve">Business / Academic Sponsor</x:t>
        </x:is>
      </x:c>
      <x:c r="F2" s="55" t="inlineStr">
        <x:is>
          <x:t xml:space="preserve">No</x:t>
        </x:is>
      </x:c>
      <x:c r="G2" s="55" t="inlineStr">
        <x:is>
          <x:t xml:space="preserve">Purpose, users and boundaries are specific and documented.</x:t>
        </x:is>
      </x:c>
      <x:c r="H2" s="55" t="inlineStr">
        <x:is>
          <x:t xml:space="preserve">Purpose is partly defined or important assumptions remain.</x:t>
        </x:is>
      </x:c>
      <x:c r="I2" s="55" t="inlineStr">
        <x:is>
          <x:t xml:space="preserve">Purpose is vague, conflicting or likely to expand beyond the assessed scope.</x:t>
        </x:is>
      </x:c>
      <x:c r="J2" s="55" t="inlineStr">
        <x:is>
          <x:t xml:space="preserve">Policy III, IV; Guideline §4.2</x:t>
        </x:is>
      </x:c>
      <x:c r="K2" s="55">
        <x:v>1</x:v>
      </x:c>
    </x:row>
    <x:row r="3">
      <x:c r="A3" s="55" t="inlineStr">
        <x:is>
          <x:t xml:space="preserve">C02</x:t>
        </x:is>
      </x:c>
      <x:c r="B3" s="55" t="inlineStr">
        <x:is>
          <x:t xml:space="preserve">Context &amp; Value</x:t>
        </x:is>
      </x:c>
      <x:c r="C3" s="55" t="inlineStr">
        <x:is>
          <x:t xml:space="preserve">Expected value / necessity</x:t>
        </x:is>
      </x:c>
      <x:c r="D3" s="55" t="inlineStr">
        <x:is>
          <x:t xml:space="preserve">Is there a credible teaching, research, professional or operational benefit, and is AI an appropriate solution?</x:t>
        </x:is>
      </x:c>
      <x:c r="E3" s="55" t="inlineStr">
        <x:is>
          <x:t xml:space="preserve">Business / Academic Sponsor</x:t>
        </x:is>
      </x:c>
      <x:c r="F3" s="55" t="inlineStr">
        <x:is>
          <x:t xml:space="preserve">No</x:t>
        </x:is>
      </x:c>
      <x:c r="G3" s="55" t="inlineStr">
        <x:is>
          <x:t xml:space="preserve">Benefit is clear, proportionate and evidenced.</x:t>
        </x:is>
      </x:c>
      <x:c r="H3" s="55" t="inlineStr">
        <x:is>
          <x:t xml:space="preserve">Benefit is plausible but evidence or alternatives are incomplete.</x:t>
        </x:is>
      </x:c>
      <x:c r="I3" s="55" t="inlineStr">
        <x:is>
          <x:t xml:space="preserve">Little credible value, or AI adds material risk without a clear need.</x:t>
        </x:is>
      </x:c>
      <x:c r="J3" s="55" t="inlineStr">
        <x:is>
          <x:t xml:space="preserve">Policy I, III; NIST MAP/MANAGE concept</x:t>
        </x:is>
      </x:c>
      <x:c r="K3" s="55">
        <x:v>2</x:v>
      </x:c>
    </x:row>
    <x:row r="4">
      <x:c r="A4" s="55" t="inlineStr">
        <x:is>
          <x:t xml:space="preserve">C03</x:t>
        </x:is>
      </x:c>
      <x:c r="B4" s="55" t="inlineStr">
        <x:is>
          <x:t xml:space="preserve">Context &amp; Value</x:t>
        </x:is>
      </x:c>
      <x:c r="C4" s="55" t="inlineStr">
        <x:is>
          <x:t xml:space="preserve">Users, scale and deployment scope</x:t>
        </x:is>
      </x:c>
      <x:c r="D4" s="55" t="inlineStr">
        <x:is>
          <x:t xml:space="preserve">Are user groups, scale, geography and deployment boundaries clearly defined?</x:t>
        </x:is>
      </x:c>
      <x:c r="E4" s="55" t="inlineStr">
        <x:is>
          <x:t xml:space="preserve">Business / Academic Sponsor</x:t>
        </x:is>
      </x:c>
      <x:c r="F4" s="55" t="inlineStr">
        <x:is>
          <x:t xml:space="preserve">No</x:t>
        </x:is>
      </x:c>
      <x:c r="G4" s="55" t="inlineStr">
        <x:is>
          <x:t xml:space="preserve">Users and scale are bounded and appropriate.</x:t>
        </x:is>
      </x:c>
      <x:c r="H4" s="55" t="inlineStr">
        <x:is>
          <x:t xml:space="preserve">Some scope is uncertain or likely to expand.</x:t>
        </x:is>
      </x:c>
      <x:c r="I4" s="55" t="inlineStr">
        <x:is>
          <x:t xml:space="preserve">Institution-wide or undefined scale without governance or ownership.</x:t>
        </x:is>
      </x:c>
      <x:c r="J4" s="55" t="inlineStr">
        <x:is>
          <x:t xml:space="preserve">Policy V, VIII; Guideline §5.1</x:t>
        </x:is>
      </x:c>
      <x:c r="K4" s="55">
        <x:v>3</x:v>
      </x:c>
    </x:row>
    <x:row r="5">
      <x:c r="A5" s="55" t="inlineStr">
        <x:is>
          <x:t xml:space="preserve">C04</x:t>
        </x:is>
      </x:c>
      <x:c r="B5" s="55" t="inlineStr">
        <x:is>
          <x:t xml:space="preserve">Data &amp; Privacy</x:t>
        </x:is>
      </x:c>
      <x:c r="C5" s="55" t="inlineStr">
        <x:is>
          <x:t xml:space="preserve">Information classification fit</x:t>
        </x:is>
      </x:c>
      <x:c r="D5" s="55" t="inlineStr">
        <x:is>
          <x:t xml:space="preserve">Is the proposed service authorised for the BUV information classes it will receive?</x:t>
        </x:is>
      </x:c>
      <x:c r="E5" s="55" t="inlineStr">
        <x:is>
          <x:t xml:space="preserve">Data Owner / Privacy</x:t>
        </x:is>
      </x:c>
      <x:c r="F5" s="55" t="inlineStr">
        <x:is>
          <x:t xml:space="preserve">Yes</x:t>
        </x:is>
      </x:c>
      <x:c r="G5" s="55" t="inlineStr">
        <x:is>
          <x:t xml:space="preserve">Only permitted data classes are used in an authorised environment.</x:t>
        </x:is>
      </x:c>
      <x:c r="H5" s="55" t="inlineStr">
        <x:is>
          <x:t xml:space="preserve">Some non-public data is involved with controls still being confirmed.</x:t>
        </x:is>
      </x:c>
      <x:c r="I5" s="55" t="inlineStr">
        <x:is>
          <x:t xml:space="preserve">Confidential/Restricted data is proposed in an unassessed or unauthorised environment.</x:t>
        </x:is>
      </x:c>
      <x:c r="J5" s="55" t="inlineStr">
        <x:is>
          <x:t xml:space="preserve">Policy VI; Guideline §4.1, §5</x:t>
        </x:is>
      </x:c>
      <x:c r="K5" s="55">
        <x:v>4</x:v>
      </x:c>
    </x:row>
    <x:row r="6">
      <x:c r="A6" s="55" t="inlineStr">
        <x:is>
          <x:t xml:space="preserve">C05</x:t>
        </x:is>
      </x:c>
      <x:c r="B6" s="55" t="inlineStr">
        <x:is>
          <x:t xml:space="preserve">Data &amp; Privacy</x:t>
        </x:is>
      </x:c>
      <x:c r="C6" s="55" t="inlineStr">
        <x:is>
          <x:t xml:space="preserve">Personal data and lawful processing</x:t>
        </x:is>
      </x:c>
      <x:c r="D6" s="55" t="inlineStr">
        <x:is>
          <x:t xml:space="preserve">Are personal-data purpose, lawful basis, minimisation and required privacy assessments addressed?</x:t>
        </x:is>
      </x:c>
      <x:c r="E6" s="55" t="inlineStr">
        <x:is>
          <x:t xml:space="preserve">Privacy / Data Protection / Legal</x:t>
        </x:is>
      </x:c>
      <x:c r="F6" s="55" t="inlineStr">
        <x:is>
          <x:t xml:space="preserve">Yes</x:t>
        </x:is>
      </x:c>
      <x:c r="G6" s="55" t="inlineStr">
        <x:is>
          <x:t xml:space="preserve">No personal data, or authorised processing is documented.</x:t>
        </x:is>
      </x:c>
      <x:c r="H6" s="55" t="inlineStr">
        <x:is>
          <x:t xml:space="preserve">Basic personal data with incomplete evidence or pending privacy review.</x:t>
        </x:is>
      </x:c>
      <x:c r="I6" s="55" t="inlineStr">
        <x:is>
          <x:t xml:space="preserve">Sensitive/large-scale personal data or unclear lawful basis / assessment.</x:t>
        </x:is>
      </x:c>
      <x:c r="J6" s="55" t="inlineStr">
        <x:is>
          <x:t xml:space="preserve">Policy VI, VII; Guideline §4.2</x:t>
        </x:is>
      </x:c>
      <x:c r="K6" s="55">
        <x:v>5</x:v>
      </x:c>
    </x:row>
    <x:row r="7">
      <x:c r="A7" s="55" t="inlineStr">
        <x:is>
          <x:t xml:space="preserve">C06</x:t>
        </x:is>
      </x:c>
      <x:c r="B7" s="55" t="inlineStr">
        <x:is>
          <x:t xml:space="preserve">Data &amp; Privacy</x:t>
        </x:is>
      </x:c>
      <x:c r="C7" s="55" t="inlineStr">
        <x:is>
          <x:t xml:space="preserve">Retention, deletion and vendor training</x:t>
        </x:is>
      </x:c>
      <x:c r="D7" s="55" t="inlineStr">
        <x:is>
          <x:t xml:space="preserve">Are prompt/file/output retention, deletion and model-training/reuse terms acceptable for the assessed use?</x:t>
        </x:is>
      </x:c>
      <x:c r="E7" s="55" t="inlineStr">
        <x:is>
          <x:t xml:space="preserve">Privacy / Legal / ICT</x:t>
        </x:is>
      </x:c>
      <x:c r="F7" s="55" t="inlineStr">
        <x:is>
          <x:t xml:space="preserve">Yes</x:t>
        </x:is>
      </x:c>
      <x:c r="G7" s="55" t="inlineStr">
        <x:is>
          <x:t xml:space="preserve">Terms are clear; no unauthorised training/reuse; deletion/retention aligns with BUV needs.</x:t>
        </x:is>
      </x:c>
      <x:c r="H7" s="55" t="inlineStr">
        <x:is>
          <x:t xml:space="preserve">Terms are partly clear or configurable controls need confirmation.</x:t>
        </x:is>
      </x:c>
      <x:c r="I7" s="55" t="inlineStr">
        <x:is>
          <x:t xml:space="preserve">Vendor may train/reuse protected content, retention is uncontrolled, or deletion commitments are inadequate.</x:t>
        </x:is>
      </x:c>
      <x:c r="J7" s="55" t="inlineStr">
        <x:is>
          <x:t xml:space="preserve">Policy VI, VIII; Guideline §7</x:t>
        </x:is>
      </x:c>
      <x:c r="K7" s="55">
        <x:v>6</x:v>
      </x:c>
    </x:row>
    <x:row r="8">
      <x:c r="A8" s="55" t="inlineStr">
        <x:is>
          <x:t xml:space="preserve">C07</x:t>
        </x:is>
      </x:c>
      <x:c r="B8" s="55" t="inlineStr">
        <x:is>
          <x:t xml:space="preserve">Data &amp; Privacy</x:t>
        </x:is>
      </x:c>
      <x:c r="C8" s="55" t="inlineStr">
        <x:is>
          <x:t xml:space="preserve">Data location, transfers and subprocessors</x:t>
        </x:is>
      </x:c>
      <x:c r="D8" s="55" t="inlineStr">
        <x:is>
          <x:t xml:space="preserve">Are data locations, cross-border processing and subprocessors known and acceptable?</x:t>
        </x:is>
      </x:c>
      <x:c r="E8" s="55" t="inlineStr">
        <x:is>
          <x:t xml:space="preserve">Privacy / Legal</x:t>
        </x:is>
      </x:c>
      <x:c r="F8" s="55" t="inlineStr">
        <x:is>
          <x:t xml:space="preserve">Conditional</x:t>
        </x:is>
      </x:c>
      <x:c r="G8" s="55" t="inlineStr">
        <x:is>
          <x:t xml:space="preserve">Locations/transfers/subprocessors are documented and acceptable.</x:t>
        </x:is>
      </x:c>
      <x:c r="H8" s="55" t="inlineStr">
        <x:is>
          <x:t xml:space="preserve">Some details remain pending or contract controls are still being finalised.</x:t>
        </x:is>
      </x:c>
      <x:c r="I8" s="55" t="inlineStr">
        <x:is>
          <x:t xml:space="preserve">Material locations/transfers/subprocessors are unknown or unacceptable.</x:t>
        </x:is>
      </x:c>
      <x:c r="J8" s="55" t="inlineStr">
        <x:is>
          <x:t xml:space="preserve">Policy VIII; Guideline §7</x:t>
        </x:is>
      </x:c>
      <x:c r="K8" s="55">
        <x:v>7</x:v>
      </x:c>
    </x:row>
    <x:row r="9">
      <x:c r="A9" s="55" t="inlineStr">
        <x:is>
          <x:t xml:space="preserve">C08</x:t>
        </x:is>
      </x:c>
      <x:c r="B9" s="55" t="inlineStr">
        <x:is>
          <x:t xml:space="preserve">Security &amp; Integration</x:t>
        </x:is>
      </x:c>
      <x:c r="C9" s="55" t="inlineStr">
        <x:is>
          <x:t xml:space="preserve">Authentication and account model</x:t>
        </x:is>
      </x:c>
      <x:c r="D9" s="55" t="inlineStr">
        <x:is>
          <x:t xml:space="preserve">Does the service support an appropriate institutional account/tenant model, MFA/SSO and secure authentication?</x:t>
        </x:is>
      </x:c>
      <x:c r="E9" s="55" t="inlineStr">
        <x:is>
          <x:t xml:space="preserve">ICT / Cybersecurity</x:t>
        </x:is>
      </x:c>
      <x:c r="F9" s="55" t="inlineStr">
        <x:is>
          <x:t xml:space="preserve">Yes</x:t>
        </x:is>
      </x:c>
      <x:c r="G9" s="55" t="inlineStr">
        <x:is>
          <x:t xml:space="preserve">Institutional account/tenant with proportionate MFA/SSO and admin controls.</x:t>
        </x:is>
      </x:c>
      <x:c r="H9" s="55" t="inlineStr">
        <x:is>
          <x:t xml:space="preserve">MFA exists but account model or SSO is limited.</x:t>
        </x:is>
      </x:c>
      <x:c r="I9" s="55" t="inlineStr">
        <x:is>
          <x:t xml:space="preserve">Weak authentication, unmanaged consumer accounts for controlled use, or shared credentials.</x:t>
        </x:is>
      </x:c>
      <x:c r="J9" s="55" t="inlineStr">
        <x:is>
          <x:t xml:space="preserve">Policy VI; Guideline §5</x:t>
        </x:is>
      </x:c>
      <x:c r="K9" s="55">
        <x:v>8</x:v>
      </x:c>
    </x:row>
    <x:row r="10">
      <x:c r="A10" s="55" t="inlineStr">
        <x:is>
          <x:t xml:space="preserve">C09</x:t>
        </x:is>
      </x:c>
      <x:c r="B10" s="55" t="inlineStr">
        <x:is>
          <x:t xml:space="preserve">Security &amp; Integration</x:t>
        </x:is>
      </x:c>
      <x:c r="C10" s="55" t="inlineStr">
        <x:is>
          <x:t xml:space="preserve">Role-based access and administration</x:t>
        </x:is>
      </x:c>
      <x:c r="D10" s="55" t="inlineStr">
        <x:is>
          <x:t xml:space="preserve">Are RBAC, least privilege, admin segregation and access revocation adequate?</x:t>
        </x:is>
      </x:c>
      <x:c r="E10" s="55" t="inlineStr">
        <x:is>
          <x:t xml:space="preserve">ICT / Cybersecurity</x:t>
        </x:is>
      </x:c>
      <x:c r="F10" s="55" t="inlineStr">
        <x:is>
          <x:t xml:space="preserve">Yes</x:t>
        </x:is>
      </x:c>
      <x:c r="G10" s="55" t="inlineStr">
        <x:is>
          <x:t xml:space="preserve">Granular roles, least privilege and revocation are available and configured.</x:t>
        </x:is>
      </x:c>
      <x:c r="H10" s="55" t="inlineStr">
        <x:is>
          <x:t xml:space="preserve">Controls exist but are coarse or partly manual.</x:t>
        </x:is>
      </x:c>
      <x:c r="I10" s="55" t="inlineStr">
        <x:is>
          <x:t xml:space="preserve">Excessive privileges, weak admin separation or no reliable revocation.</x:t>
        </x:is>
      </x:c>
      <x:c r="J10" s="55" t="inlineStr">
        <x:is>
          <x:t xml:space="preserve">Policy VI, XII; Guideline §7</x:t>
        </x:is>
      </x:c>
      <x:c r="K10" s="55">
        <x:v>9</x:v>
      </x:c>
    </x:row>
    <x:row r="11">
      <x:c r="A11" s="55" t="inlineStr">
        <x:is>
          <x:t xml:space="preserve">C10</x:t>
        </x:is>
      </x:c>
      <x:c r="B11" s="55" t="inlineStr">
        <x:is>
          <x:t xml:space="preserve">Security &amp; Integration</x:t>
        </x:is>
      </x:c>
      <x:c r="C11" s="55" t="inlineStr">
        <x:is>
          <x:t xml:space="preserve">Logging and monitoring</x:t>
        </x:is>
      </x:c>
      <x:c r="D11" s="55" t="inlineStr">
        <x:is>
          <x:t xml:space="preserve">Can BUV obtain proportionate access, security and incident logs without unnecessary access to confidential content?</x:t>
        </x:is>
      </x:c>
      <x:c r="E11" s="55" t="inlineStr">
        <x:is>
          <x:t xml:space="preserve">ICT / Cybersecurity</x:t>
        </x:is>
      </x:c>
      <x:c r="F11" s="55" t="inlineStr">
        <x:is>
          <x:t xml:space="preserve">No</x:t>
        </x:is>
      </x:c>
      <x:c r="G11" s="55" t="inlineStr">
        <x:is>
          <x:t xml:space="preserve">Useful audit/security logs exist and can be governed appropriately.</x:t>
        </x:is>
      </x:c>
      <x:c r="H11" s="55" t="inlineStr">
        <x:is>
          <x:t xml:space="preserve">Partial logging or short retention limits investigation.</x:t>
        </x:is>
      </x:c>
      <x:c r="I11" s="55" t="inlineStr">
        <x:is>
          <x:t xml:space="preserve">Little/no useful logging, or monitoring design creates unacceptable privacy/confidentiality concerns.</x:t>
        </x:is>
      </x:c>
      <x:c r="J11" s="55" t="inlineStr">
        <x:is>
          <x:t xml:space="preserve">Policy XII; Guideline §7</x:t>
        </x:is>
      </x:c>
      <x:c r="K11" s="55">
        <x:v>10</x:v>
      </x:c>
    </x:row>
    <x:row r="12">
      <x:c r="A12" s="55" t="inlineStr">
        <x:is>
          <x:t xml:space="preserve">C11</x:t>
        </x:is>
      </x:c>
      <x:c r="B12" s="55" t="inlineStr">
        <x:is>
          <x:t xml:space="preserve">Security &amp; Integration</x:t>
        </x:is>
      </x:c>
      <x:c r="C12" s="55" t="inlineStr">
        <x:is>
          <x:t xml:space="preserve">Connectors, APIs and permissions</x:t>
        </x:is>
      </x:c>
      <x:c r="D12" s="55" t="inlineStr">
        <x:is>
          <x:t xml:space="preserve">Are integrations, permissions, data flows, tokens and revocation controlled before production connection?</x:t>
        </x:is>
      </x:c>
      <x:c r="E12" s="55" t="inlineStr">
        <x:is>
          <x:t xml:space="preserve">ICT / Cybersecurity</x:t>
        </x:is>
      </x:c>
      <x:c r="F12" s="55" t="inlineStr">
        <x:is>
          <x:t xml:space="preserve">Yes</x:t>
        </x:is>
      </x:c>
      <x:c r="G12" s="55" t="inlineStr">
        <x:is>
          <x:t xml:space="preserve">No integration, or assessed least-privilege integration with documented data flows.</x:t>
        </x:is>
      </x:c>
      <x:c r="H12" s="55" t="inlineStr">
        <x:is>
          <x:t xml:space="preserve">Read-only/limited integration with some controls pending.</x:t>
        </x:is>
      </x:c>
      <x:c r="I12" s="55" t="inlineStr">
        <x:is>
          <x:t xml:space="preserve">Unassessed access to BUV systems/data, privileged scopes or unclear revocation.</x:t>
        </x:is>
      </x:c>
      <x:c r="J12" s="55" t="inlineStr">
        <x:is>
          <x:t xml:space="preserve">Policy VI; Guideline §4.2, §5</x:t>
        </x:is>
      </x:c>
      <x:c r="K12" s="55">
        <x:v>11</x:v>
      </x:c>
    </x:row>
    <x:row r="13">
      <x:c r="A13" s="55" t="inlineStr">
        <x:is>
          <x:t xml:space="preserve">C12</x:t>
        </x:is>
      </x:c>
      <x:c r="B13" s="55" t="inlineStr">
        <x:is>
          <x:t xml:space="preserve">Security &amp; Integration</x:t>
        </x:is>
      </x:c>
      <x:c r="C13" s="55" t="inlineStr">
        <x:is>
          <x:t xml:space="preserve">Autonomous / agentic actions</x:t>
        </x:is>
      </x:c>
      <x:c r="D13" s="55" t="inlineStr">
        <x:is>
          <x:t xml:space="preserve">Can the AI send, change, delete, approve, publish, purchase or change access, and are confirmation/rollback controls adequate?</x:t>
        </x:is>
      </x:c>
      <x:c r="E13" s="55" t="inlineStr">
        <x:is>
          <x:t xml:space="preserve">ICT / Cybersecurity + Process Owner</x:t>
        </x:is>
      </x:c>
      <x:c r="F13" s="55" t="inlineStr">
        <x:is>
          <x:t xml:space="preserve">Yes</x:t>
        </x:is>
      </x:c>
      <x:c r="G13" s="55" t="inlineStr">
        <x:is>
          <x:t xml:space="preserve">No consequential action, or human confirmation and rollback are tested.</x:t>
        </x:is>
      </x:c>
      <x:c r="H13" s="55" t="inlineStr">
        <x:is>
          <x:t xml:space="preserve">Limited actions with partial safeguards or pilot-only controls.</x:t>
        </x:is>
      </x:c>
      <x:c r="I13" s="55" t="inlineStr">
        <x:is>
          <x:t xml:space="preserve">Uncontrolled autonomous/privileged actions or no practical containment/rollback.</x:t>
        </x:is>
      </x:c>
      <x:c r="J13" s="55" t="inlineStr">
        <x:is>
          <x:t xml:space="preserve">Policy VI, X; Guideline §4.2</x:t>
        </x:is>
      </x:c>
      <x:c r="K13" s="55">
        <x:v>12</x:v>
      </x:c>
    </x:row>
    <x:row r="14">
      <x:c r="A14" s="55" t="inlineStr">
        <x:is>
          <x:t xml:space="preserve">C13</x:t>
        </x:is>
      </x:c>
      <x:c r="B14" s="55" t="inlineStr">
        <x:is>
          <x:t xml:space="preserve">Security &amp; Integration</x:t>
        </x:is>
      </x:c>
      <x:c r="C14" s="55" t="inlineStr">
        <x:is>
          <x:t xml:space="preserve">Security assurance and incident readiness</x:t>
        </x:is>
      </x:c>
      <x:c r="D14" s="55" t="inlineStr">
        <x:is>
          <x:t xml:space="preserve">Is supplier security evidence credible and is there a clear incident-response route?</x:t>
        </x:is>
      </x:c>
      <x:c r="E14" s="55" t="inlineStr">
        <x:is>
          <x:t xml:space="preserve">ICT / Cybersecurity</x:t>
        </x:is>
      </x:c>
      <x:c r="F14" s="55" t="inlineStr">
        <x:is>
          <x:t xml:space="preserve">Yes</x:t>
        </x:is>
      </x:c>
      <x:c r="G14" s="55" t="inlineStr">
        <x:is>
          <x:t xml:space="preserve">Assurance is current and incident responsibilities/contacts are clear.</x:t>
        </x:is>
      </x:c>
      <x:c r="H14" s="55" t="inlineStr">
        <x:is>
          <x:t xml:space="preserve">Some assurance evidence is pending or incident terms are incomplete.</x:t>
        </x:is>
      </x:c>
      <x:c r="I14" s="55" t="inlineStr">
        <x:is>
          <x:t xml:space="preserve">Serious assurance gaps, no credible incident response, or unresolved material vulnerabilities.</x:t>
        </x:is>
      </x:c>
      <x:c r="J14" s="55" t="inlineStr">
        <x:is>
          <x:t xml:space="preserve">Policy VIII, XI; Guideline §11</x:t>
        </x:is>
      </x:c>
      <x:c r="K14" s="55">
        <x:v>13</x:v>
      </x:c>
    </x:row>
    <x:row r="15">
      <x:c r="A15" s="55" t="inlineStr">
        <x:is>
          <x:t xml:space="preserve">C14</x:t>
        </x:is>
      </x:c>
      <x:c r="B15" s="55" t="inlineStr">
        <x:is>
          <x:t xml:space="preserve">AI Risk &amp; Human Oversight</x:t>
        </x:is>
      </x:c>
      <x:c r="C15" s="55" t="inlineStr">
        <x:is>
          <x:t xml:space="preserve">Output reliability and error risk</x:t>
        </x:is>
      </x:c>
      <x:c r="D15" s="55" t="inlineStr">
        <x:is>
          <x:t xml:space="preserve">Are material outputs sufficiently reliable for the intended use, with validation appropriate to impact?</x:t>
        </x:is>
      </x:c>
      <x:c r="E15" s="55" t="inlineStr">
        <x:is>
          <x:t xml:space="preserve">Use-case Owner / ICT where technical</x:t>
        </x:is>
      </x:c>
      <x:c r="F15" s="55" t="inlineStr">
        <x:is>
          <x:t xml:space="preserve">No</x:t>
        </x:is>
      </x:c>
      <x:c r="G15" s="55" t="inlineStr">
        <x:is>
          <x:t xml:space="preserve">Known limitations; outputs are verified and suitable for low-impact use.</x:t>
        </x:is>
      </x:c>
      <x:c r="H15" s="55" t="inlineStr">
        <x:is>
          <x:t xml:space="preserve">Meaningful error/hallucination risk requires controls and restricted use.</x:t>
        </x:is>
      </x:c>
      <x:c r="I15" s="55" t="inlineStr">
        <x:is>
          <x:t xml:space="preserve">Output unreliability could materially harm people or BUV and cannot be adequately controlled.</x:t>
        </x:is>
      </x:c>
      <x:c r="J15" s="55" t="inlineStr">
        <x:is>
          <x:t xml:space="preserve">Guideline §8; Policy IX</x:t>
        </x:is>
      </x:c>
      <x:c r="K15" s="55">
        <x:v>14</x:v>
      </x:c>
    </x:row>
    <x:row r="16">
      <x:c r="A16" s="55" t="inlineStr">
        <x:is>
          <x:t xml:space="preserve">C15</x:t>
        </x:is>
      </x:c>
      <x:c r="B16" s="55" t="inlineStr">
        <x:is>
          <x:t xml:space="preserve">AI Risk &amp; Human Oversight</x:t>
        </x:is>
      </x:c>
      <x:c r="C16" s="55" t="inlineStr">
        <x:is>
          <x:t xml:space="preserve">Bias and fairness</x:t>
        </x:is>
      </x:c>
      <x:c r="D16" s="55" t="inlineStr">
        <x:is>
          <x:t xml:space="preserve">Are bias, unfairness and proxy-variable risks assessed where people or groups may be affected?</x:t>
        </x:is>
      </x:c>
      <x:c r="E16" s="55" t="inlineStr">
        <x:is>
          <x:t xml:space="preserve">Academic / Business Owner + Privacy/Legal</x:t>
        </x:is>
      </x:c>
      <x:c r="F16" s="55" t="inlineStr">
        <x:is>
          <x:t xml:space="preserve">Conditional</x:t>
        </x:is>
      </x:c>
      <x:c r="G16" s="55" t="inlineStr">
        <x:is>
          <x:t xml:space="preserve">No material people-impact, or fairness controls/testing are proportionate and adequate.</x:t>
        </x:is>
      </x:c>
      <x:c r="H16" s="55" t="inlineStr">
        <x:is>
          <x:t xml:space="preserve">Potential group impacts exist and need further evaluation/monitoring.</x:t>
        </x:is>
      </x:c>
      <x:c r="I16" s="55" t="inlineStr">
        <x:is>
          <x:t xml:space="preserve">Material unfair/discriminatory impact is plausible or evidenced without adequate mitigation.</x:t>
        </x:is>
      </x:c>
      <x:c r="J16" s="55" t="inlineStr">
        <x:is>
          <x:t xml:space="preserve">Policy VII; Guideline §4.2, §8</x:t>
        </x:is>
      </x:c>
      <x:c r="K16" s="55">
        <x:v>15</x:v>
      </x:c>
    </x:row>
    <x:row r="17">
      <x:c r="A17" s="55" t="inlineStr">
        <x:is>
          <x:t xml:space="preserve">C16</x:t>
        </x:is>
      </x:c>
      <x:c r="B17" s="55" t="inlineStr">
        <x:is>
          <x:t xml:space="preserve">AI Risk &amp; Human Oversight</x:t>
        </x:is>
      </x:c>
      <x:c r="C17" s="55" t="inlineStr">
        <x:is>
          <x:t xml:space="preserve">Explainability and contestability</x:t>
        </x:is>
      </x:c>
      <x:c r="D17" s="55" t="inlineStr">
        <x:is>
          <x:t xml:space="preserve">Can affected users/staff understand and challenge material AI-supported outcomes where needed?</x:t>
        </x:is>
      </x:c>
      <x:c r="E17" s="55" t="inlineStr">
        <x:is>
          <x:t xml:space="preserve">Academic / Business Owner</x:t>
        </x:is>
      </x:c>
      <x:c r="F17" s="55" t="inlineStr">
        <x:is>
          <x:t xml:space="preserve">Conditional</x:t>
        </x:is>
      </x:c>
      <x:c r="G17" s="55" t="inlineStr">
        <x:is>
          <x:t xml:space="preserve">Output is explainable enough for the use and can be challenged.</x:t>
        </x:is>
      </x:c>
      <x:c r="H17" s="55" t="inlineStr">
        <x:is>
          <x:t xml:space="preserve">Explanation is limited but human review can compensate.</x:t>
        </x:is>
      </x:c>
      <x:c r="I17" s="55" t="inlineStr">
        <x:is>
          <x:t xml:space="preserve">Opaque outcome materially drives decisions with no meaningful challenge route.</x:t>
        </x:is>
      </x:c>
      <x:c r="J17" s="55" t="inlineStr">
        <x:is>
          <x:t xml:space="preserve">Policy VII; Guideline §4.2</x:t>
        </x:is>
      </x:c>
      <x:c r="K17" s="55">
        <x:v>16</x:v>
      </x:c>
    </x:row>
    <x:row r="18">
      <x:c r="A18" s="55" t="inlineStr">
        <x:is>
          <x:t xml:space="preserve">C17</x:t>
        </x:is>
      </x:c>
      <x:c r="B18" s="55" t="inlineStr">
        <x:is>
          <x:t xml:space="preserve">AI Risk &amp; Human Oversight</x:t>
        </x:is>
      </x:c>
      <x:c r="C18" s="55" t="inlineStr">
        <x:is>
          <x:t xml:space="preserve">Meaningful human oversight</x:t>
        </x:is>
      </x:c>
      <x:c r="D18" s="55" t="inlineStr">
        <x:is>
          <x:t xml:space="preserve">Does an authorised person genuinely review, understand and retain power to change or stop consequential outcomes?</x:t>
        </x:is>
      </x:c>
      <x:c r="E18" s="55" t="inlineStr">
        <x:is>
          <x:t xml:space="preserve">Academic / Business Owner</x:t>
        </x:is>
      </x:c>
      <x:c r="F18" s="55" t="inlineStr">
        <x:is>
          <x:t xml:space="preserve">Yes</x:t>
        </x:is>
      </x:c>
      <x:c r="G18" s="55" t="inlineStr">
        <x:is>
          <x:t xml:space="preserve">Human review is real, informed and able to change/stop outcomes.</x:t>
        </x:is>
      </x:c>
      <x:c r="H18" s="55" t="inlineStr">
        <x:is>
          <x:t xml:space="preserve">Human review exists but may be rushed, procedural or over-reliant on AI.</x:t>
        </x:is>
      </x:c>
      <x:c r="I18" s="55" t="inlineStr">
        <x:is>
          <x:t xml:space="preserve">AI is effectively the sole/final decision-maker for consequential outcomes.</x:t>
        </x:is>
      </x:c>
      <x:c r="J18" s="55" t="inlineStr">
        <x:is>
          <x:t xml:space="preserve">Policy VII; Guideline §4.2</x:t>
        </x:is>
      </x:c>
      <x:c r="K18" s="55">
        <x:v>17</x:v>
      </x:c>
    </x:row>
    <x:row r="19">
      <x:c r="A19" s="55" t="inlineStr">
        <x:is>
          <x:t xml:space="preserve">C18</x:t>
        </x:is>
      </x:c>
      <x:c r="B19" s="55" t="inlineStr">
        <x:is>
          <x:t xml:space="preserve">AI Risk &amp; Human Oversight</x:t>
        </x:is>
      </x:c>
      <x:c r="C19" s="55" t="inlineStr">
        <x:is>
          <x:t xml:space="preserve">High-impact / statutory risk trigger</x:t>
        </x:is>
      </x:c>
      <x:c r="D19" s="55" t="inlineStr">
        <x:is>
          <x:t xml:space="preserve">Could the use fall into a statutory high-risk category or materially affect rights, academic outcomes, employment or access?</x:t>
        </x:is>
      </x:c>
      <x:c r="E19" s="55" t="inlineStr">
        <x:is>
          <x:t xml:space="preserve">Privacy / Legal + Relevant Institutional Owner</x:t>
        </x:is>
      </x:c>
      <x:c r="F19" s="55" t="inlineStr">
        <x:is>
          <x:t xml:space="preserve">Yes</x:t>
        </x:is>
      </x:c>
      <x:c r="G19" s="55" t="inlineStr">
        <x:is>
          <x:t xml:space="preserve">No known high-impact trigger, or required assessment/controls are complete.</x:t>
        </x:is>
      </x:c>
      <x:c r="H19" s="55" t="inlineStr">
        <x:is>
          <x:t xml:space="preserve">Possible trigger; legal/impact assessment is pending.</x:t>
        </x:is>
      </x:c>
      <x:c r="I19" s="55" t="inlineStr">
        <x:is>
          <x:t xml:space="preserve">Likely high-risk/consequential use proceeding without required specialist assessment/approval.</x:t>
        </x:is>
      </x:c>
      <x:c r="J19" s="55" t="inlineStr">
        <x:is>
          <x:t xml:space="preserve">Policy VII; Guideline §4.2</x:t>
        </x:is>
      </x:c>
      <x:c r="K19" s="55">
        <x:v>18</x:v>
      </x:c>
    </x:row>
    <x:row r="20">
      <x:c r="A20" s="55" t="inlineStr">
        <x:is>
          <x:t xml:space="preserve">C19</x:t>
        </x:is>
      </x:c>
      <x:c r="B20" s="55" t="inlineStr">
        <x:is>
          <x:t xml:space="preserve">Supplier &amp; Commercial</x:t>
        </x:is>
      </x:c>
      <x:c r="C20" s="55" t="inlineStr">
        <x:is>
          <x:t xml:space="preserve">Supplier maturity and assurance</x:t>
        </x:is>
      </x:c>
      <x:c r="D20" s="55" t="inlineStr">
        <x:is>
          <x:t xml:space="preserve">Does the supplier demonstrate credible operational/security maturity appropriate to the use?</x:t>
        </x:is>
      </x:c>
      <x:c r="E20" s="55" t="inlineStr">
        <x:is>
          <x:t xml:space="preserve">ICT / Procurement</x:t>
        </x:is>
      </x:c>
      <x:c r="F20" s="55" t="inlineStr">
        <x:is>
          <x:t xml:space="preserve">No</x:t>
        </x:is>
      </x:c>
      <x:c r="G20" s="55" t="inlineStr">
        <x:is>
          <x:t xml:space="preserve">Established assurance, transparent practices and support appropriate to risk.</x:t>
        </x:is>
      </x:c>
      <x:c r="H20" s="55" t="inlineStr">
        <x:is>
          <x:t xml:space="preserve">Some assurance gaps or limited track record; pilot/conditions may be suitable.</x:t>
        </x:is>
      </x:c>
      <x:c r="I20" s="55" t="inlineStr">
        <x:is>
          <x:t xml:space="preserve">Material uncertainty about security, operations, ownership or support.</x:t>
        </x:is>
      </x:c>
      <x:c r="J20" s="55" t="inlineStr">
        <x:is>
          <x:t xml:space="preserve">Policy VIII</x:t>
        </x:is>
      </x:c>
      <x:c r="K20" s="55">
        <x:v>19</x:v>
      </x:c>
    </x:row>
    <x:row r="21">
      <x:c r="A21" s="55" t="inlineStr">
        <x:is>
          <x:t xml:space="preserve">C20</x:t>
        </x:is>
      </x:c>
      <x:c r="B21" s="55" t="inlineStr">
        <x:is>
          <x:t xml:space="preserve">Supplier &amp; Commercial</x:t>
        </x:is>
      </x:c>
      <x:c r="C21" s="55" t="inlineStr">
        <x:is>
          <x:t xml:space="preserve">IP, ownership and content terms</x:t>
        </x:is>
      </x:c>
      <x:c r="D21" s="55" t="inlineStr">
        <x:is>
          <x:t xml:space="preserve">Are BUV, staff, student and third-party IP/confidentiality rights adequately protected?</x:t>
        </x:is>
      </x:c>
      <x:c r="E21" s="55" t="inlineStr">
        <x:is>
          <x:t xml:space="preserve">Legal / Contract Owner</x:t>
        </x:is>
      </x:c>
      <x:c r="F21" s="55" t="inlineStr">
        <x:is>
          <x:t xml:space="preserve">Yes</x:t>
        </x:is>
      </x:c>
      <x:c r="G21" s="55" t="inlineStr">
        <x:is>
          <x:t xml:space="preserve">Terms are clear and compatible with BUV obligations.</x:t>
        </x:is>
      </x:c>
      <x:c r="H21" s="55" t="inlineStr">
        <x:is>
          <x:t xml:space="preserve">Some licensing/IP clauses need clarification or restrictions.</x:t>
        </x:is>
      </x:c>
      <x:c r="I21" s="55" t="inlineStr">
        <x:is>
          <x:t xml:space="preserve">Terms create unacceptable ownership, confidentiality or reuse risk.</x:t>
        </x:is>
      </x:c>
      <x:c r="J21" s="55" t="inlineStr">
        <x:is>
          <x:t xml:space="preserve">Policy VIII, X; Guideline §7, §8</x:t>
        </x:is>
      </x:c>
      <x:c r="K21" s="55">
        <x:v>20</x:v>
      </x:c>
    </x:row>
    <x:row r="22">
      <x:c r="A22" s="55" t="inlineStr">
        <x:is>
          <x:t xml:space="preserve">C21</x:t>
        </x:is>
      </x:c>
      <x:c r="B22" s="55" t="inlineStr">
        <x:is>
          <x:t xml:space="preserve">Supplier &amp; Commercial</x:t>
        </x:is>
      </x:c>
      <x:c r="C22" s="55" t="inlineStr">
        <x:is>
          <x:t xml:space="preserve">Contract, SLA and service continuity</x:t>
        </x:is>
      </x:c>
      <x:c r="D22" s="55" t="inlineStr">
        <x:is>
          <x:t xml:space="preserve">Are service levels, change notifications, support and continuity arrangements proportionate to reliance?</x:t>
        </x:is>
      </x:c>
      <x:c r="E22" s="55" t="inlineStr">
        <x:is>
          <x:t xml:space="preserve">Procurement / Service Owner / ICT</x:t>
        </x:is>
      </x:c>
      <x:c r="F22" s="55" t="inlineStr">
        <x:is>
          <x:t xml:space="preserve">No</x:t>
        </x:is>
      </x:c>
      <x:c r="G22" s="55" t="inlineStr">
        <x:is>
          <x:t xml:space="preserve">Appropriate SLA/support and continuity route exist.</x:t>
        </x:is>
      </x:c>
      <x:c r="H22" s="55" t="inlineStr">
        <x:is>
          <x:t xml:space="preserve">Some service commitments are weak; mitigations or pilot limits are needed.</x:t>
        </x:is>
      </x:c>
      <x:c r="I22" s="55" t="inlineStr">
        <x:is>
          <x:t xml:space="preserve">Critical reliance with weak/no SLA, support or continuity plan.</x:t>
        </x:is>
      </x:c>
      <x:c r="J22" s="55" t="inlineStr">
        <x:is>
          <x:t xml:space="preserve">Policy VIII; Guideline §10</x:t>
        </x:is>
      </x:c>
      <x:c r="K22" s="55">
        <x:v>21</x:v>
      </x:c>
    </x:row>
    <x:row r="23">
      <x:c r="A23" s="55" t="inlineStr">
        <x:is>
          <x:t xml:space="preserve">C22</x:t>
        </x:is>
      </x:c>
      <x:c r="B23" s="55" t="inlineStr">
        <x:is>
          <x:t xml:space="preserve">Supplier &amp; Commercial</x:t>
        </x:is>
      </x:c>
      <x:c r="C23" s="55" t="inlineStr">
        <x:is>
          <x:t xml:space="preserve">Exit, portability and lock-in</x:t>
        </x:is>
      </x:c>
      <x:c r="D23" s="55" t="inlineStr">
        <x:is>
          <x:t xml:space="preserve">Can BUV exit safely, retrieve/delete data, remove integrations and migrate if needed?</x:t>
        </x:is>
      </x:c>
      <x:c r="E23" s="55" t="inlineStr">
        <x:is>
          <x:t xml:space="preserve">Procurement / Service Owner / ICT</x:t>
        </x:is>
      </x:c>
      <x:c r="F23" s="55" t="inlineStr">
        <x:is>
          <x:t xml:space="preserve">No</x:t>
        </x:is>
      </x:c>
      <x:c r="G23" s="55" t="inlineStr">
        <x:is>
          <x:t xml:space="preserve">Exit, export/deletion and integration removal are feasible.</x:t>
        </x:is>
      </x:c>
      <x:c r="H23" s="55" t="inlineStr">
        <x:is>
          <x:t xml:space="preserve">Exit is possible but costly/manual or partially untested.</x:t>
        </x:is>
      </x:c>
      <x:c r="I23" s="55" t="inlineStr">
        <x:is>
          <x:t xml:space="preserve">Material lock-in, no reliable export/deletion, or unclear termination handling.</x:t>
        </x:is>
      </x:c>
      <x:c r="J23" s="55" t="inlineStr">
        <x:is>
          <x:t xml:space="preserve">Policy VIII</x:t>
        </x:is>
      </x:c>
      <x:c r="K23" s="55">
        <x:v>22</x:v>
      </x:c>
    </x:row>
    <x:row r="24">
      <x:c r="A24" s="55" t="inlineStr">
        <x:is>
          <x:t xml:space="preserve">C23</x:t>
        </x:is>
      </x:c>
      <x:c r="B24" s="55" t="inlineStr">
        <x:is>
          <x:t xml:space="preserve">Academic &amp; Research</x:t>
        </x:is>
      </x:c>
      <x:c r="C24" s="55" t="inlineStr">
        <x:is>
          <x:t xml:space="preserve">Academic / professional suitability</x:t>
        </x:is>
      </x:c>
      <x:c r="D24" s="55" t="inlineStr">
        <x:is>
          <x:t xml:space="preserve">Does the tool fit the educational, research or professional purpose without displacing the accountable human role?</x:t>
        </x:is>
      </x:c>
      <x:c r="E24" s="55" t="inlineStr">
        <x:is>
          <x:t xml:space="preserve">Academic / Business Owner</x:t>
        </x:is>
      </x:c>
      <x:c r="F24" s="55" t="inlineStr">
        <x:is>
          <x:t xml:space="preserve">No</x:t>
        </x:is>
      </x:c>
      <x:c r="G24" s="55" t="inlineStr">
        <x:is>
          <x:t xml:space="preserve">Clear fit and accountable use within approved scope.</x:t>
        </x:is>
      </x:c>
      <x:c r="H24" s="55" t="inlineStr">
        <x:is>
          <x:t xml:space="preserve">Potential value but pedagogy/workflow or role boundaries need conditions.</x:t>
        </x:is>
      </x:c>
      <x:c r="I24" s="55" t="inlineStr">
        <x:is>
          <x:t xml:space="preserve">Poor fit, undermines required professional/academic judgement or creates unacceptable dependency.</x:t>
        </x:is>
      </x:c>
      <x:c r="J24" s="55" t="inlineStr">
        <x:is>
          <x:t xml:space="preserve">Policy IV, IX; Guideline §3</x:t>
        </x:is>
      </x:c>
      <x:c r="K24" s="55">
        <x:v>23</x:v>
      </x:c>
    </x:row>
    <x:row r="25">
      <x:c r="A25" s="55" t="inlineStr">
        <x:is>
          <x:t xml:space="preserve">C24</x:t>
        </x:is>
      </x:c>
      <x:c r="B25" s="55" t="inlineStr">
        <x:is>
          <x:t xml:space="preserve">Academic &amp; Research</x:t>
        </x:is>
      </x:c>
      <x:c r="C25" s="55" t="inlineStr">
        <x:is>
          <x:t xml:space="preserve">Academic integrity and assessment security</x:t>
        </x:is>
      </x:c>
      <x:c r="D25" s="55" t="inlineStr">
        <x:is>
          <x:t xml:space="preserve">Does the use protect live assessment materials, marking integrity, student fairness and permitted AI-use rules?</x:t>
        </x:is>
      </x:c>
      <x:c r="E25" s="55" t="inlineStr">
        <x:is>
          <x:t xml:space="preserve">Academic Office / School</x:t>
        </x:is>
      </x:c>
      <x:c r="F25" s="55" t="inlineStr">
        <x:is>
          <x:t xml:space="preserve">Yes</x:t>
        </x:is>
      </x:c>
      <x:c r="G25" s="55" t="inlineStr">
        <x:is>
          <x:t xml:space="preserve">No live assessment risk, or authorised controls protect integrity.</x:t>
        </x:is>
      </x:c>
      <x:c r="H25" s="55" t="inlineStr">
        <x:is>
          <x:t xml:space="preserve">Assessment-related use needs explicit boundaries/communications.</x:t>
        </x:is>
      </x:c>
      <x:c r="I25" s="55" t="inlineStr">
        <x:is>
          <x:t xml:space="preserve">Live/secure assessment content or grading integrity is exposed without approved controls.</x:t>
        </x:is>
      </x:c>
      <x:c r="J25" s="55" t="inlineStr">
        <x:is>
          <x:t xml:space="preserve">Policy X; Guideline §3, §8</x:t>
        </x:is>
      </x:c>
      <x:c r="K25" s="55">
        <x:v>24</x:v>
      </x:c>
    </x:row>
    <x:row r="26">
      <x:c r="A26" s="55" t="inlineStr">
        <x:is>
          <x:t xml:space="preserve">C25</x:t>
        </x:is>
      </x:c>
      <x:c r="B26" s="55" t="inlineStr">
        <x:is>
          <x:t xml:space="preserve">Academic &amp; Research</x:t>
        </x:is>
      </x:c>
      <x:c r="C26" s="55" t="inlineStr">
        <x:is>
          <x:t xml:space="preserve">Research confidentiality / IP / NDA</x:t>
        </x:is>
      </x:c>
      <x:c r="D26" s="55" t="inlineStr">
        <x:is>
          <x:t xml:space="preserve">If unpublished or proprietary research is involved, is the Research Confidentiality Route and appropriate environment used?</x:t>
        </x:is>
      </x:c>
      <x:c r="E26" s="55" t="inlineStr">
        <x:is>
          <x:t xml:space="preserve">Research Owner / Legal / ICT</x:t>
        </x:is>
      </x:c>
      <x:c r="F26" s="55" t="inlineStr">
        <x:is>
          <x:t xml:space="preserve">Yes</x:t>
        </x:is>
      </x:c>
      <x:c r="G26" s="55" t="inlineStr">
        <x:is>
          <x:t xml:space="preserve">Not applicable, or approved research environment and contractual safeguards are in place.</x:t>
        </x:is>
      </x:c>
      <x:c r="H26" s="55" t="inlineStr">
        <x:is>
          <x:t xml:space="preserve">Research confidentiality applies and assurance is still being completed.</x:t>
        </x:is>
      </x:c>
      <x:c r="I26" s="55" t="inlineStr">
        <x:is>
          <x:t xml:space="preserve">Confidential/pre-publication research is processed through an unsuitable consumer/unassessed route.</x:t>
        </x:is>
      </x:c>
      <x:c r="J26" s="55" t="inlineStr">
        <x:is>
          <x:t xml:space="preserve">Policy VI; Guideline §7</x:t>
        </x:is>
      </x:c>
      <x:c r="K26" s="55">
        <x:v>25</x:v>
      </x:c>
    </x:row>
    <x:row r="27">
      <x:c r="A27" s="55" t="inlineStr">
        <x:is>
          <x:t xml:space="preserve">C26</x:t>
        </x:is>
      </x:c>
      <x:c r="B27" s="55" t="inlineStr">
        <x:is>
          <x:t xml:space="preserve">Academic &amp; Research</x:t>
        </x:is>
      </x:c>
      <x:c r="C27" s="55" t="inlineStr">
        <x:is>
          <x:t xml:space="preserve">Research ethics / human participants</x:t>
        </x:is>
      </x:c>
      <x:c r="D27" s="55" t="inlineStr">
        <x:is>
          <x:t xml:space="preserve">Are ethics, participant protection and related approvals addressed where applicable?</x:t>
        </x:is>
      </x:c>
      <x:c r="E27" s="55" t="inlineStr">
        <x:is>
          <x:t xml:space="preserve">Research / Ethics</x:t>
        </x:is>
      </x:c>
      <x:c r="F27" s="55" t="inlineStr">
        <x:is>
          <x:t xml:space="preserve">Yes</x:t>
        </x:is>
      </x:c>
      <x:c r="G27" s="55" t="inlineStr">
        <x:is>
          <x:t xml:space="preserve">Not applicable, or required ethics controls/approval are complete.</x:t>
        </x:is>
      </x:c>
      <x:c r="H27" s="55" t="inlineStr">
        <x:is>
          <x:t xml:space="preserve">Possible human-participant/ethics implications are under review.</x:t>
        </x:is>
      </x:c>
      <x:c r="I27" s="55" t="inlineStr">
        <x:is>
          <x:t xml:space="preserve">Research use proceeds without required ethics review/approval.</x:t>
        </x:is>
      </x:c>
      <x:c r="J27" s="55" t="inlineStr">
        <x:is>
          <x:t xml:space="preserve">Policy IV, VII; Guideline §7</x:t>
        </x:is>
      </x:c>
      <x:c r="K27" s="55">
        <x:v>26</x:v>
      </x:c>
    </x:row>
    <x:row r="28">
      <x:c r="A28" s="55" t="inlineStr">
        <x:is>
          <x:t xml:space="preserve">C27</x:t>
        </x:is>
      </x:c>
      <x:c r="B28" s="55" t="inlineStr">
        <x:is>
          <x:t xml:space="preserve">Governance &amp; Lifecycle</x:t>
        </x:is>
      </x:c>
      <x:c r="C28" s="55" t="inlineStr">
        <x:is>
          <x:t xml:space="preserve">Named owner and decision rights</x:t>
        </x:is>
      </x:c>
      <x:c r="D28" s="55" t="inlineStr">
        <x:is>
          <x:t xml:space="preserve">Is there a named AI System Owner / sponsor, with specialist decision rights and residual-risk ownership clear?</x:t>
        </x:is>
      </x:c>
      <x:c r="E28" s="55" t="inlineStr">
        <x:is>
          <x:t xml:space="preserve">Institutional Sponsor / AI Governance</x:t>
        </x:is>
      </x:c>
      <x:c r="F28" s="55" t="inlineStr">
        <x:is>
          <x:t xml:space="preserve">Yes</x:t>
        </x:is>
      </x:c>
      <x:c r="G28" s="55" t="inlineStr">
        <x:is>
          <x:t xml:space="preserve">Ownership and decision responsibilities are clear.</x:t>
        </x:is>
      </x:c>
      <x:c r="H28" s="55" t="inlineStr">
        <x:is>
          <x:t xml:space="preserve">Some roles or escalation paths remain unclear.</x:t>
        </x:is>
      </x:c>
      <x:c r="I28" s="55" t="inlineStr">
        <x:is>
          <x:t xml:space="preserve">No accountable owner, or one function is incorrectly treated as sole authority.</x:t>
        </x:is>
      </x:c>
      <x:c r="J28" s="55" t="inlineStr">
        <x:is>
          <x:t xml:space="preserve">Policy IV; Guideline §9</x:t>
        </x:is>
      </x:c>
      <x:c r="K28" s="55">
        <x:v>27</x:v>
      </x:c>
    </x:row>
    <x:row r="29">
      <x:c r="A29" s="55" t="inlineStr">
        <x:is>
          <x:t xml:space="preserve">C28</x:t>
        </x:is>
      </x:c>
      <x:c r="B29" s="55" t="inlineStr">
        <x:is>
          <x:t xml:space="preserve">Governance &amp; Lifecycle</x:t>
        </x:is>
      </x:c>
      <x:c r="C29" s="55" t="inlineStr">
        <x:is>
          <x:t xml:space="preserve">Evidence, records and traceability</x:t>
        </x:is>
      </x:c>
      <x:c r="D29" s="55" t="inlineStr">
        <x:is>
          <x:t xml:space="preserve">Are assessments, evidence, approvals, conditions, rationale and review dates recorded proportionately?</x:t>
        </x:is>
      </x:c>
      <x:c r="E29" s="55" t="inlineStr">
        <x:is>
          <x:t xml:space="preserve">AI Governance / ICT / Relevant Owner</x:t>
        </x:is>
      </x:c>
      <x:c r="F29" s="55" t="inlineStr">
        <x:is>
          <x:t xml:space="preserve">No</x:t>
        </x:is>
      </x:c>
      <x:c r="G29" s="55" t="inlineStr">
        <x:is>
          <x:t xml:space="preserve">Evidence and decisions are traceable and retrievable.</x:t>
        </x:is>
      </x:c>
      <x:c r="H29" s="55" t="inlineStr">
        <x:is>
          <x:t xml:space="preserve">Some evidence is missing or distributed across locations.</x:t>
        </x:is>
      </x:c>
      <x:c r="I29" s="55" t="inlineStr">
        <x:is>
          <x:t xml:space="preserve">Material decision cannot be reconstructed or supported by evidence.</x:t>
        </x:is>
      </x:c>
      <x:c r="J29" s="55" t="inlineStr">
        <x:is>
          <x:t xml:space="preserve">Policy XII; Guideline §5.1, §9</x:t>
        </x:is>
      </x:c>
      <x:c r="K29" s="55">
        <x:v>28</x:v>
      </x:c>
    </x:row>
    <x:row r="30">
      <x:c r="A30" s="55" t="inlineStr">
        <x:is>
          <x:t xml:space="preserve">C29</x:t>
        </x:is>
      </x:c>
      <x:c r="B30" s="55" t="inlineStr">
        <x:is>
          <x:t xml:space="preserve">Governance &amp; Lifecycle</x:t>
        </x:is>
      </x:c>
      <x:c r="C30" s="55" t="inlineStr">
        <x:is>
          <x:t xml:space="preserve">Review, change and reassessment triggers</x:t>
        </x:is>
      </x:c>
      <x:c r="D30" s="55" t="inlineStr">
        <x:is>
          <x:t xml:space="preserve">Are review dates and material-change triggers defined for model, feature, vendor, data, integration, users and purpose?</x:t>
        </x:is>
      </x:c>
      <x:c r="E30" s="55" t="inlineStr">
        <x:is>
          <x:t xml:space="preserve">AI System Owner / ICT</x:t>
        </x:is>
      </x:c>
      <x:c r="F30" s="55" t="inlineStr">
        <x:is>
          <x:t xml:space="preserve">No</x:t>
        </x:is>
      </x:c>
      <x:c r="G30" s="55" t="inlineStr">
        <x:is>
          <x:t xml:space="preserve">Review/expiry and change triggers are explicit.</x:t>
        </x:is>
      </x:c>
      <x:c r="H30" s="55" t="inlineStr">
        <x:is>
          <x:t xml:space="preserve">Review exists but triggers/ownership are incomplete.</x:t>
        </x:is>
      </x:c>
      <x:c r="I30" s="55" t="inlineStr">
        <x:is>
          <x:t xml:space="preserve">Approval is treated as permanent despite material change potential.</x:t>
        </x:is>
      </x:c>
      <x:c r="J30" s="55" t="inlineStr">
        <x:is>
          <x:t xml:space="preserve">Policy III, VIII, XV; Guideline §4.2</x:t>
        </x:is>
      </x:c>
      <x:c r="K30" s="55">
        <x:v>29</x:v>
      </x:c>
    </x:row>
    <x:row r="31">
      <x:c r="A31" s="55" t="inlineStr">
        <x:is>
          <x:t xml:space="preserve">C30</x:t>
        </x:is>
      </x:c>
      <x:c r="B31" s="55" t="inlineStr">
        <x:is>
          <x:t xml:space="preserve">Governance &amp; Lifecycle</x:t>
        </x:is>
      </x:c>
      <x:c r="C31" s="55" t="inlineStr">
        <x:is>
          <x:t xml:space="preserve">Monitoring, incidents and decommissioning</x:t>
        </x:is>
      </x:c>
      <x:c r="D31" s="55" t="inlineStr">
        <x:is>
          <x:t xml:space="preserve">Are ongoing monitoring, incident response, suspension and retirement/decommissioning arrangements practical?</x:t>
        </x:is>
      </x:c>
      <x:c r="E31" s="55" t="inlineStr">
        <x:is>
          <x:t xml:space="preserve">AI System Owner / ICT</x:t>
        </x:is>
      </x:c>
      <x:c r="F31" s="55" t="inlineStr">
        <x:is>
          <x:t xml:space="preserve">No</x:t>
        </x:is>
      </x:c>
      <x:c r="G31" s="55" t="inlineStr">
        <x:is>
          <x:t xml:space="preserve">Monitoring, incident and exit/decommissioning routes are clear.</x:t>
        </x:is>
      </x:c>
      <x:c r="H31" s="55" t="inlineStr">
        <x:is>
          <x:t xml:space="preserve">Some lifecycle controls are pending or manual.</x:t>
        </x:is>
      </x:c>
      <x:c r="I31" s="55" t="inlineStr">
        <x:is>
          <x:t xml:space="preserve">No practical monitoring/incident/retirement route for a material service.</x:t>
        </x:is>
      </x:c>
      <x:c r="J31" s="55" t="inlineStr">
        <x:is>
          <x:t xml:space="preserve">Policy VIII, XI, XII; Guideline §10-11</x:t>
        </x:is>
      </x:c>
      <x:c r="K31" s="55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adffd184202649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0" hidden="0" customWidth="1"/>
    <x:col min="5" max="5" width="22" hidden="0" customWidth="1"/>
    <x:col min="6" max="6" width="24" hidden="0" customWidth="1"/>
    <x:col min="7" max="7" width="30" hidden="0" customWidth="1"/>
    <x:col min="8" max="8" width="46" hidden="0" customWidth="1"/>
    <x:col min="9" max="9" width="26" hidden="0" customWidth="1"/>
    <x:col min="10" max="10" width="14" hidden="0" customWidth="1"/>
    <x:col min="11" max="11" width="46" hidden="0" customWidth="1"/>
    <x:col min="12" max="12" width="22" hidden="0" customWidth="1"/>
    <x:col min="13" max="13" width="18" hidden="0" customWidth="1"/>
  </x:cols>
  <x:sheetData>
    <x:row r="1">
      <x:c r="A1" s="56" t="str">
        <x:v>Decision ID</x:v>
      </x:c>
      <x:c r="B1" s="56" t="str">
        <x:v>Evaluation ID</x:v>
      </x:c>
      <x:c r="C1" s="56" t="str">
        <x:v>Decision Date</x:v>
      </x:c>
      <x:c r="D1" s="56" t="str">
        <x:v>Decision Type</x:v>
      </x:c>
      <x:c r="E1" s="56" t="str">
        <x:v>Register Status</x:v>
      </x:c>
      <x:c r="F1" s="56" t="str">
        <x:v>Decision Owner</x:v>
      </x:c>
      <x:c r="G1" s="56" t="str">
        <x:v>Support Functions</x:v>
      </x:c>
      <x:c r="H1" s="56" t="str">
        <x:v>Conditions / Required Actions</x:v>
      </x:c>
      <x:c r="I1" s="56" t="str">
        <x:v>Residual Risk Accepted By</x:v>
      </x:c>
      <x:c r="J1" s="56" t="str">
        <x:v>Review Date</x:v>
      </x:c>
      <x:c r="K1" s="56" t="str">
        <x:v>Rationale</x:v>
      </x:c>
      <x:c r="L1" s="56" t="str">
        <x:v>Recorded By</x:v>
      </x:c>
      <x:c r="M1" s="56" t="str">
        <x:v>Timestamp</x:v>
      </x:c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/>
  </x:sheetData>
  <x:pageMargins left="0.7" right="0.7" top="0.75" bottom="0.75" header="0.3" footer="0.3"/>
  <x:tableParts count="1">
    <x:tablePart xmlns:r="http://schemas.openxmlformats.org/officeDocument/2006/relationships" r:id="R29eedae90acd4d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30" hidden="0" customWidth="1"/>
    <x:col min="5" max="5" width="14" hidden="0" customWidth="1"/>
    <x:col min="6" max="6" width="42" hidden="0" customWidth="1"/>
    <x:col min="7" max="7" width="10" hidden="0" customWidth="1"/>
    <x:col min="8" max="8" width="14" hidden="0" customWidth="1"/>
  </x:cols>
  <x:sheetData>
    <x:row r="1">
      <x:c r="A1" s="97" t="str">
        <x:v>BUV AI Governance Evaluation — Excel Summary</x:v>
      </x:c>
      <x:c r="B1" s="97"/>
      <x:c r="C1" s="97"/>
      <x:c r="D1" s="97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>
      <x:c r="A2" s="97"/>
      <x:c r="B2" s="97"/>
      <x:c r="C2" s="97"/>
      <x:c r="D2" s="97"/>
      <x:c r="E2" s="52"/>
      <x:c r="F2" s="52"/>
      <x:c r="G2" s="52"/>
      <x:c r="H2" s="52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  <x:c r="AA2" s="53"/>
      <x:c r="AB2" s="53"/>
      <x:c r="AC2" s="53"/>
      <x:c r="AD2" s="53"/>
      <x:c r="AE2" s="53"/>
      <x:c r="AF2" s="53"/>
    </x:row>
    <x:row r="3">
      <x:c r="A3" s="55"/>
      <x:c r="B3" s="55"/>
      <x:c r="C3" s="55"/>
      <x:c r="D3" s="55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</x:row>
    <x:row r="4">
      <x:c r="A4" s="66" t="str">
        <x:v>Registered evaluations</x:v>
      </x:c>
      <x:c r="B4" s="55"/>
      <x:c r="C4" s="66" t="str">
        <x:v>Unassessed / pending</x:v>
      </x:c>
      <x:c r="D4" s="55"/>
      <x:c r="E4" s="66" t="str">
        <x:v>Assured</x:v>
      </x:c>
      <x:c r="F4" s="53"/>
      <x:c r="G4" s="66" t="str">
        <x:v>Conditional</x:v>
      </x:c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  <x:c r="AA4" s="53"/>
      <x:c r="AB4" s="53"/>
      <x:c r="AC4" s="53"/>
      <x:c r="AD4" s="53"/>
      <x:c r="AE4" s="53"/>
      <x:c r="AF4" s="53"/>
    </x:row>
    <x:row r="5">
      <x:c r="A5" s="106" t="n">
        <x:f>COUNTA(AI_Register!A2:A500)</x:f>
        <x:v>0</x:v>
      </x:c>
      <x:c r="B5" s="107"/>
      <x:c r="C5" s="106" t="n">
        <x:f>COUNTIF(AI_Register!Z2:Z500,"Unassessed")+COUNTIF(AI_Register!Y2:Y500,"Pending")</x:f>
        <x:v>0</x:v>
      </x:c>
      <x:c r="D5" s="107"/>
      <x:c r="E5" s="74" t="n">
        <x:f>COUNTIF(AI_Register!Z2:Z500,"BUV Provided / Assured")</x:f>
        <x:v>0</x:v>
      </x:c>
      <x:c r="F5" s="102"/>
      <x:c r="G5" s="74" t="n">
        <x:f>COUNTIF(AI_Register!Z2:Z500,"Conditional")</x:f>
        <x:v>0</x:v>
      </x:c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  <x:c r="AA5" s="53"/>
      <x:c r="AB5" s="53"/>
      <x:c r="AC5" s="53"/>
      <x:c r="AD5" s="53"/>
      <x:c r="AE5" s="53"/>
      <x:c r="AF5" s="53"/>
    </x:row>
    <x:row r="6">
      <x:c r="A6" s="107"/>
      <x:c r="B6" s="107"/>
      <x:c r="C6" s="107"/>
      <x:c r="D6" s="107"/>
      <x:c r="E6" s="102"/>
      <x:c r="F6" s="102"/>
      <x:c r="G6" s="102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</x:row>
    <x:row r="7">
      <x:c r="A7" s="108" t="str">
        <x:v>Pilot</x:v>
      </x:c>
      <x:c r="B7" s="107"/>
      <x:c r="C7" s="108" t="str">
        <x:v>Restricted / Rejected</x:v>
      </x:c>
      <x:c r="D7" s="107"/>
      <x:c r="E7" s="108" t="str">
        <x:v>Review due ≤30 days</x:v>
      </x:c>
      <x:c r="F7" s="102"/>
      <x:c r="G7" s="108" t="str">
        <x:v>Critical High responses</x:v>
      </x:c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3"/>
      <x:c r="AF7" s="53"/>
    </x:row>
    <x:row r="8">
      <x:c r="A8" s="106" t="n">
        <x:f>COUNTIF(AI_Register!Z2:Z500,"Pilot")</x:f>
        <x:v>0</x:v>
      </x:c>
      <x:c r="B8" s="107"/>
      <x:c r="C8" s="106" t="n">
        <x:f>COUNTIF(AI_Register!Z2:Z500,"Restricted")+COUNTIF(AI_Register!Y2:Y500,"Reject")</x:f>
        <x:v>0</x:v>
      </x:c>
      <x:c r="D8" s="107"/>
      <x:c r="E8" s="74" t="n">
        <x:f>COUNTIFS(AI_Register!AC2:AC500,"&gt;="&amp;TODAY(),AI_Register!AC2:AC500,"&lt;="&amp;TODAY()+30)</x:f>
        <x:v>0</x:v>
      </x:c>
      <x:c r="F8" s="102"/>
      <x:c r="G8" s="74" t="n">
        <x:f>COUNTIFS(Assessment_Responses!F2:F1500,"Yes",Assessment_Responses!G2:G1500,"High")</x:f>
        <x:v>0</x:v>
      </x:c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</x:row>
    <x:row r="9">
      <x:c r="A9" s="55"/>
      <x:c r="B9" s="55"/>
      <x:c r="C9" s="55"/>
      <x:c r="D9" s="55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</x:row>
    <x:row r="10">
      <x:c r="A10" s="55"/>
      <x:c r="B10" s="55"/>
      <x:c r="C10" s="55"/>
      <x:c r="D10" s="55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</x:row>
    <x:row r="11">
      <x:c r="A11" s="56" t="str">
        <x:v>Register Status</x:v>
      </x:c>
      <x:c r="B11" s="56" t="str">
        <x:v>Count</x:v>
      </x:c>
      <x:c r="C11" s="55"/>
      <x:c r="D11" s="56" t="str">
        <x:v>Pathway</x:v>
      </x:c>
      <x:c r="E11" s="56" t="str">
        <x:v>Count</x:v>
      </x:c>
      <x:c r="F11" s="53" t="str">
        <x:v>Operational Lane</x:v>
      </x:c>
      <x:c r="G11" s="53" t="str">
        <x:v>Count</x:v>
      </x:c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</x:row>
    <x:row r="12">
      <x:c r="A12" s="55" t="str">
        <x:v>BUV Provided / Assured</x:v>
      </x:c>
      <x:c r="B12" s="55" t="n">
        <x:f>COUNTIF(AI_Register!Z2:Z500,"BUV Provided / Assured")</x:f>
        <x:v>0</x:v>
      </x:c>
      <x:c r="C12" s="55"/>
      <x:c r="D12" s="88" t="str">
        <x:v>GREEN</x:v>
      </x:c>
      <x:c r="E12" s="76" t="n">
        <x:f>COUNTIF(AI_Register!S2:S500,"GREEN")</x:f>
        <x:v>0</x:v>
      </x:c>
      <x:c r="F12" s="86" t="str">
        <x:v>Routine Assured Use</x:v>
      </x:c>
      <x:c r="G12" s="98" t="n">
        <x:f>COUNTIF(AI_Register!AQ2:AQ500,"ROUTINE ASSURED USE")</x:f>
        <x:v>0</x:v>
      </x:c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</x:row>
    <x:row r="13">
      <x:c r="A13" s="55" t="str">
        <x:v>Conditional</x:v>
      </x:c>
      <x:c r="B13" s="55" t="n">
        <x:f>COUNTIF(AI_Register!Z2:Z500,"Conditional")</x:f>
        <x:v>0</x:v>
      </x:c>
      <x:c r="C13" s="55"/>
      <x:c r="D13" s="104" t="str">
        <x:v>AMBER</x:v>
      </x:c>
      <x:c r="E13" s="78" t="n">
        <x:f>COUNTIF(AI_Register!S2:S500,"AMBER")</x:f>
        <x:v>0</x:v>
      </x:c>
      <x:c r="F13" s="88" t="str">
        <x:v>Safe Exploration</x:v>
      </x:c>
      <x:c r="G13" s="99" t="n">
        <x:f>COUNTIF(AI_Register!AQ2:AQ500,"SAFE EXPLORATION")</x:f>
        <x:v>0</x:v>
      </x:c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</x:row>
    <x:row r="14">
      <x:c r="A14" s="55" t="str">
        <x:v>Pilot</x:v>
      </x:c>
      <x:c r="B14" s="55" t="n">
        <x:f>COUNTIF(AI_Register!Z2:Z500,"Pilot")</x:f>
        <x:v>0</x:v>
      </x:c>
      <x:c r="C14" s="55"/>
      <x:c r="D14" s="86" t="str">
        <x:v>RED</x:v>
      </x:c>
      <x:c r="E14" s="80" t="n">
        <x:f>COUNTIF(AI_Register!S2:S500,"RED")</x:f>
        <x:v>0</x:v>
      </x:c>
      <x:c r="F14" s="90" t="str">
        <x:v>Formal Assessment</x:v>
      </x:c>
      <x:c r="G14" s="100" t="n">
        <x:f>COUNTIF(AI_Register!AQ2:AQ500,"FORMAL ASSESSMENT")</x:f>
        <x:v>0</x:v>
      </x:c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</x:row>
    <x:row r="15">
      <x:c r="A15" s="55" t="str">
        <x:v>Unassessed</x:v>
      </x:c>
      <x:c r="B15" s="55" t="n">
        <x:f>COUNTIF(AI_Register!Z2:Z500,"Unassessed")</x:f>
        <x:v>0</x:v>
      </x:c>
      <x:c r="C15" s="55"/>
      <x:c r="D15" s="105" t="str">
        <x:v>RESEARCH CONFIDENTIALITY</x:v>
      </x:c>
      <x:c r="E15" s="82" t="n">
        <x:f>COUNTIF(AI_Register!S2:S500,"RESEARCH CONFIDENTIALITY")</x:f>
        <x:v>0</x:v>
      </x:c>
      <x:c r="F15" s="92" t="str">
        <x:v>Research Confidentiality</x:v>
      </x:c>
      <x:c r="G15" s="101" t="n">
        <x:f>COUNTIF(AI_Register!AQ2:AQ500,"RESEARCH CONFIDENTIALITY")</x:f>
        <x:v>0</x:v>
      </x:c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</x:row>
    <x:row r="16">
      <x:c r="A16" s="55" t="str">
        <x:v>Restricted</x:v>
      </x:c>
      <x:c r="B16" s="55" t="n">
        <x:f>COUNTIF(AI_Register!Z2:Z500,"Restricted")</x:f>
        <x:v>0</x:v>
      </x:c>
      <x:c r="C16" s="55"/>
      <x:c r="D16" s="86" t="str">
        <x:v>RED + RESEARCH CONFIDENTIALITY</x:v>
      </x:c>
      <x:c r="E16" s="80" t="n">
        <x:f>COUNTIF(AI_Register!S2:S500,"RED + RESEARCH CONFIDENTIALITY")</x:f>
        <x:v>0</x:v>
      </x:c>
      <x:c r="F16" s="53" t="str">
        <x:v>Information Required</x:v>
      </x:c>
      <x:c r="G16" s="102" t="n">
        <x:f>COUNTIF(AI_Register!AQ2:AQ500,"INFORMATION REQUIRED")</x:f>
        <x:v>0</x:v>
      </x:c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3"/>
      <x:c r="AB16" s="53"/>
      <x:c r="AC16" s="53"/>
      <x:c r="AD16" s="53"/>
      <x:c r="AE16" s="53"/>
      <x:c r="AF16" s="53"/>
    </x:row>
    <x:row r="17">
      <x:c r="A17" s="55" t="str">
        <x:v>Suspended</x:v>
      </x:c>
      <x:c r="B17" s="55" t="n">
        <x:f>COUNTIF(AI_Register!Z2:Z500,"Suspended")</x:f>
        <x:v>0</x:v>
      </x:c>
      <x:c r="C17" s="55"/>
      <x:c r="D17" s="92" t="str">
        <x:v>UNDETERMINED</x:v>
      </x:c>
      <x:c r="E17" s="84" t="n">
        <x:f>COUNTIF(AI_Register!S2:S500,"UNDETERMINED")</x:f>
        <x:v>0</x:v>
      </x:c>
      <x:c r="F17" s="111" t="str">
        <x:v>Conditional Use</x:v>
      </x:c>
      <x:c r="G17" s="112" t="n">
        <x:f>COUNTIF(AI_Register!AQ2:AQ500,"CONDITIONAL USE")</x:f>
        <x:v>0</x:v>
      </x:c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  <x:c r="AA17" s="53"/>
      <x:c r="AB17" s="53"/>
      <x:c r="AC17" s="53"/>
      <x:c r="AD17" s="53"/>
      <x:c r="AE17" s="53"/>
      <x:c r="AF17" s="53"/>
    </x:row>
    <x:row r="18">
      <x:c r="A18" s="55" t="str">
        <x:v>Retired</x:v>
      </x:c>
      <x:c r="B18" s="55" t="n">
        <x:f>COUNTIF(AI_Register!Z2:Z500,"Retired")</x:f>
        <x:v>0</x:v>
      </x:c>
      <x:c r="C18" s="55"/>
      <x:c r="D18" s="55"/>
      <x:c r="E18" s="53"/>
      <x:c r="F18" s="115" t="str">
        <x:v>Controlled Pilot</x:v>
      </x:c>
      <x:c r="G18" s="116" t="n">
        <x:f>COUNTIF(AI_Register!AQ2:AQ500,"CONTROLLED PILOT")</x:f>
        <x:v>0</x:v>
      </x:c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3"/>
      <x:c r="AB18" s="53"/>
      <x:c r="AC18" s="53"/>
      <x:c r="AD18" s="53"/>
      <x:c r="AE18" s="53"/>
      <x:c r="AF18" s="53"/>
    </x:row>
    <x:row r="19">
      <x:c r="A19" s="55"/>
      <x:c r="B19" s="55"/>
      <x:c r="C19" s="55"/>
      <x:c r="D19" s="55"/>
      <x:c r="E19" s="53"/>
      <x:c r="F19" s="119" t="str">
        <x:v>Restricted / Stop</x:v>
      </x:c>
      <x:c r="G19" s="120" t="n">
        <x:f>COUNTIF(AI_Register!AQ2:AQ500,"RESTRICTED / STOP")</x:f>
        <x:v>0</x:v>
      </x:c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  <x:c r="AA19" s="53"/>
      <x:c r="AB19" s="53"/>
      <x:c r="AC19" s="53"/>
      <x:c r="AD19" s="53"/>
      <x:c r="AE19" s="53"/>
      <x:c r="AF19" s="53"/>
    </x:row>
    <x:row r="20">
      <x:c r="A20" s="55"/>
      <x:c r="B20" s="55"/>
      <x:c r="C20" s="55"/>
      <x:c r="D20" s="55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3"/>
      <x:c r="AB20" s="53"/>
      <x:c r="AC20" s="53"/>
      <x:c r="AD20" s="53"/>
      <x:c r="AE20" s="53"/>
      <x:c r="AF20" s="53"/>
    </x:row>
    <x:row r="21">
      <x:c r="A21" s="68" t="str">
        <x:v>Decision rule: action lanes and traffic-light routes guide the process; they never create legal classification or institutional approval. Required evidence, specialist decision rights and delegated risk acceptance remain authoritative.</x:v>
      </x:c>
      <x:c r="B21" s="68"/>
      <x:c r="C21" s="68"/>
      <x:c r="D21" s="68"/>
      <x:c r="E21" s="68"/>
      <x:c r="F21" s="68"/>
      <x:c r="G21" s="68"/>
      <x:c r="H21" s="68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  <x:c r="AA21" s="53"/>
      <x:c r="AB21" s="53"/>
      <x:c r="AC21" s="53"/>
      <x:c r="AD21" s="53"/>
      <x:c r="AE21" s="53"/>
      <x:c r="AF21" s="53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3"/>
      <x:c r="AB22" s="53"/>
      <x:c r="AC22" s="53"/>
      <x:c r="AD22" s="53"/>
      <x:c r="AE22" s="53"/>
      <x:c r="AF22" s="53"/>
    </x:row>
    <x:row r="23">
      <x:c r="A23" s="68"/>
      <x:c r="B23" s="68"/>
      <x:c r="C23" s="68"/>
      <x:c r="D23" s="68"/>
      <x:c r="E23" s="68"/>
      <x:c r="F23" s="68"/>
      <x:c r="G23" s="68"/>
      <x:c r="H23" s="68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  <x:c r="AA23" s="53"/>
      <x:c r="AB23" s="53"/>
      <x:c r="AC23" s="53"/>
      <x:c r="AD23" s="53"/>
      <x:c r="AE23" s="53"/>
      <x:c r="AF23" s="53"/>
    </x:row>
    <x:row r="24">
      <x:c r="A24" s="55"/>
      <x:c r="B24" s="55"/>
      <x:c r="C24" s="55"/>
      <x:c r="D24" s="55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3"/>
      <x:c r="AB24" s="53"/>
      <x:c r="AC24" s="53"/>
      <x:c r="AD24" s="53"/>
      <x:c r="AE24" s="53"/>
      <x:c r="AF24" s="53"/>
    </x:row>
    <x:row r="25">
      <x:c r="A25" s="55"/>
      <x:c r="B25" s="55"/>
      <x:c r="C25" s="55"/>
      <x:c r="D25" s="55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  <x:c r="AA25" s="53"/>
      <x:c r="AB25" s="53"/>
      <x:c r="AC25" s="53"/>
      <x:c r="AD25" s="53"/>
      <x:c r="AE25" s="53"/>
      <x:c r="AF25" s="53"/>
    </x:row>
    <x:row r="26">
      <x:c r="A26" s="55"/>
      <x:c r="B26" s="55"/>
      <x:c r="C26" s="55"/>
      <x:c r="D26" s="55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3"/>
      <x:c r="AB26" s="53"/>
      <x:c r="AC26" s="53"/>
      <x:c r="AD26" s="53"/>
      <x:c r="AE26" s="53"/>
      <x:c r="AF26" s="53"/>
    </x:row>
    <x:row r="27">
      <x:c r="A27" s="55"/>
      <x:c r="B27" s="55"/>
      <x:c r="C27" s="55"/>
      <x:c r="D27" s="55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3"/>
      <x:c r="AD27" s="53"/>
      <x:c r="AE27" s="53"/>
      <x:c r="AF27" s="53"/>
    </x:row>
    <x:row r="28">
      <x:c r="A28" s="55"/>
      <x:c r="B28" s="55"/>
      <x:c r="C28" s="55"/>
      <x:c r="D28" s="55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3"/>
      <x:c r="AB28" s="53"/>
      <x:c r="AC28" s="53"/>
      <x:c r="AD28" s="53"/>
      <x:c r="AE28" s="53"/>
      <x:c r="AF28" s="53"/>
    </x:row>
    <x:row r="29">
      <x:c r="A29" s="55"/>
      <x:c r="B29" s="55"/>
      <x:c r="C29" s="55"/>
      <x:c r="D29" s="55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  <x:c r="AA29" s="53"/>
      <x:c r="AB29" s="53"/>
      <x:c r="AC29" s="53"/>
      <x:c r="AD29" s="53"/>
      <x:c r="AE29" s="53"/>
      <x:c r="AF29" s="53"/>
    </x:row>
    <x:row r="30">
      <x:c r="A30" s="55"/>
      <x:c r="B30" s="55"/>
      <x:c r="C30" s="55"/>
      <x:c r="D30" s="55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3"/>
      <x:c r="AB30" s="53"/>
      <x:c r="AC30" s="53"/>
      <x:c r="AD30" s="53"/>
      <x:c r="AE30" s="53"/>
      <x:c r="AF30" s="53"/>
    </x:row>
    <x:row r="31">
      <x:c r="A31" s="55"/>
      <x:c r="B31" s="55"/>
      <x:c r="C31" s="55"/>
      <x:c r="D31" s="55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  <x:c r="AA31" s="53"/>
      <x:c r="AB31" s="53"/>
      <x:c r="AC31" s="53"/>
      <x:c r="AD31" s="53"/>
      <x:c r="AE31" s="53"/>
      <x:c r="AF31" s="53"/>
    </x:row>
    <x:row r="32">
      <x:c r="A32" s="55"/>
      <x:c r="B32" s="55"/>
      <x:c r="C32" s="55"/>
      <x:c r="D32" s="55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3"/>
      <x:c r="AB32" s="53"/>
      <x:c r="AC32" s="53"/>
      <x:c r="AD32" s="53"/>
      <x:c r="AE32" s="53"/>
      <x:c r="AF32" s="53"/>
    </x:row>
    <x:row r="33">
      <x:c r="A33" s="55"/>
      <x:c r="B33" s="55"/>
      <x:c r="C33" s="55"/>
      <x:c r="D33" s="55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  <x:c r="AA33" s="53"/>
      <x:c r="AB33" s="53"/>
      <x:c r="AC33" s="53"/>
      <x:c r="AD33" s="53"/>
      <x:c r="AE33" s="53"/>
      <x:c r="AF33" s="53"/>
    </x:row>
    <x:row r="34">
      <x:c r="A34" s="55"/>
      <x:c r="B34" s="55"/>
      <x:c r="C34" s="55"/>
      <x:c r="D34" s="55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3"/>
      <x:c r="AB34" s="53"/>
      <x:c r="AC34" s="53"/>
      <x:c r="AD34" s="53"/>
      <x:c r="AE34" s="53"/>
      <x:c r="AF34" s="53"/>
    </x:row>
    <x:row r="35">
      <x:c r="A35" s="55"/>
      <x:c r="B35" s="55"/>
      <x:c r="C35" s="55"/>
      <x:c r="D35" s="55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  <x:c r="AA35" s="53"/>
      <x:c r="AB35" s="53"/>
      <x:c r="AC35" s="53"/>
      <x:c r="AD35" s="53"/>
      <x:c r="AE35" s="53"/>
      <x:c r="AF35" s="53"/>
    </x:row>
    <x:row r="36">
      <x:c r="A36" s="55"/>
      <x:c r="B36" s="55"/>
      <x:c r="C36" s="55"/>
      <x:c r="D36" s="55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3"/>
      <x:c r="AB36" s="53"/>
      <x:c r="AC36" s="53"/>
      <x:c r="AD36" s="53"/>
      <x:c r="AE36" s="53"/>
      <x:c r="AF36" s="53"/>
    </x:row>
    <x:row r="37">
      <x:c r="A37" s="55"/>
      <x:c r="B37" s="55"/>
      <x:c r="C37" s="55"/>
      <x:c r="D37" s="55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  <x:c r="AA37" s="53"/>
      <x:c r="AB37" s="53"/>
      <x:c r="AC37" s="53"/>
      <x:c r="AD37" s="53"/>
      <x:c r="AE37" s="53"/>
      <x:c r="AF37" s="53"/>
    </x:row>
    <x:row r="38">
      <x:c r="A38" s="55"/>
      <x:c r="B38" s="55"/>
      <x:c r="C38" s="55"/>
      <x:c r="D38" s="55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3"/>
      <x:c r="AB38" s="53"/>
      <x:c r="AC38" s="53"/>
      <x:c r="AD38" s="53"/>
      <x:c r="AE38" s="53"/>
      <x:c r="AF38" s="53"/>
    </x:row>
    <x:row r="39">
      <x:c r="A39" s="55"/>
      <x:c r="B39" s="55"/>
      <x:c r="C39" s="55"/>
      <x:c r="D39" s="55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  <x:c r="AA39" s="53"/>
      <x:c r="AB39" s="53"/>
      <x:c r="AC39" s="53"/>
      <x:c r="AD39" s="53"/>
      <x:c r="AE39" s="53"/>
      <x:c r="AF39" s="53"/>
    </x:row>
    <x:row r="40">
      <x:c r="A40" s="55"/>
      <x:c r="B40" s="55"/>
      <x:c r="C40" s="55"/>
      <x:c r="D40" s="55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3"/>
      <x:c r="AB40" s="53"/>
      <x:c r="AC40" s="53"/>
      <x:c r="AD40" s="53"/>
      <x:c r="AE40" s="53"/>
      <x:c r="AF40" s="53"/>
    </x:row>
    <x:row r="41">
      <x:c r="A41" s="55"/>
      <x:c r="B41" s="55"/>
      <x:c r="C41" s="55"/>
      <x:c r="D41" s="55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  <x:c r="AA41" s="53"/>
      <x:c r="AB41" s="53"/>
      <x:c r="AC41" s="53"/>
      <x:c r="AD41" s="53"/>
      <x:c r="AE41" s="53"/>
      <x:c r="AF41" s="53"/>
    </x:row>
    <x:row r="42">
      <x:c r="A42" s="55"/>
      <x:c r="B42" s="55"/>
      <x:c r="C42" s="55"/>
      <x:c r="D42" s="55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3"/>
      <x:c r="AB42" s="53"/>
      <x:c r="AC42" s="53"/>
      <x:c r="AD42" s="53"/>
      <x:c r="AE42" s="53"/>
      <x:c r="AF42" s="53"/>
    </x:row>
    <x:row r="43">
      <x:c r="A43" s="55"/>
      <x:c r="B43" s="55"/>
      <x:c r="C43" s="55"/>
      <x:c r="D43" s="55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  <x:c r="AA43" s="53"/>
      <x:c r="AB43" s="53"/>
      <x:c r="AC43" s="53"/>
      <x:c r="AD43" s="53"/>
      <x:c r="AE43" s="53"/>
      <x:c r="AF43" s="53"/>
    </x:row>
    <x:row r="44">
      <x:c r="A44" s="55"/>
      <x:c r="B44" s="55"/>
      <x:c r="C44" s="55"/>
      <x:c r="D44" s="55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3"/>
      <x:c r="AB44" s="53"/>
      <x:c r="AC44" s="53"/>
      <x:c r="AD44" s="53"/>
      <x:c r="AE44" s="53"/>
      <x:c r="AF44" s="53"/>
    </x:row>
    <x:row r="45">
      <x:c r="A45" s="55"/>
      <x:c r="B45" s="55"/>
      <x:c r="C45" s="55"/>
      <x:c r="D45" s="55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  <x:c r="AA45" s="53"/>
      <x:c r="AB45" s="53"/>
      <x:c r="AC45" s="53"/>
      <x:c r="AD45" s="53"/>
      <x:c r="AE45" s="53"/>
      <x:c r="AF45" s="53"/>
    </x:row>
    <x:row r="46">
      <x:c r="A46" s="55"/>
      <x:c r="B46" s="55"/>
      <x:c r="C46" s="55"/>
      <x:c r="D46" s="55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3"/>
      <x:c r="AB46" s="53"/>
      <x:c r="AC46" s="53"/>
      <x:c r="AD46" s="53"/>
      <x:c r="AE46" s="53"/>
      <x:c r="AF46" s="53"/>
    </x:row>
    <x:row r="47">
      <x:c r="A47" s="55"/>
      <x:c r="B47" s="55"/>
      <x:c r="C47" s="55"/>
      <x:c r="D47" s="55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  <x:c r="AA47" s="53"/>
      <x:c r="AB47" s="53"/>
      <x:c r="AC47" s="53"/>
      <x:c r="AD47" s="53"/>
      <x:c r="AE47" s="53"/>
      <x:c r="AF47" s="53"/>
    </x:row>
    <x:row r="48">
      <x:c r="A48" s="55"/>
      <x:c r="B48" s="55"/>
      <x:c r="C48" s="55"/>
      <x:c r="D48" s="55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3"/>
      <x:c r="AB48" s="53"/>
      <x:c r="AC48" s="53"/>
      <x:c r="AD48" s="53"/>
      <x:c r="AE48" s="53"/>
      <x:c r="AF48" s="53"/>
    </x:row>
    <x:row r="49">
      <x:c r="A49" s="55"/>
      <x:c r="B49" s="55"/>
      <x:c r="C49" s="55"/>
      <x:c r="D49" s="55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  <x:c r="AA49" s="53"/>
      <x:c r="AB49" s="53"/>
      <x:c r="AC49" s="53"/>
      <x:c r="AD49" s="53"/>
      <x:c r="AE49" s="53"/>
      <x:c r="AF49" s="53"/>
    </x:row>
    <x:row r="50">
      <x:c r="A50" s="55"/>
      <x:c r="B50" s="55"/>
      <x:c r="C50" s="55"/>
      <x:c r="D50" s="55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3"/>
      <x:c r="AB50" s="53"/>
      <x:c r="AC50" s="53"/>
      <x:c r="AD50" s="53"/>
      <x:c r="AE50" s="53"/>
      <x:c r="AF50" s="53"/>
    </x:row>
    <x:row r="51">
      <x:c r="A51" s="55"/>
      <x:c r="B51" s="55"/>
      <x:c r="C51" s="55"/>
      <x:c r="D51" s="55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  <x:c r="AA51" s="53"/>
      <x:c r="AB51" s="53"/>
      <x:c r="AC51" s="53"/>
      <x:c r="AD51" s="53"/>
      <x:c r="AE51" s="53"/>
      <x:c r="AF51" s="53"/>
    </x:row>
    <x:row r="52">
      <x:c r="A52" s="55"/>
      <x:c r="B52" s="55"/>
      <x:c r="C52" s="55"/>
      <x:c r="D52" s="55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3"/>
    </x:row>
    <x:row r="53">
      <x:c r="A53" s="55"/>
      <x:c r="B53" s="55"/>
      <x:c r="C53" s="55"/>
      <x:c r="D53" s="55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3"/>
    </x:row>
    <x:row r="54">
      <x:c r="A54" s="55"/>
      <x:c r="B54" s="55"/>
      <x:c r="C54" s="55"/>
      <x:c r="D54" s="55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</x:row>
    <x:row r="55">
      <x:c r="A55" s="55"/>
      <x:c r="B55" s="55"/>
      <x:c r="C55" s="55"/>
      <x:c r="D55" s="55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</x:row>
    <x:row r="56">
      <x:c r="A56" s="55"/>
      <x:c r="B56" s="55"/>
      <x:c r="C56" s="55"/>
      <x:c r="D56" s="55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</x:row>
    <x:row r="57">
      <x:c r="A57" s="55"/>
      <x:c r="B57" s="55"/>
      <x:c r="C57" s="55"/>
      <x:c r="D57" s="55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</x:row>
    <x:row r="58">
      <x:c r="A58" s="55"/>
      <x:c r="B58" s="55"/>
      <x:c r="C58" s="55"/>
      <x:c r="D58" s="55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</x:row>
    <x:row r="59">
      <x:c r="A59" s="55"/>
      <x:c r="B59" s="55"/>
      <x:c r="C59" s="55"/>
      <x:c r="D59" s="55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</x:row>
    <x:row r="60">
      <x:c r="A60" s="55"/>
      <x:c r="B60" s="55"/>
      <x:c r="C60" s="55"/>
      <x:c r="D60" s="55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3"/>
      <x:c r="AB74" s="53"/>
      <x:c r="AC74" s="53"/>
      <x:c r="AD74" s="53"/>
      <x:c r="AE74" s="53"/>
      <x:c r="AF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3"/>
      <x:c r="AB75" s="53"/>
      <x:c r="AC75" s="53"/>
      <x:c r="AD75" s="53"/>
      <x:c r="AE75" s="53"/>
      <x:c r="AF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3"/>
      <x:c r="AB76" s="53"/>
      <x:c r="AC76" s="53"/>
      <x:c r="AD76" s="53"/>
      <x:c r="AE76" s="53"/>
      <x:c r="AF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  <x:c r="AA77" s="53"/>
      <x:c r="AB77" s="53"/>
      <x:c r="AC77" s="53"/>
      <x:c r="AD77" s="53"/>
      <x:c r="AE77" s="53"/>
      <x:c r="AF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3"/>
      <x:c r="AB78" s="53"/>
      <x:c r="AC78" s="53"/>
      <x:c r="AD78" s="53"/>
      <x:c r="AE78" s="53"/>
      <x:c r="AF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  <x:c r="AA79" s="53"/>
      <x:c r="AB79" s="53"/>
      <x:c r="AC79" s="53"/>
      <x:c r="AD79" s="53"/>
      <x:c r="AE79" s="53"/>
      <x:c r="AF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3"/>
      <x:c r="AB80" s="53"/>
      <x:c r="AC80" s="53"/>
      <x:c r="AD80" s="53"/>
      <x:c r="AE80" s="53"/>
      <x:c r="AF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  <x:c r="AA81" s="53"/>
      <x:c r="AB81" s="53"/>
      <x:c r="AC81" s="53"/>
      <x:c r="AD81" s="53"/>
      <x:c r="AE81" s="53"/>
      <x:c r="AF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3"/>
      <x:c r="AB82" s="53"/>
      <x:c r="AC82" s="53"/>
      <x:c r="AD82" s="53"/>
      <x:c r="AE82" s="53"/>
      <x:c r="AF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  <x:c r="AA83" s="53"/>
      <x:c r="AB83" s="53"/>
      <x:c r="AC83" s="53"/>
      <x:c r="AD83" s="53"/>
      <x:c r="AE83" s="53"/>
      <x:c r="AF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3"/>
      <x:c r="AB84" s="53"/>
      <x:c r="AC84" s="53"/>
      <x:c r="AD84" s="53"/>
      <x:c r="AE84" s="53"/>
      <x:c r="AF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  <x:c r="AA85" s="53"/>
      <x:c r="AB85" s="53"/>
      <x:c r="AC85" s="53"/>
      <x:c r="AD85" s="53"/>
      <x:c r="AE85" s="53"/>
      <x:c r="AF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3"/>
      <x:c r="AB86" s="53"/>
      <x:c r="AC86" s="53"/>
      <x:c r="AD86" s="53"/>
      <x:c r="AE86" s="53"/>
      <x:c r="AF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  <x:c r="AA87" s="53"/>
      <x:c r="AB87" s="53"/>
      <x:c r="AC87" s="53"/>
      <x:c r="AD87" s="53"/>
      <x:c r="AE87" s="53"/>
      <x:c r="AF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3"/>
      <x:c r="AB88" s="53"/>
      <x:c r="AC88" s="53"/>
      <x:c r="AD88" s="53"/>
      <x:c r="AE88" s="53"/>
      <x:c r="AF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  <x:c r="AA89" s="53"/>
      <x:c r="AB89" s="53"/>
      <x:c r="AC89" s="53"/>
      <x:c r="AD89" s="53"/>
      <x:c r="AE89" s="53"/>
      <x:c r="AF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3"/>
      <x:c r="AB90" s="53"/>
      <x:c r="AC90" s="53"/>
      <x:c r="AD90" s="53"/>
      <x:c r="AE90" s="53"/>
      <x:c r="AF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  <x:c r="AA91" s="53"/>
      <x:c r="AB91" s="53"/>
      <x:c r="AC91" s="53"/>
      <x:c r="AD91" s="53"/>
      <x:c r="AE91" s="53"/>
      <x:c r="AF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3"/>
      <x:c r="AB92" s="53"/>
      <x:c r="AC92" s="53"/>
      <x:c r="AD92" s="53"/>
      <x:c r="AE92" s="53"/>
      <x:c r="AF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  <x:c r="AA93" s="53"/>
      <x:c r="AB93" s="53"/>
      <x:c r="AC93" s="53"/>
      <x:c r="AD93" s="53"/>
      <x:c r="AE93" s="53"/>
      <x:c r="AF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3"/>
      <x:c r="AB94" s="53"/>
      <x:c r="AC94" s="53"/>
      <x:c r="AD94" s="53"/>
      <x:c r="AE94" s="53"/>
      <x:c r="AF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  <x:c r="AA95" s="53"/>
      <x:c r="AB95" s="53"/>
      <x:c r="AC95" s="53"/>
      <x:c r="AD95" s="53"/>
      <x:c r="AE95" s="53"/>
      <x:c r="AF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3"/>
      <x:c r="AB96" s="53"/>
      <x:c r="AC96" s="53"/>
      <x:c r="AD96" s="53"/>
      <x:c r="AE96" s="53"/>
      <x:c r="AF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  <x:c r="AA97" s="53"/>
      <x:c r="AB97" s="53"/>
      <x:c r="AC97" s="53"/>
      <x:c r="AD97" s="53"/>
      <x:c r="AE97" s="53"/>
      <x:c r="AF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3"/>
      <x:c r="AB98" s="53"/>
      <x:c r="AC98" s="53"/>
      <x:c r="AD98" s="53"/>
      <x:c r="AE98" s="53"/>
      <x:c r="AF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  <x:c r="AA99" s="53"/>
      <x:c r="AB99" s="53"/>
      <x:c r="AC99" s="53"/>
      <x:c r="AD99" s="53"/>
      <x:c r="AE99" s="53"/>
      <x:c r="AF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3"/>
      <x:c r="AB100" s="53"/>
      <x:c r="AC100" s="53"/>
      <x:c r="AD100" s="53"/>
      <x:c r="AE100" s="53"/>
      <x:c r="AF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  <x:c r="AA101" s="53"/>
      <x:c r="AB101" s="53"/>
      <x:c r="AC101" s="53"/>
      <x:c r="AD101" s="53"/>
      <x:c r="AE101" s="53"/>
      <x:c r="AF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3"/>
      <x:c r="AB102" s="53"/>
      <x:c r="AC102" s="53"/>
      <x:c r="AD102" s="53"/>
      <x:c r="AE102" s="53"/>
      <x:c r="AF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  <x:c r="AA103" s="53"/>
      <x:c r="AB103" s="53"/>
      <x:c r="AC103" s="53"/>
      <x:c r="AD103" s="53"/>
      <x:c r="AE103" s="53"/>
      <x:c r="AF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  <x:c r="AA104" s="53"/>
      <x:c r="AB104" s="53"/>
      <x:c r="AC104" s="53"/>
      <x:c r="AD104" s="53"/>
      <x:c r="AE104" s="53"/>
      <x:c r="AF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  <x:c r="AA105" s="53"/>
      <x:c r="AB105" s="53"/>
      <x:c r="AC105" s="53"/>
      <x:c r="AD105" s="53"/>
      <x:c r="AE105" s="53"/>
      <x:c r="AF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  <x:c r="AA106" s="53"/>
      <x:c r="AB106" s="53"/>
      <x:c r="AC106" s="53"/>
      <x:c r="AD106" s="53"/>
      <x:c r="AE106" s="53"/>
      <x:c r="AF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  <x:c r="AA107" s="53"/>
      <x:c r="AB107" s="53"/>
      <x:c r="AC107" s="53"/>
      <x:c r="AD107" s="53"/>
      <x:c r="AE107" s="53"/>
      <x:c r="AF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  <x:c r="AA108" s="53"/>
      <x:c r="AB108" s="53"/>
      <x:c r="AC108" s="53"/>
      <x:c r="AD108" s="53"/>
      <x:c r="AE108" s="53"/>
      <x:c r="AF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  <x:c r="AA109" s="53"/>
      <x:c r="AB109" s="53"/>
      <x:c r="AC109" s="53"/>
      <x:c r="AD109" s="53"/>
      <x:c r="AE109" s="53"/>
      <x:c r="AF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  <x:c r="AA110" s="53"/>
      <x:c r="AB110" s="53"/>
      <x:c r="AC110" s="53"/>
      <x:c r="AD110" s="53"/>
      <x:c r="AE110" s="53"/>
      <x:c r="AF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  <x:c r="AA111" s="53"/>
      <x:c r="AB111" s="53"/>
      <x:c r="AC111" s="53"/>
      <x:c r="AD111" s="53"/>
      <x:c r="AE111" s="53"/>
      <x:c r="AF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  <x:c r="AA112" s="53"/>
      <x:c r="AB112" s="53"/>
      <x:c r="AC112" s="53"/>
      <x:c r="AD112" s="53"/>
      <x:c r="AE112" s="53"/>
      <x:c r="AF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  <x:c r="AA113" s="53"/>
      <x:c r="AB113" s="53"/>
      <x:c r="AC113" s="53"/>
      <x:c r="AD113" s="53"/>
      <x:c r="AE113" s="53"/>
      <x:c r="AF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  <x:c r="AA114" s="53"/>
      <x:c r="AB114" s="53"/>
      <x:c r="AC114" s="53"/>
      <x:c r="AD114" s="53"/>
      <x:c r="AE114" s="53"/>
      <x:c r="AF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  <x:c r="AA115" s="53"/>
      <x:c r="AB115" s="53"/>
      <x:c r="AC115" s="53"/>
      <x:c r="AD115" s="53"/>
      <x:c r="AE115" s="53"/>
      <x:c r="AF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  <x:c r="AA116" s="53"/>
      <x:c r="AB116" s="53"/>
      <x:c r="AC116" s="53"/>
      <x:c r="AD116" s="53"/>
      <x:c r="AE116" s="53"/>
      <x:c r="AF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  <x:c r="AA117" s="53"/>
      <x:c r="AB117" s="53"/>
      <x:c r="AC117" s="53"/>
      <x:c r="AD117" s="53"/>
      <x:c r="AE117" s="53"/>
      <x:c r="AF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  <x:c r="AA118" s="53"/>
      <x:c r="AB118" s="53"/>
      <x:c r="AC118" s="53"/>
      <x:c r="AD118" s="53"/>
      <x:c r="AE118" s="53"/>
      <x:c r="AF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53"/>
      <x:c r="AC119" s="53"/>
      <x:c r="AD119" s="53"/>
      <x:c r="AE119" s="53"/>
      <x:c r="AF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53"/>
      <x:c r="AC120" s="53"/>
      <x:c r="AD120" s="53"/>
      <x:c r="AE120" s="53"/>
      <x:c r="AF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53"/>
      <x:c r="AC121" s="53"/>
      <x:c r="AD121" s="53"/>
      <x:c r="AE121" s="53"/>
      <x:c r="AF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53"/>
      <x:c r="AC122" s="53"/>
      <x:c r="AD122" s="53"/>
      <x:c r="AE122" s="53"/>
      <x:c r="AF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53"/>
      <x:c r="AC123" s="53"/>
      <x:c r="AD123" s="53"/>
      <x:c r="AE123" s="53"/>
      <x:c r="AF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53"/>
      <x:c r="AC124" s="53"/>
      <x:c r="AD124" s="53"/>
      <x:c r="AE124" s="53"/>
      <x:c r="AF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53"/>
      <x:c r="AC125" s="53"/>
      <x:c r="AD125" s="53"/>
      <x:c r="AE125" s="53"/>
      <x:c r="AF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53"/>
      <x:c r="AC126" s="53"/>
      <x:c r="AD126" s="53"/>
      <x:c r="AE126" s="53"/>
      <x:c r="AF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53"/>
      <x:c r="AC127" s="53"/>
      <x:c r="AD127" s="53"/>
      <x:c r="AE127" s="53"/>
      <x:c r="AF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53"/>
      <x:c r="AC128" s="53"/>
      <x:c r="AD128" s="53"/>
      <x:c r="AE128" s="53"/>
      <x:c r="AF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53"/>
      <x:c r="AC129" s="53"/>
      <x:c r="AD129" s="53"/>
      <x:c r="AE129" s="53"/>
      <x:c r="AF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53"/>
      <x:c r="AC130" s="53"/>
      <x:c r="AD130" s="53"/>
      <x:c r="AE130" s="53"/>
      <x:c r="AF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53"/>
      <x:c r="AC131" s="53"/>
      <x:c r="AD131" s="53"/>
      <x:c r="AE131" s="53"/>
      <x:c r="AF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53"/>
      <x:c r="AC132" s="53"/>
      <x:c r="AD132" s="53"/>
      <x:c r="AE132" s="53"/>
      <x:c r="AF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53"/>
      <x:c r="AC133" s="53"/>
      <x:c r="AD133" s="53"/>
      <x:c r="AE133" s="53"/>
      <x:c r="AF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53"/>
      <x:c r="AC134" s="53"/>
      <x:c r="AD134" s="53"/>
      <x:c r="AE134" s="53"/>
      <x:c r="AF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53"/>
      <x:c r="AC135" s="53"/>
      <x:c r="AD135" s="53"/>
      <x:c r="AE135" s="53"/>
      <x:c r="AF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53"/>
      <x:c r="AC136" s="53"/>
      <x:c r="AD136" s="53"/>
      <x:c r="AE136" s="53"/>
      <x:c r="AF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53"/>
      <x:c r="AC137" s="53"/>
      <x:c r="AD137" s="53"/>
      <x:c r="AE137" s="53"/>
      <x:c r="AF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53"/>
      <x:c r="AC138" s="53"/>
      <x:c r="AD138" s="53"/>
      <x:c r="AE138" s="53"/>
      <x:c r="AF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53"/>
      <x:c r="AC139" s="53"/>
      <x:c r="AD139" s="53"/>
      <x:c r="AE139" s="53"/>
      <x:c r="AF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53"/>
      <x:c r="AC140" s="53"/>
      <x:c r="AD140" s="53"/>
      <x:c r="AE140" s="53"/>
      <x:c r="AF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53"/>
      <x:c r="AC141" s="53"/>
      <x:c r="AD141" s="53"/>
      <x:c r="AE141" s="53"/>
      <x:c r="AF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53"/>
      <x:c r="AC142" s="53"/>
      <x:c r="AD142" s="53"/>
      <x:c r="AE142" s="53"/>
      <x:c r="AF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53"/>
      <x:c r="AC143" s="53"/>
      <x:c r="AD143" s="53"/>
      <x:c r="AE143" s="53"/>
      <x:c r="AF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53"/>
      <x:c r="AC144" s="53"/>
      <x:c r="AD144" s="53"/>
      <x:c r="AE144" s="53"/>
      <x:c r="AF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53"/>
      <x:c r="AC145" s="53"/>
      <x:c r="AD145" s="53"/>
      <x:c r="AE145" s="53"/>
      <x:c r="AF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53"/>
      <x:c r="AC146" s="53"/>
      <x:c r="AD146" s="53"/>
      <x:c r="AE146" s="53"/>
      <x:c r="AF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53"/>
      <x:c r="AC147" s="53"/>
      <x:c r="AD147" s="53"/>
      <x:c r="AE147" s="53"/>
      <x:c r="AF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53"/>
      <x:c r="AC148" s="53"/>
      <x:c r="AD148" s="53"/>
      <x:c r="AE148" s="53"/>
      <x:c r="AF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53"/>
      <x:c r="AC149" s="53"/>
      <x:c r="AD149" s="53"/>
      <x:c r="AE149" s="53"/>
      <x:c r="AF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53"/>
      <x:c r="AC150" s="53"/>
      <x:c r="AD150" s="53"/>
      <x:c r="AE150" s="53"/>
      <x:c r="AF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53"/>
      <x:c r="AC151" s="53"/>
      <x:c r="AD151" s="53"/>
      <x:c r="AE151" s="53"/>
      <x:c r="AF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53"/>
      <x:c r="AC152" s="53"/>
      <x:c r="AD152" s="53"/>
      <x:c r="AE152" s="53"/>
      <x:c r="AF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53"/>
      <x:c r="AC153" s="53"/>
      <x:c r="AD153" s="53"/>
      <x:c r="AE153" s="53"/>
      <x:c r="AF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53"/>
      <x:c r="AC154" s="53"/>
      <x:c r="AD154" s="53"/>
      <x:c r="AE154" s="53"/>
      <x:c r="AF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53"/>
      <x:c r="AC155" s="53"/>
      <x:c r="AD155" s="53"/>
      <x:c r="AE155" s="53"/>
      <x:c r="AF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53"/>
      <x:c r="AC156" s="53"/>
      <x:c r="AD156" s="53"/>
      <x:c r="AE156" s="53"/>
      <x:c r="AF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53"/>
      <x:c r="AC157" s="53"/>
      <x:c r="AD157" s="53"/>
      <x:c r="AE157" s="53"/>
      <x:c r="AF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53"/>
      <x:c r="AC158" s="53"/>
      <x:c r="AD158" s="53"/>
      <x:c r="AE158" s="53"/>
      <x:c r="AF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53"/>
      <x:c r="AC159" s="53"/>
      <x:c r="AD159" s="53"/>
      <x:c r="AE159" s="53"/>
      <x:c r="AF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53"/>
      <x:c r="AC160" s="53"/>
      <x:c r="AD160" s="53"/>
      <x:c r="AE160" s="53"/>
      <x:c r="AF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53"/>
      <x:c r="AC161" s="53"/>
      <x:c r="AD161" s="53"/>
      <x:c r="AE161" s="53"/>
      <x:c r="AF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53"/>
      <x:c r="AC162" s="53"/>
      <x:c r="AD162" s="53"/>
      <x:c r="AE162" s="53"/>
      <x:c r="AF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53"/>
      <x:c r="AC163" s="53"/>
      <x:c r="AD163" s="53"/>
      <x:c r="AE163" s="53"/>
      <x:c r="AF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53"/>
      <x:c r="AC164" s="53"/>
      <x:c r="AD164" s="53"/>
      <x:c r="AE164" s="53"/>
      <x:c r="AF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53"/>
      <x:c r="AC165" s="53"/>
      <x:c r="AD165" s="53"/>
      <x:c r="AE165" s="53"/>
      <x:c r="AF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53"/>
      <x:c r="AC166" s="53"/>
      <x:c r="AD166" s="53"/>
      <x:c r="AE166" s="53"/>
      <x:c r="AF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53"/>
      <x:c r="AC167" s="53"/>
      <x:c r="AD167" s="53"/>
      <x:c r="AE167" s="53"/>
      <x:c r="AF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53"/>
      <x:c r="AC168" s="53"/>
      <x:c r="AD168" s="53"/>
      <x:c r="AE168" s="53"/>
      <x:c r="AF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53"/>
      <x:c r="AC169" s="53"/>
      <x:c r="AD169" s="53"/>
      <x:c r="AE169" s="53"/>
      <x:c r="AF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53"/>
      <x:c r="AC170" s="53"/>
      <x:c r="AD170" s="53"/>
      <x:c r="AE170" s="53"/>
      <x:c r="AF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53"/>
      <x:c r="AC171" s="53"/>
      <x:c r="AD171" s="53"/>
      <x:c r="AE171" s="53"/>
      <x:c r="AF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53"/>
      <x:c r="AC172" s="53"/>
      <x:c r="AD172" s="53"/>
      <x:c r="AE172" s="53"/>
      <x:c r="AF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53"/>
      <x:c r="AC173" s="53"/>
      <x:c r="AD173" s="53"/>
      <x:c r="AE173" s="53"/>
      <x:c r="AF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53"/>
      <x:c r="AC174" s="53"/>
      <x:c r="AD174" s="53"/>
      <x:c r="AE174" s="53"/>
      <x:c r="AF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53"/>
      <x:c r="AC175" s="53"/>
      <x:c r="AD175" s="53"/>
      <x:c r="AE175" s="53"/>
      <x:c r="AF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53"/>
      <x:c r="AC176" s="53"/>
      <x:c r="AD176" s="53"/>
      <x:c r="AE176" s="53"/>
      <x:c r="AF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53"/>
      <x:c r="AC177" s="53"/>
      <x:c r="AD177" s="53"/>
      <x:c r="AE177" s="53"/>
      <x:c r="AF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53"/>
      <x:c r="AC178" s="53"/>
      <x:c r="AD178" s="53"/>
      <x:c r="AE178" s="53"/>
      <x:c r="AF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53"/>
      <x:c r="AC179" s="53"/>
      <x:c r="AD179" s="53"/>
      <x:c r="AE179" s="53"/>
      <x:c r="AF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53"/>
      <x:c r="AC180" s="53"/>
      <x:c r="AD180" s="53"/>
      <x:c r="AE180" s="53"/>
      <x:c r="AF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53"/>
      <x:c r="AC181" s="53"/>
      <x:c r="AD181" s="53"/>
      <x:c r="AE181" s="53"/>
      <x:c r="AF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53"/>
      <x:c r="AC182" s="53"/>
      <x:c r="AD182" s="53"/>
      <x:c r="AE182" s="53"/>
      <x:c r="AF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53"/>
      <x:c r="AC183" s="53"/>
      <x:c r="AD183" s="53"/>
      <x:c r="AE183" s="53"/>
      <x:c r="AF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53"/>
      <x:c r="AC184" s="53"/>
      <x:c r="AD184" s="53"/>
      <x:c r="AE184" s="53"/>
      <x:c r="AF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53"/>
      <x:c r="AC185" s="53"/>
      <x:c r="AD185" s="53"/>
      <x:c r="AE185" s="53"/>
      <x:c r="AF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53"/>
      <x:c r="AC186" s="53"/>
      <x:c r="AD186" s="53"/>
      <x:c r="AE186" s="53"/>
      <x:c r="AF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53"/>
      <x:c r="AC187" s="53"/>
      <x:c r="AD187" s="53"/>
      <x:c r="AE187" s="53"/>
      <x:c r="AF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53"/>
      <x:c r="AC188" s="53"/>
      <x:c r="AD188" s="53"/>
      <x:c r="AE188" s="53"/>
      <x:c r="AF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53"/>
      <x:c r="AC189" s="53"/>
      <x:c r="AD189" s="53"/>
      <x:c r="AE189" s="53"/>
      <x:c r="AF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53"/>
      <x:c r="AC190" s="53"/>
      <x:c r="AD190" s="53"/>
      <x:c r="AE190" s="53"/>
      <x:c r="AF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53"/>
      <x:c r="AC191" s="53"/>
      <x:c r="AD191" s="53"/>
      <x:c r="AE191" s="53"/>
      <x:c r="AF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53"/>
      <x:c r="AC192" s="53"/>
      <x:c r="AD192" s="53"/>
      <x:c r="AE192" s="53"/>
      <x:c r="AF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53"/>
      <x:c r="AC193" s="53"/>
      <x:c r="AD193" s="53"/>
      <x:c r="AE193" s="53"/>
      <x:c r="AF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53"/>
      <x:c r="AC194" s="53"/>
      <x:c r="AD194" s="53"/>
      <x:c r="AE194" s="53"/>
      <x:c r="AF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53"/>
      <x:c r="AC195" s="53"/>
      <x:c r="AD195" s="53"/>
      <x:c r="AE195" s="53"/>
      <x:c r="AF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53"/>
      <x:c r="AC196" s="53"/>
      <x:c r="AD196" s="53"/>
      <x:c r="AE196" s="53"/>
      <x:c r="AF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  <x:c r="AA197" s="53"/>
      <x:c r="AB197" s="53"/>
      <x:c r="AC197" s="53"/>
      <x:c r="AD197" s="53"/>
      <x:c r="AE197" s="53"/>
      <x:c r="AF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  <x:c r="AA198" s="53"/>
      <x:c r="AB198" s="53"/>
      <x:c r="AC198" s="53"/>
      <x:c r="AD198" s="53"/>
      <x:c r="AE198" s="53"/>
      <x:c r="AF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  <x:c r="AA199" s="53"/>
      <x:c r="AB199" s="53"/>
      <x:c r="AC199" s="53"/>
      <x:c r="AD199" s="53"/>
      <x:c r="AE199" s="53"/>
      <x:c r="AF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  <x:c r="AA200" s="53"/>
      <x:c r="AB200" s="53"/>
      <x:c r="AC200" s="53"/>
      <x:c r="AD200" s="53"/>
      <x:c r="AE200" s="53"/>
      <x:c r="AF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  <x:c r="AA201" s="53"/>
      <x:c r="AB201" s="53"/>
      <x:c r="AC201" s="53"/>
      <x:c r="AD201" s="53"/>
      <x:c r="AE201" s="53"/>
      <x:c r="AF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  <x:c r="AA202" s="53"/>
      <x:c r="AB202" s="53"/>
      <x:c r="AC202" s="53"/>
      <x:c r="AD202" s="53"/>
      <x:c r="AE202" s="53"/>
      <x:c r="AF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  <x:c r="AA203" s="53"/>
      <x:c r="AB203" s="53"/>
      <x:c r="AC203" s="53"/>
      <x:c r="AD203" s="53"/>
      <x:c r="AE203" s="53"/>
      <x:c r="AF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  <x:c r="AA204" s="53"/>
      <x:c r="AB204" s="53"/>
      <x:c r="AC204" s="53"/>
      <x:c r="AD204" s="53"/>
      <x:c r="AE204" s="53"/>
      <x:c r="AF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  <x:c r="AA205" s="53"/>
      <x:c r="AB205" s="53"/>
      <x:c r="AC205" s="53"/>
      <x:c r="AD205" s="53"/>
      <x:c r="AE205" s="53"/>
      <x:c r="AF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  <x:c r="AA206" s="53"/>
      <x:c r="AB206" s="53"/>
      <x:c r="AC206" s="53"/>
      <x:c r="AD206" s="53"/>
      <x:c r="AE206" s="53"/>
      <x:c r="AF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  <x:c r="AA207" s="53"/>
      <x:c r="AB207" s="53"/>
      <x:c r="AC207" s="53"/>
      <x:c r="AD207" s="53"/>
      <x:c r="AE207" s="53"/>
      <x:c r="AF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  <x:c r="AA208" s="53"/>
      <x:c r="AB208" s="53"/>
      <x:c r="AC208" s="53"/>
      <x:c r="AD208" s="53"/>
      <x:c r="AE208" s="53"/>
      <x:c r="AF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  <x:c r="AA209" s="53"/>
      <x:c r="AB209" s="53"/>
      <x:c r="AC209" s="53"/>
      <x:c r="AD209" s="53"/>
      <x:c r="AE209" s="53"/>
      <x:c r="AF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  <x:c r="AA210" s="53"/>
      <x:c r="AB210" s="53"/>
      <x:c r="AC210" s="53"/>
      <x:c r="AD210" s="53"/>
      <x:c r="AE210" s="53"/>
      <x:c r="AF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  <x:c r="AA211" s="53"/>
      <x:c r="AB211" s="53"/>
      <x:c r="AC211" s="53"/>
      <x:c r="AD211" s="53"/>
      <x:c r="AE211" s="53"/>
      <x:c r="AF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  <x:c r="AA212" s="53"/>
      <x:c r="AB212" s="53"/>
      <x:c r="AC212" s="53"/>
      <x:c r="AD212" s="53"/>
      <x:c r="AE212" s="53"/>
      <x:c r="AF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  <x:c r="AA213" s="53"/>
      <x:c r="AB213" s="53"/>
      <x:c r="AC213" s="53"/>
      <x:c r="AD213" s="53"/>
      <x:c r="AE213" s="53"/>
      <x:c r="AF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  <x:c r="AA214" s="53"/>
      <x:c r="AB214" s="53"/>
      <x:c r="AC214" s="53"/>
      <x:c r="AD214" s="53"/>
      <x:c r="AE214" s="53"/>
      <x:c r="AF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  <x:c r="AA215" s="53"/>
      <x:c r="AB215" s="53"/>
      <x:c r="AC215" s="53"/>
      <x:c r="AD215" s="53"/>
      <x:c r="AE215" s="53"/>
      <x:c r="AF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  <x:c r="AA216" s="53"/>
      <x:c r="AB216" s="53"/>
      <x:c r="AC216" s="53"/>
      <x:c r="AD216" s="53"/>
      <x:c r="AE216" s="53"/>
      <x:c r="AF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  <x:c r="AA217" s="53"/>
      <x:c r="AB217" s="53"/>
      <x:c r="AC217" s="53"/>
      <x:c r="AD217" s="53"/>
      <x:c r="AE217" s="53"/>
      <x:c r="AF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  <x:c r="AA218" s="53"/>
      <x:c r="AB218" s="53"/>
      <x:c r="AC218" s="53"/>
      <x:c r="AD218" s="53"/>
      <x:c r="AE218" s="53"/>
      <x:c r="AF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  <x:c r="AA219" s="53"/>
      <x:c r="AB219" s="53"/>
      <x:c r="AC219" s="53"/>
      <x:c r="AD219" s="53"/>
      <x:c r="AE219" s="53"/>
      <x:c r="AF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  <x:c r="AA220" s="53"/>
      <x:c r="AB220" s="53"/>
      <x:c r="AC220" s="53"/>
      <x:c r="AD220" s="53"/>
      <x:c r="AE220" s="53"/>
      <x:c r="AF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  <x:c r="AA221" s="53"/>
      <x:c r="AB221" s="53"/>
      <x:c r="AC221" s="53"/>
      <x:c r="AD221" s="53"/>
      <x:c r="AE221" s="53"/>
      <x:c r="AF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  <x:c r="AA222" s="53"/>
      <x:c r="AB222" s="53"/>
      <x:c r="AC222" s="53"/>
      <x:c r="AD222" s="53"/>
      <x:c r="AE222" s="53"/>
      <x:c r="AF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  <x:c r="AA223" s="53"/>
      <x:c r="AB223" s="53"/>
      <x:c r="AC223" s="53"/>
      <x:c r="AD223" s="53"/>
      <x:c r="AE223" s="53"/>
      <x:c r="AF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  <x:c r="AA224" s="53"/>
      <x:c r="AB224" s="53"/>
      <x:c r="AC224" s="53"/>
      <x:c r="AD224" s="53"/>
      <x:c r="AE224" s="53"/>
      <x:c r="AF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  <x:c r="AA225" s="53"/>
      <x:c r="AB225" s="53"/>
      <x:c r="AC225" s="53"/>
      <x:c r="AD225" s="53"/>
      <x:c r="AE225" s="53"/>
      <x:c r="AF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  <x:c r="AA226" s="53"/>
      <x:c r="AB226" s="53"/>
      <x:c r="AC226" s="53"/>
      <x:c r="AD226" s="53"/>
      <x:c r="AE226" s="53"/>
      <x:c r="AF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  <x:c r="AA227" s="53"/>
      <x:c r="AB227" s="53"/>
      <x:c r="AC227" s="53"/>
      <x:c r="AD227" s="53"/>
      <x:c r="AE227" s="53"/>
      <x:c r="AF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  <x:c r="AA228" s="53"/>
      <x:c r="AB228" s="53"/>
      <x:c r="AC228" s="53"/>
      <x:c r="AD228" s="53"/>
      <x:c r="AE228" s="53"/>
      <x:c r="AF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  <x:c r="AA229" s="53"/>
      <x:c r="AB229" s="53"/>
      <x:c r="AC229" s="53"/>
      <x:c r="AD229" s="53"/>
      <x:c r="AE229" s="53"/>
      <x:c r="AF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  <x:c r="AA230" s="53"/>
      <x:c r="AB230" s="53"/>
      <x:c r="AC230" s="53"/>
      <x:c r="AD230" s="53"/>
      <x:c r="AE230" s="53"/>
      <x:c r="AF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  <x:c r="AA231" s="53"/>
      <x:c r="AB231" s="53"/>
      <x:c r="AC231" s="53"/>
      <x:c r="AD231" s="53"/>
      <x:c r="AE231" s="53"/>
      <x:c r="AF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  <x:c r="AA232" s="53"/>
      <x:c r="AB232" s="53"/>
      <x:c r="AC232" s="53"/>
      <x:c r="AD232" s="53"/>
      <x:c r="AE232" s="53"/>
      <x:c r="AF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  <x:c r="AA233" s="53"/>
      <x:c r="AB233" s="53"/>
      <x:c r="AC233" s="53"/>
      <x:c r="AD233" s="53"/>
      <x:c r="AE233" s="53"/>
      <x:c r="AF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  <x:c r="AA234" s="53"/>
      <x:c r="AB234" s="53"/>
      <x:c r="AC234" s="53"/>
      <x:c r="AD234" s="53"/>
      <x:c r="AE234" s="53"/>
      <x:c r="AF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  <x:c r="AA235" s="53"/>
      <x:c r="AB235" s="53"/>
      <x:c r="AC235" s="53"/>
      <x:c r="AD235" s="53"/>
      <x:c r="AE235" s="53"/>
      <x:c r="AF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  <x:c r="AA236" s="53"/>
      <x:c r="AB236" s="53"/>
      <x:c r="AC236" s="53"/>
      <x:c r="AD236" s="53"/>
      <x:c r="AE236" s="53"/>
      <x:c r="AF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  <x:c r="AA237" s="53"/>
      <x:c r="AB237" s="53"/>
      <x:c r="AC237" s="53"/>
      <x:c r="AD237" s="53"/>
      <x:c r="AE237" s="53"/>
      <x:c r="AF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  <x:c r="AA238" s="53"/>
      <x:c r="AB238" s="53"/>
      <x:c r="AC238" s="53"/>
      <x:c r="AD238" s="53"/>
      <x:c r="AE238" s="53"/>
      <x:c r="AF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  <x:c r="AA239" s="53"/>
      <x:c r="AB239" s="53"/>
      <x:c r="AC239" s="53"/>
      <x:c r="AD239" s="53"/>
      <x:c r="AE239" s="53"/>
      <x:c r="AF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  <x:c r="AA240" s="53"/>
      <x:c r="AB240" s="53"/>
      <x:c r="AC240" s="53"/>
      <x:c r="AD240" s="53"/>
      <x:c r="AE240" s="53"/>
      <x:c r="AF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  <x:c r="AA241" s="53"/>
      <x:c r="AB241" s="53"/>
      <x:c r="AC241" s="53"/>
      <x:c r="AD241" s="53"/>
      <x:c r="AE241" s="53"/>
      <x:c r="AF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  <x:c r="AA242" s="53"/>
      <x:c r="AB242" s="53"/>
      <x:c r="AC242" s="53"/>
      <x:c r="AD242" s="53"/>
      <x:c r="AE242" s="53"/>
      <x:c r="AF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  <x:c r="AA243" s="53"/>
      <x:c r="AB243" s="53"/>
      <x:c r="AC243" s="53"/>
      <x:c r="AD243" s="53"/>
      <x:c r="AE243" s="53"/>
      <x:c r="AF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  <x:c r="AA244" s="53"/>
      <x:c r="AB244" s="53"/>
      <x:c r="AC244" s="53"/>
      <x:c r="AD244" s="53"/>
      <x:c r="AE244" s="53"/>
      <x:c r="AF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  <x:c r="AA245" s="53"/>
      <x:c r="AB245" s="53"/>
      <x:c r="AC245" s="53"/>
      <x:c r="AD245" s="53"/>
      <x:c r="AE245" s="53"/>
      <x:c r="AF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  <x:c r="AA246" s="53"/>
      <x:c r="AB246" s="53"/>
      <x:c r="AC246" s="53"/>
      <x:c r="AD246" s="53"/>
      <x:c r="AE246" s="53"/>
      <x:c r="AF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  <x:c r="AA247" s="53"/>
      <x:c r="AB247" s="53"/>
      <x:c r="AC247" s="53"/>
      <x:c r="AD247" s="53"/>
      <x:c r="AE247" s="53"/>
      <x:c r="AF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  <x:c r="AA248" s="53"/>
      <x:c r="AB248" s="53"/>
      <x:c r="AC248" s="53"/>
      <x:c r="AD248" s="53"/>
      <x:c r="AE248" s="53"/>
      <x:c r="AF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  <x:c r="AA249" s="53"/>
      <x:c r="AB249" s="53"/>
      <x:c r="AC249" s="53"/>
      <x:c r="AD249" s="53"/>
      <x:c r="AE249" s="53"/>
      <x:c r="AF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  <x:c r="AA250" s="53"/>
      <x:c r="AB250" s="53"/>
      <x:c r="AC250" s="53"/>
      <x:c r="AD250" s="53"/>
      <x:c r="AE250" s="53"/>
      <x:c r="AF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  <x:c r="AA251" s="53"/>
      <x:c r="AB251" s="53"/>
      <x:c r="AC251" s="53"/>
      <x:c r="AD251" s="53"/>
      <x:c r="AE251" s="53"/>
      <x:c r="AF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  <x:c r="AA252" s="53"/>
      <x:c r="AB252" s="53"/>
      <x:c r="AC252" s="53"/>
      <x:c r="AD252" s="53"/>
      <x:c r="AE252" s="53"/>
      <x:c r="AF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  <x:c r="AA253" s="53"/>
      <x:c r="AB253" s="53"/>
      <x:c r="AC253" s="53"/>
      <x:c r="AD253" s="53"/>
      <x:c r="AE253" s="53"/>
      <x:c r="AF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  <x:c r="AA254" s="53"/>
      <x:c r="AB254" s="53"/>
      <x:c r="AC254" s="53"/>
      <x:c r="AD254" s="53"/>
      <x:c r="AE254" s="53"/>
      <x:c r="AF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  <x:c r="AA255" s="53"/>
      <x:c r="AB255" s="53"/>
      <x:c r="AC255" s="53"/>
      <x:c r="AD255" s="53"/>
      <x:c r="AE255" s="53"/>
      <x:c r="AF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  <x:c r="AA256" s="53"/>
      <x:c r="AB256" s="53"/>
      <x:c r="AC256" s="53"/>
      <x:c r="AD256" s="53"/>
      <x:c r="AE256" s="53"/>
      <x:c r="AF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  <x:c r="AA257" s="53"/>
      <x:c r="AB257" s="53"/>
      <x:c r="AC257" s="53"/>
      <x:c r="AD257" s="53"/>
      <x:c r="AE257" s="53"/>
      <x:c r="AF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  <x:c r="AA258" s="53"/>
      <x:c r="AB258" s="53"/>
      <x:c r="AC258" s="53"/>
      <x:c r="AD258" s="53"/>
      <x:c r="AE258" s="53"/>
      <x:c r="AF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  <x:c r="AA259" s="53"/>
      <x:c r="AB259" s="53"/>
      <x:c r="AC259" s="53"/>
      <x:c r="AD259" s="53"/>
      <x:c r="AE259" s="53"/>
      <x:c r="AF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  <x:c r="AA260" s="53"/>
      <x:c r="AB260" s="53"/>
      <x:c r="AC260" s="53"/>
      <x:c r="AD260" s="53"/>
      <x:c r="AE260" s="53"/>
      <x:c r="AF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  <x:c r="AA261" s="53"/>
      <x:c r="AB261" s="53"/>
      <x:c r="AC261" s="53"/>
      <x:c r="AD261" s="53"/>
      <x:c r="AE261" s="53"/>
      <x:c r="AF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  <x:c r="AA262" s="53"/>
      <x:c r="AB262" s="53"/>
      <x:c r="AC262" s="53"/>
      <x:c r="AD262" s="53"/>
      <x:c r="AE262" s="53"/>
      <x:c r="AF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  <x:c r="AA263" s="53"/>
      <x:c r="AB263" s="53"/>
      <x:c r="AC263" s="53"/>
      <x:c r="AD263" s="53"/>
      <x:c r="AE263" s="53"/>
      <x:c r="AF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  <x:c r="AA264" s="53"/>
      <x:c r="AB264" s="53"/>
      <x:c r="AC264" s="53"/>
      <x:c r="AD264" s="53"/>
      <x:c r="AE264" s="53"/>
      <x:c r="AF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  <x:c r="AA265" s="53"/>
      <x:c r="AB265" s="53"/>
      <x:c r="AC265" s="53"/>
      <x:c r="AD265" s="53"/>
      <x:c r="AE265" s="53"/>
      <x:c r="AF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  <x:c r="AA266" s="53"/>
      <x:c r="AB266" s="53"/>
      <x:c r="AC266" s="53"/>
      <x:c r="AD266" s="53"/>
      <x:c r="AE266" s="53"/>
      <x:c r="AF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  <x:c r="AA267" s="53"/>
      <x:c r="AB267" s="53"/>
      <x:c r="AC267" s="53"/>
      <x:c r="AD267" s="53"/>
      <x:c r="AE267" s="53"/>
      <x:c r="AF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  <x:c r="AA268" s="53"/>
      <x:c r="AB268" s="53"/>
      <x:c r="AC268" s="53"/>
      <x:c r="AD268" s="53"/>
      <x:c r="AE268" s="53"/>
      <x:c r="AF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  <x:c r="AA269" s="53"/>
      <x:c r="AB269" s="53"/>
      <x:c r="AC269" s="53"/>
      <x:c r="AD269" s="53"/>
      <x:c r="AE269" s="53"/>
      <x:c r="AF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  <x:c r="AA270" s="53"/>
      <x:c r="AB270" s="53"/>
      <x:c r="AC270" s="53"/>
      <x:c r="AD270" s="53"/>
      <x:c r="AE270" s="53"/>
      <x:c r="AF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  <x:c r="AA271" s="53"/>
      <x:c r="AB271" s="53"/>
      <x:c r="AC271" s="53"/>
      <x:c r="AD271" s="53"/>
      <x:c r="AE271" s="53"/>
      <x:c r="AF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  <x:c r="AA272" s="53"/>
      <x:c r="AB272" s="53"/>
      <x:c r="AC272" s="53"/>
      <x:c r="AD272" s="53"/>
      <x:c r="AE272" s="53"/>
      <x:c r="AF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  <x:c r="AA273" s="53"/>
      <x:c r="AB273" s="53"/>
      <x:c r="AC273" s="53"/>
      <x:c r="AD273" s="53"/>
      <x:c r="AE273" s="53"/>
      <x:c r="AF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  <x:c r="AA274" s="53"/>
      <x:c r="AB274" s="53"/>
      <x:c r="AC274" s="53"/>
      <x:c r="AD274" s="53"/>
      <x:c r="AE274" s="53"/>
      <x:c r="AF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  <x:c r="AA275" s="53"/>
      <x:c r="AB275" s="53"/>
      <x:c r="AC275" s="53"/>
      <x:c r="AD275" s="53"/>
      <x:c r="AE275" s="53"/>
      <x:c r="AF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  <x:c r="AA276" s="53"/>
      <x:c r="AB276" s="53"/>
      <x:c r="AC276" s="53"/>
      <x:c r="AD276" s="53"/>
      <x:c r="AE276" s="53"/>
      <x:c r="AF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  <x:c r="AA277" s="53"/>
      <x:c r="AB277" s="53"/>
      <x:c r="AC277" s="53"/>
      <x:c r="AD277" s="53"/>
      <x:c r="AE277" s="53"/>
      <x:c r="AF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  <x:c r="AA278" s="53"/>
      <x:c r="AB278" s="53"/>
      <x:c r="AC278" s="53"/>
      <x:c r="AD278" s="53"/>
      <x:c r="AE278" s="53"/>
      <x:c r="AF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  <x:c r="AA279" s="53"/>
      <x:c r="AB279" s="53"/>
      <x:c r="AC279" s="53"/>
      <x:c r="AD279" s="53"/>
      <x:c r="AE279" s="53"/>
      <x:c r="AF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  <x:c r="AA280" s="53"/>
      <x:c r="AB280" s="53"/>
      <x:c r="AC280" s="53"/>
      <x:c r="AD280" s="53"/>
      <x:c r="AE280" s="53"/>
      <x:c r="AF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  <x:c r="AA281" s="53"/>
      <x:c r="AB281" s="53"/>
      <x:c r="AC281" s="53"/>
      <x:c r="AD281" s="53"/>
      <x:c r="AE281" s="53"/>
      <x:c r="AF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  <x:c r="AA282" s="53"/>
      <x:c r="AB282" s="53"/>
      <x:c r="AC282" s="53"/>
      <x:c r="AD282" s="53"/>
      <x:c r="AE282" s="53"/>
      <x:c r="AF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  <x:c r="AA283" s="53"/>
      <x:c r="AB283" s="53"/>
      <x:c r="AC283" s="53"/>
      <x:c r="AD283" s="53"/>
      <x:c r="AE283" s="53"/>
      <x:c r="AF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  <x:c r="AA284" s="53"/>
      <x:c r="AB284" s="53"/>
      <x:c r="AC284" s="53"/>
      <x:c r="AD284" s="53"/>
      <x:c r="AE284" s="53"/>
      <x:c r="AF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  <x:c r="AA285" s="53"/>
      <x:c r="AB285" s="53"/>
      <x:c r="AC285" s="53"/>
      <x:c r="AD285" s="53"/>
      <x:c r="AE285" s="53"/>
      <x:c r="AF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  <x:c r="AA286" s="53"/>
      <x:c r="AB286" s="53"/>
      <x:c r="AC286" s="53"/>
      <x:c r="AD286" s="53"/>
      <x:c r="AE286" s="53"/>
      <x:c r="AF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  <x:c r="AA287" s="53"/>
      <x:c r="AB287" s="53"/>
      <x:c r="AC287" s="53"/>
      <x:c r="AD287" s="53"/>
      <x:c r="AE287" s="53"/>
      <x:c r="AF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  <x:c r="AA288" s="53"/>
      <x:c r="AB288" s="53"/>
      <x:c r="AC288" s="53"/>
      <x:c r="AD288" s="53"/>
      <x:c r="AE288" s="53"/>
      <x:c r="AF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  <x:c r="AA289" s="53"/>
      <x:c r="AB289" s="53"/>
      <x:c r="AC289" s="53"/>
      <x:c r="AD289" s="53"/>
      <x:c r="AE289" s="53"/>
      <x:c r="AF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  <x:c r="AA290" s="53"/>
      <x:c r="AB290" s="53"/>
      <x:c r="AC290" s="53"/>
      <x:c r="AD290" s="53"/>
      <x:c r="AE290" s="53"/>
      <x:c r="AF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  <x:c r="AA291" s="53"/>
      <x:c r="AB291" s="53"/>
      <x:c r="AC291" s="53"/>
      <x:c r="AD291" s="53"/>
      <x:c r="AE291" s="53"/>
      <x:c r="AF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  <x:c r="AA292" s="53"/>
      <x:c r="AB292" s="53"/>
      <x:c r="AC292" s="53"/>
      <x:c r="AD292" s="53"/>
      <x:c r="AE292" s="53"/>
      <x:c r="AF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  <x:c r="AA293" s="53"/>
      <x:c r="AB293" s="53"/>
      <x:c r="AC293" s="53"/>
      <x:c r="AD293" s="53"/>
      <x:c r="AE293" s="53"/>
      <x:c r="AF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  <x:c r="AA294" s="53"/>
      <x:c r="AB294" s="53"/>
      <x:c r="AC294" s="53"/>
      <x:c r="AD294" s="53"/>
      <x:c r="AE294" s="53"/>
      <x:c r="AF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  <x:c r="AA295" s="53"/>
      <x:c r="AB295" s="53"/>
      <x:c r="AC295" s="53"/>
      <x:c r="AD295" s="53"/>
      <x:c r="AE295" s="53"/>
      <x:c r="AF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  <x:c r="AA296" s="53"/>
      <x:c r="AB296" s="53"/>
      <x:c r="AC296" s="53"/>
      <x:c r="AD296" s="53"/>
      <x:c r="AE296" s="53"/>
      <x:c r="AF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  <x:c r="AA297" s="53"/>
      <x:c r="AB297" s="53"/>
      <x:c r="AC297" s="53"/>
      <x:c r="AD297" s="53"/>
      <x:c r="AE297" s="53"/>
      <x:c r="AF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  <x:c r="AA298" s="53"/>
      <x:c r="AB298" s="53"/>
      <x:c r="AC298" s="53"/>
      <x:c r="AD298" s="53"/>
      <x:c r="AE298" s="53"/>
      <x:c r="AF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  <x:c r="AA299" s="53"/>
      <x:c r="AB299" s="53"/>
      <x:c r="AC299" s="53"/>
      <x:c r="AD299" s="53"/>
      <x:c r="AE299" s="53"/>
      <x:c r="AF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  <x:c r="AA300" s="53"/>
      <x:c r="AB300" s="53"/>
      <x:c r="AC300" s="53"/>
      <x:c r="AD300" s="53"/>
      <x:c r="AE300" s="53"/>
      <x:c r="AF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  <x:c r="AA301" s="53"/>
      <x:c r="AB301" s="53"/>
      <x:c r="AC301" s="53"/>
      <x:c r="AD301" s="53"/>
      <x:c r="AE301" s="53"/>
      <x:c r="AF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  <x:c r="AA302" s="53"/>
      <x:c r="AB302" s="53"/>
      <x:c r="AC302" s="53"/>
      <x:c r="AD302" s="53"/>
      <x:c r="AE302" s="53"/>
      <x:c r="AF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  <x:c r="AA303" s="53"/>
      <x:c r="AB303" s="53"/>
      <x:c r="AC303" s="53"/>
      <x:c r="AD303" s="53"/>
      <x:c r="AE303" s="53"/>
      <x:c r="AF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  <x:c r="AA304" s="53"/>
      <x:c r="AB304" s="53"/>
      <x:c r="AC304" s="53"/>
      <x:c r="AD304" s="53"/>
      <x:c r="AE304" s="53"/>
      <x:c r="AF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  <x:c r="AA305" s="53"/>
      <x:c r="AB305" s="53"/>
      <x:c r="AC305" s="53"/>
      <x:c r="AD305" s="53"/>
      <x:c r="AE305" s="53"/>
      <x:c r="AF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  <x:c r="AA306" s="53"/>
      <x:c r="AB306" s="53"/>
      <x:c r="AC306" s="53"/>
      <x:c r="AD306" s="53"/>
      <x:c r="AE306" s="53"/>
      <x:c r="AF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  <x:c r="AA307" s="53"/>
      <x:c r="AB307" s="53"/>
      <x:c r="AC307" s="53"/>
      <x:c r="AD307" s="53"/>
      <x:c r="AE307" s="53"/>
      <x:c r="AF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  <x:c r="AA308" s="53"/>
      <x:c r="AB308" s="53"/>
      <x:c r="AC308" s="53"/>
      <x:c r="AD308" s="53"/>
      <x:c r="AE308" s="53"/>
      <x:c r="AF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  <x:c r="AA309" s="53"/>
      <x:c r="AB309" s="53"/>
      <x:c r="AC309" s="53"/>
      <x:c r="AD309" s="53"/>
      <x:c r="AE309" s="53"/>
      <x:c r="AF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  <x:c r="AA310" s="53"/>
      <x:c r="AB310" s="53"/>
      <x:c r="AC310" s="53"/>
      <x:c r="AD310" s="53"/>
      <x:c r="AE310" s="53"/>
      <x:c r="AF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  <x:c r="AA311" s="53"/>
      <x:c r="AB311" s="53"/>
      <x:c r="AC311" s="53"/>
      <x:c r="AD311" s="53"/>
      <x:c r="AE311" s="53"/>
      <x:c r="AF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  <x:c r="AA312" s="53"/>
      <x:c r="AB312" s="53"/>
      <x:c r="AC312" s="53"/>
      <x:c r="AD312" s="53"/>
      <x:c r="AE312" s="53"/>
      <x:c r="AF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  <x:c r="AA313" s="53"/>
      <x:c r="AB313" s="53"/>
      <x:c r="AC313" s="53"/>
      <x:c r="AD313" s="53"/>
      <x:c r="AE313" s="53"/>
      <x:c r="AF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  <x:c r="AA314" s="53"/>
      <x:c r="AB314" s="53"/>
      <x:c r="AC314" s="53"/>
      <x:c r="AD314" s="53"/>
      <x:c r="AE314" s="53"/>
      <x:c r="AF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  <x:c r="AA315" s="53"/>
      <x:c r="AB315" s="53"/>
      <x:c r="AC315" s="53"/>
      <x:c r="AD315" s="53"/>
      <x:c r="AE315" s="53"/>
      <x:c r="AF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  <x:c r="AA316" s="53"/>
      <x:c r="AB316" s="53"/>
      <x:c r="AC316" s="53"/>
      <x:c r="AD316" s="53"/>
      <x:c r="AE316" s="53"/>
      <x:c r="AF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  <x:c r="AA317" s="53"/>
      <x:c r="AB317" s="53"/>
      <x:c r="AC317" s="53"/>
      <x:c r="AD317" s="53"/>
      <x:c r="AE317" s="53"/>
      <x:c r="AF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  <x:c r="AA318" s="53"/>
      <x:c r="AB318" s="53"/>
      <x:c r="AC318" s="53"/>
      <x:c r="AD318" s="53"/>
      <x:c r="AE318" s="53"/>
      <x:c r="AF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  <x:c r="AA319" s="53"/>
      <x:c r="AB319" s="53"/>
      <x:c r="AC319" s="53"/>
      <x:c r="AD319" s="53"/>
      <x:c r="AE319" s="53"/>
      <x:c r="AF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  <x:c r="AA320" s="53"/>
      <x:c r="AB320" s="53"/>
      <x:c r="AC320" s="53"/>
      <x:c r="AD320" s="53"/>
      <x:c r="AE320" s="53"/>
      <x:c r="AF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  <x:c r="AA321" s="53"/>
      <x:c r="AB321" s="53"/>
      <x:c r="AC321" s="53"/>
      <x:c r="AD321" s="53"/>
      <x:c r="AE321" s="53"/>
      <x:c r="AF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  <x:c r="AA322" s="53"/>
      <x:c r="AB322" s="53"/>
      <x:c r="AC322" s="53"/>
      <x:c r="AD322" s="53"/>
      <x:c r="AE322" s="53"/>
      <x:c r="AF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  <x:c r="AA323" s="53"/>
      <x:c r="AB323" s="53"/>
      <x:c r="AC323" s="53"/>
      <x:c r="AD323" s="53"/>
      <x:c r="AE323" s="53"/>
      <x:c r="AF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  <x:c r="AA324" s="53"/>
      <x:c r="AB324" s="53"/>
      <x:c r="AC324" s="53"/>
      <x:c r="AD324" s="53"/>
      <x:c r="AE324" s="53"/>
      <x:c r="AF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  <x:c r="AA325" s="53"/>
      <x:c r="AB325" s="53"/>
      <x:c r="AC325" s="53"/>
      <x:c r="AD325" s="53"/>
      <x:c r="AE325" s="53"/>
      <x:c r="AF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  <x:c r="AA326" s="53"/>
      <x:c r="AB326" s="53"/>
      <x:c r="AC326" s="53"/>
      <x:c r="AD326" s="53"/>
      <x:c r="AE326" s="53"/>
      <x:c r="AF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  <x:c r="AA327" s="53"/>
      <x:c r="AB327" s="53"/>
      <x:c r="AC327" s="53"/>
      <x:c r="AD327" s="53"/>
      <x:c r="AE327" s="53"/>
      <x:c r="AF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  <x:c r="AA328" s="53"/>
      <x:c r="AB328" s="53"/>
      <x:c r="AC328" s="53"/>
      <x:c r="AD328" s="53"/>
      <x:c r="AE328" s="53"/>
      <x:c r="AF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  <x:c r="AA329" s="53"/>
      <x:c r="AB329" s="53"/>
      <x:c r="AC329" s="53"/>
      <x:c r="AD329" s="53"/>
      <x:c r="AE329" s="53"/>
      <x:c r="AF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  <x:c r="AA330" s="53"/>
      <x:c r="AB330" s="53"/>
      <x:c r="AC330" s="53"/>
      <x:c r="AD330" s="53"/>
      <x:c r="AE330" s="53"/>
      <x:c r="AF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  <x:c r="AA331" s="53"/>
      <x:c r="AB331" s="53"/>
      <x:c r="AC331" s="53"/>
      <x:c r="AD331" s="53"/>
      <x:c r="AE331" s="53"/>
      <x:c r="AF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  <x:c r="AA332" s="53"/>
      <x:c r="AB332" s="53"/>
      <x:c r="AC332" s="53"/>
      <x:c r="AD332" s="53"/>
      <x:c r="AE332" s="53"/>
      <x:c r="AF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  <x:c r="AA333" s="53"/>
      <x:c r="AB333" s="53"/>
      <x:c r="AC333" s="53"/>
      <x:c r="AD333" s="53"/>
      <x:c r="AE333" s="53"/>
      <x:c r="AF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  <x:c r="AA334" s="53"/>
      <x:c r="AB334" s="53"/>
      <x:c r="AC334" s="53"/>
      <x:c r="AD334" s="53"/>
      <x:c r="AE334" s="53"/>
      <x:c r="AF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  <x:c r="AA335" s="53"/>
      <x:c r="AB335" s="53"/>
      <x:c r="AC335" s="53"/>
      <x:c r="AD335" s="53"/>
      <x:c r="AE335" s="53"/>
      <x:c r="AF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  <x:c r="AA336" s="53"/>
      <x:c r="AB336" s="53"/>
      <x:c r="AC336" s="53"/>
      <x:c r="AD336" s="53"/>
      <x:c r="AE336" s="53"/>
      <x:c r="AF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  <x:c r="AA337" s="53"/>
      <x:c r="AB337" s="53"/>
      <x:c r="AC337" s="53"/>
      <x:c r="AD337" s="53"/>
      <x:c r="AE337" s="53"/>
      <x:c r="AF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  <x:c r="AA338" s="53"/>
      <x:c r="AB338" s="53"/>
      <x:c r="AC338" s="53"/>
      <x:c r="AD338" s="53"/>
      <x:c r="AE338" s="53"/>
      <x:c r="AF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  <x:c r="AA339" s="53"/>
      <x:c r="AB339" s="53"/>
      <x:c r="AC339" s="53"/>
      <x:c r="AD339" s="53"/>
      <x:c r="AE339" s="53"/>
      <x:c r="AF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  <x:c r="AA340" s="53"/>
      <x:c r="AB340" s="53"/>
      <x:c r="AC340" s="53"/>
      <x:c r="AD340" s="53"/>
      <x:c r="AE340" s="53"/>
      <x:c r="AF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  <x:c r="AA341" s="53"/>
      <x:c r="AB341" s="53"/>
      <x:c r="AC341" s="53"/>
      <x:c r="AD341" s="53"/>
      <x:c r="AE341" s="53"/>
      <x:c r="AF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  <x:c r="AA342" s="53"/>
      <x:c r="AB342" s="53"/>
      <x:c r="AC342" s="53"/>
      <x:c r="AD342" s="53"/>
      <x:c r="AE342" s="53"/>
      <x:c r="AF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  <x:c r="AA343" s="53"/>
      <x:c r="AB343" s="53"/>
      <x:c r="AC343" s="53"/>
      <x:c r="AD343" s="53"/>
      <x:c r="AE343" s="53"/>
      <x:c r="AF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  <x:c r="AA344" s="53"/>
      <x:c r="AB344" s="53"/>
      <x:c r="AC344" s="53"/>
      <x:c r="AD344" s="53"/>
      <x:c r="AE344" s="53"/>
      <x:c r="AF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  <x:c r="AA345" s="53"/>
      <x:c r="AB345" s="53"/>
      <x:c r="AC345" s="53"/>
      <x:c r="AD345" s="53"/>
      <x:c r="AE345" s="53"/>
      <x:c r="AF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  <x:c r="AA346" s="53"/>
      <x:c r="AB346" s="53"/>
      <x:c r="AC346" s="53"/>
      <x:c r="AD346" s="53"/>
      <x:c r="AE346" s="53"/>
      <x:c r="AF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  <x:c r="AA347" s="53"/>
      <x:c r="AB347" s="53"/>
      <x:c r="AC347" s="53"/>
      <x:c r="AD347" s="53"/>
      <x:c r="AE347" s="53"/>
      <x:c r="AF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  <x:c r="AA348" s="53"/>
      <x:c r="AB348" s="53"/>
      <x:c r="AC348" s="53"/>
      <x:c r="AD348" s="53"/>
      <x:c r="AE348" s="53"/>
      <x:c r="AF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  <x:c r="AA349" s="53"/>
      <x:c r="AB349" s="53"/>
      <x:c r="AC349" s="53"/>
      <x:c r="AD349" s="53"/>
      <x:c r="AE349" s="53"/>
      <x:c r="AF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  <x:c r="AA350" s="53"/>
      <x:c r="AB350" s="53"/>
      <x:c r="AC350" s="53"/>
      <x:c r="AD350" s="53"/>
      <x:c r="AE350" s="53"/>
      <x:c r="AF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  <x:c r="AA351" s="53"/>
      <x:c r="AB351" s="53"/>
      <x:c r="AC351" s="53"/>
      <x:c r="AD351" s="53"/>
      <x:c r="AE351" s="53"/>
      <x:c r="AF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  <x:c r="AA352" s="53"/>
      <x:c r="AB352" s="53"/>
      <x:c r="AC352" s="53"/>
      <x:c r="AD352" s="53"/>
      <x:c r="AE352" s="53"/>
      <x:c r="AF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  <x:c r="AA353" s="53"/>
      <x:c r="AB353" s="53"/>
      <x:c r="AC353" s="53"/>
      <x:c r="AD353" s="53"/>
      <x:c r="AE353" s="53"/>
      <x:c r="AF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  <x:c r="AA354" s="53"/>
      <x:c r="AB354" s="53"/>
      <x:c r="AC354" s="53"/>
      <x:c r="AD354" s="53"/>
      <x:c r="AE354" s="53"/>
      <x:c r="AF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  <x:c r="AA355" s="53"/>
      <x:c r="AB355" s="53"/>
      <x:c r="AC355" s="53"/>
      <x:c r="AD355" s="53"/>
      <x:c r="AE355" s="53"/>
      <x:c r="AF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  <x:c r="AA356" s="53"/>
      <x:c r="AB356" s="53"/>
      <x:c r="AC356" s="53"/>
      <x:c r="AD356" s="53"/>
      <x:c r="AE356" s="53"/>
      <x:c r="AF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  <x:c r="AA357" s="53"/>
      <x:c r="AB357" s="53"/>
      <x:c r="AC357" s="53"/>
      <x:c r="AD357" s="53"/>
      <x:c r="AE357" s="53"/>
      <x:c r="AF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  <x:c r="AA358" s="53"/>
      <x:c r="AB358" s="53"/>
      <x:c r="AC358" s="53"/>
      <x:c r="AD358" s="53"/>
      <x:c r="AE358" s="53"/>
      <x:c r="AF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  <x:c r="AA359" s="53"/>
      <x:c r="AB359" s="53"/>
      <x:c r="AC359" s="53"/>
      <x:c r="AD359" s="53"/>
      <x:c r="AE359" s="53"/>
      <x:c r="AF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  <x:c r="AA360" s="53"/>
      <x:c r="AB360" s="53"/>
      <x:c r="AC360" s="53"/>
      <x:c r="AD360" s="53"/>
      <x:c r="AE360" s="53"/>
      <x:c r="AF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  <x:c r="AA361" s="53"/>
      <x:c r="AB361" s="53"/>
      <x:c r="AC361" s="53"/>
      <x:c r="AD361" s="53"/>
      <x:c r="AE361" s="53"/>
      <x:c r="AF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  <x:c r="AA362" s="53"/>
      <x:c r="AB362" s="53"/>
      <x:c r="AC362" s="53"/>
      <x:c r="AD362" s="53"/>
      <x:c r="AE362" s="53"/>
      <x:c r="AF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  <x:c r="AA363" s="53"/>
      <x:c r="AB363" s="53"/>
      <x:c r="AC363" s="53"/>
      <x:c r="AD363" s="53"/>
      <x:c r="AE363" s="53"/>
      <x:c r="AF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  <x:c r="AA364" s="53"/>
      <x:c r="AB364" s="53"/>
      <x:c r="AC364" s="53"/>
      <x:c r="AD364" s="53"/>
      <x:c r="AE364" s="53"/>
      <x:c r="AF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  <x:c r="AA365" s="53"/>
      <x:c r="AB365" s="53"/>
      <x:c r="AC365" s="53"/>
      <x:c r="AD365" s="53"/>
      <x:c r="AE365" s="53"/>
      <x:c r="AF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  <x:c r="AA366" s="53"/>
      <x:c r="AB366" s="53"/>
      <x:c r="AC366" s="53"/>
      <x:c r="AD366" s="53"/>
      <x:c r="AE366" s="53"/>
      <x:c r="AF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  <x:c r="AA367" s="53"/>
      <x:c r="AB367" s="53"/>
      <x:c r="AC367" s="53"/>
      <x:c r="AD367" s="53"/>
      <x:c r="AE367" s="53"/>
      <x:c r="AF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  <x:c r="AA368" s="53"/>
      <x:c r="AB368" s="53"/>
      <x:c r="AC368" s="53"/>
      <x:c r="AD368" s="53"/>
      <x:c r="AE368" s="53"/>
      <x:c r="AF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  <x:c r="AA369" s="53"/>
      <x:c r="AB369" s="53"/>
      <x:c r="AC369" s="53"/>
      <x:c r="AD369" s="53"/>
      <x:c r="AE369" s="53"/>
      <x:c r="AF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  <x:c r="AA370" s="53"/>
      <x:c r="AB370" s="53"/>
      <x:c r="AC370" s="53"/>
      <x:c r="AD370" s="53"/>
      <x:c r="AE370" s="53"/>
      <x:c r="AF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  <x:c r="AA371" s="53"/>
      <x:c r="AB371" s="53"/>
      <x:c r="AC371" s="53"/>
      <x:c r="AD371" s="53"/>
      <x:c r="AE371" s="53"/>
      <x:c r="AF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  <x:c r="AA372" s="53"/>
      <x:c r="AB372" s="53"/>
      <x:c r="AC372" s="53"/>
      <x:c r="AD372" s="53"/>
      <x:c r="AE372" s="53"/>
      <x:c r="AF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  <x:c r="AA373" s="53"/>
      <x:c r="AB373" s="53"/>
      <x:c r="AC373" s="53"/>
      <x:c r="AD373" s="53"/>
      <x:c r="AE373" s="53"/>
      <x:c r="AF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  <x:c r="AA374" s="53"/>
      <x:c r="AB374" s="53"/>
      <x:c r="AC374" s="53"/>
      <x:c r="AD374" s="53"/>
      <x:c r="AE374" s="53"/>
      <x:c r="AF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  <x:c r="AA375" s="53"/>
      <x:c r="AB375" s="53"/>
      <x:c r="AC375" s="53"/>
      <x:c r="AD375" s="53"/>
      <x:c r="AE375" s="53"/>
      <x:c r="AF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  <x:c r="AA376" s="53"/>
      <x:c r="AB376" s="53"/>
      <x:c r="AC376" s="53"/>
      <x:c r="AD376" s="53"/>
      <x:c r="AE376" s="53"/>
      <x:c r="AF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  <x:c r="AA377" s="53"/>
      <x:c r="AB377" s="53"/>
      <x:c r="AC377" s="53"/>
      <x:c r="AD377" s="53"/>
      <x:c r="AE377" s="53"/>
      <x:c r="AF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  <x:c r="AA378" s="53"/>
      <x:c r="AB378" s="53"/>
      <x:c r="AC378" s="53"/>
      <x:c r="AD378" s="53"/>
      <x:c r="AE378" s="53"/>
      <x:c r="AF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  <x:c r="AA379" s="53"/>
      <x:c r="AB379" s="53"/>
      <x:c r="AC379" s="53"/>
      <x:c r="AD379" s="53"/>
      <x:c r="AE379" s="53"/>
      <x:c r="AF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  <x:c r="AA380" s="53"/>
      <x:c r="AB380" s="53"/>
      <x:c r="AC380" s="53"/>
      <x:c r="AD380" s="53"/>
      <x:c r="AE380" s="53"/>
      <x:c r="AF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  <x:c r="AA381" s="53"/>
      <x:c r="AB381" s="53"/>
      <x:c r="AC381" s="53"/>
      <x:c r="AD381" s="53"/>
      <x:c r="AE381" s="53"/>
      <x:c r="AF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  <x:c r="AA382" s="53"/>
      <x:c r="AB382" s="53"/>
      <x:c r="AC382" s="53"/>
      <x:c r="AD382" s="53"/>
      <x:c r="AE382" s="53"/>
      <x:c r="AF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  <x:c r="AA383" s="53"/>
      <x:c r="AB383" s="53"/>
      <x:c r="AC383" s="53"/>
      <x:c r="AD383" s="53"/>
      <x:c r="AE383" s="53"/>
      <x:c r="AF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  <x:c r="AA384" s="53"/>
      <x:c r="AB384" s="53"/>
      <x:c r="AC384" s="53"/>
      <x:c r="AD384" s="53"/>
      <x:c r="AE384" s="53"/>
      <x:c r="AF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  <x:c r="AA385" s="53"/>
      <x:c r="AB385" s="53"/>
      <x:c r="AC385" s="53"/>
      <x:c r="AD385" s="53"/>
      <x:c r="AE385" s="53"/>
      <x:c r="AF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  <x:c r="AA386" s="53"/>
      <x:c r="AB386" s="53"/>
      <x:c r="AC386" s="53"/>
      <x:c r="AD386" s="53"/>
      <x:c r="AE386" s="53"/>
      <x:c r="AF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  <x:c r="AA387" s="53"/>
      <x:c r="AB387" s="53"/>
      <x:c r="AC387" s="53"/>
      <x:c r="AD387" s="53"/>
      <x:c r="AE387" s="53"/>
      <x:c r="AF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  <x:c r="AA388" s="53"/>
      <x:c r="AB388" s="53"/>
      <x:c r="AC388" s="53"/>
      <x:c r="AD388" s="53"/>
      <x:c r="AE388" s="53"/>
      <x:c r="AF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  <x:c r="AA389" s="53"/>
      <x:c r="AB389" s="53"/>
      <x:c r="AC389" s="53"/>
      <x:c r="AD389" s="53"/>
      <x:c r="AE389" s="53"/>
      <x:c r="AF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  <x:c r="AA390" s="53"/>
      <x:c r="AB390" s="53"/>
      <x:c r="AC390" s="53"/>
      <x:c r="AD390" s="53"/>
      <x:c r="AE390" s="53"/>
      <x:c r="AF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  <x:c r="AA391" s="53"/>
      <x:c r="AB391" s="53"/>
      <x:c r="AC391" s="53"/>
      <x:c r="AD391" s="53"/>
      <x:c r="AE391" s="53"/>
      <x:c r="AF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  <x:c r="AA392" s="53"/>
      <x:c r="AB392" s="53"/>
      <x:c r="AC392" s="53"/>
      <x:c r="AD392" s="53"/>
      <x:c r="AE392" s="53"/>
      <x:c r="AF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  <x:c r="AA393" s="53"/>
      <x:c r="AB393" s="53"/>
      <x:c r="AC393" s="53"/>
      <x:c r="AD393" s="53"/>
      <x:c r="AE393" s="53"/>
      <x:c r="AF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  <x:c r="AA394" s="53"/>
      <x:c r="AB394" s="53"/>
      <x:c r="AC394" s="53"/>
      <x:c r="AD394" s="53"/>
      <x:c r="AE394" s="53"/>
      <x:c r="AF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  <x:c r="AA395" s="53"/>
      <x:c r="AB395" s="53"/>
      <x:c r="AC395" s="53"/>
      <x:c r="AD395" s="53"/>
      <x:c r="AE395" s="53"/>
      <x:c r="AF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  <x:c r="AA396" s="53"/>
      <x:c r="AB396" s="53"/>
      <x:c r="AC396" s="53"/>
      <x:c r="AD396" s="53"/>
      <x:c r="AE396" s="53"/>
      <x:c r="AF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  <x:c r="AA397" s="53"/>
      <x:c r="AB397" s="53"/>
      <x:c r="AC397" s="53"/>
      <x:c r="AD397" s="53"/>
      <x:c r="AE397" s="53"/>
      <x:c r="AF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  <x:c r="AA398" s="53"/>
      <x:c r="AB398" s="53"/>
      <x:c r="AC398" s="53"/>
      <x:c r="AD398" s="53"/>
      <x:c r="AE398" s="53"/>
      <x:c r="AF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  <x:c r="AA399" s="53"/>
      <x:c r="AB399" s="53"/>
      <x:c r="AC399" s="53"/>
      <x:c r="AD399" s="53"/>
      <x:c r="AE399" s="53"/>
      <x:c r="AF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  <x:c r="AA400" s="53"/>
      <x:c r="AB400" s="53"/>
      <x:c r="AC400" s="53"/>
      <x:c r="AD400" s="53"/>
      <x:c r="AE400" s="53"/>
      <x:c r="AF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  <x:c r="AA401" s="53"/>
      <x:c r="AB401" s="53"/>
      <x:c r="AC401" s="53"/>
      <x:c r="AD401" s="53"/>
      <x:c r="AE401" s="53"/>
      <x:c r="AF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  <x:c r="AA402" s="53"/>
      <x:c r="AB402" s="53"/>
      <x:c r="AC402" s="53"/>
      <x:c r="AD402" s="53"/>
      <x:c r="AE402" s="53"/>
      <x:c r="AF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  <x:c r="AA403" s="53"/>
      <x:c r="AB403" s="53"/>
      <x:c r="AC403" s="53"/>
      <x:c r="AD403" s="53"/>
      <x:c r="AE403" s="53"/>
      <x:c r="AF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  <x:c r="AA404" s="53"/>
      <x:c r="AB404" s="53"/>
      <x:c r="AC404" s="53"/>
      <x:c r="AD404" s="53"/>
      <x:c r="AE404" s="53"/>
      <x:c r="AF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  <x:c r="AA405" s="53"/>
      <x:c r="AB405" s="53"/>
      <x:c r="AC405" s="53"/>
      <x:c r="AD405" s="53"/>
      <x:c r="AE405" s="53"/>
      <x:c r="AF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  <x:c r="AA406" s="53"/>
      <x:c r="AB406" s="53"/>
      <x:c r="AC406" s="53"/>
      <x:c r="AD406" s="53"/>
      <x:c r="AE406" s="53"/>
      <x:c r="AF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  <x:c r="AA407" s="53"/>
      <x:c r="AB407" s="53"/>
      <x:c r="AC407" s="53"/>
      <x:c r="AD407" s="53"/>
      <x:c r="AE407" s="53"/>
      <x:c r="AF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  <x:c r="AA408" s="53"/>
      <x:c r="AB408" s="53"/>
      <x:c r="AC408" s="53"/>
      <x:c r="AD408" s="53"/>
      <x:c r="AE408" s="53"/>
      <x:c r="AF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  <x:c r="AA409" s="53"/>
      <x:c r="AB409" s="53"/>
      <x:c r="AC409" s="53"/>
      <x:c r="AD409" s="53"/>
      <x:c r="AE409" s="53"/>
      <x:c r="AF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  <x:c r="AA410" s="53"/>
      <x:c r="AB410" s="53"/>
      <x:c r="AC410" s="53"/>
      <x:c r="AD410" s="53"/>
      <x:c r="AE410" s="53"/>
      <x:c r="AF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  <x:c r="AA411" s="53"/>
      <x:c r="AB411" s="53"/>
      <x:c r="AC411" s="53"/>
      <x:c r="AD411" s="53"/>
      <x:c r="AE411" s="53"/>
      <x:c r="AF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  <x:c r="AA412" s="53"/>
      <x:c r="AB412" s="53"/>
      <x:c r="AC412" s="53"/>
      <x:c r="AD412" s="53"/>
      <x:c r="AE412" s="53"/>
      <x:c r="AF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  <x:c r="AA413" s="53"/>
      <x:c r="AB413" s="53"/>
      <x:c r="AC413" s="53"/>
      <x:c r="AD413" s="53"/>
      <x:c r="AE413" s="53"/>
      <x:c r="AF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  <x:c r="AA414" s="53"/>
      <x:c r="AB414" s="53"/>
      <x:c r="AC414" s="53"/>
      <x:c r="AD414" s="53"/>
      <x:c r="AE414" s="53"/>
      <x:c r="AF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  <x:c r="AA415" s="53"/>
      <x:c r="AB415" s="53"/>
      <x:c r="AC415" s="53"/>
      <x:c r="AD415" s="53"/>
      <x:c r="AE415" s="53"/>
      <x:c r="AF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  <x:c r="AA416" s="53"/>
      <x:c r="AB416" s="53"/>
      <x:c r="AC416" s="53"/>
      <x:c r="AD416" s="53"/>
      <x:c r="AE416" s="53"/>
      <x:c r="AF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  <x:c r="AA417" s="53"/>
      <x:c r="AB417" s="53"/>
      <x:c r="AC417" s="53"/>
      <x:c r="AD417" s="53"/>
      <x:c r="AE417" s="53"/>
      <x:c r="AF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  <x:c r="AA418" s="53"/>
      <x:c r="AB418" s="53"/>
      <x:c r="AC418" s="53"/>
      <x:c r="AD418" s="53"/>
      <x:c r="AE418" s="53"/>
      <x:c r="AF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  <x:c r="AA419" s="53"/>
      <x:c r="AB419" s="53"/>
      <x:c r="AC419" s="53"/>
      <x:c r="AD419" s="53"/>
      <x:c r="AE419" s="53"/>
      <x:c r="AF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  <x:c r="AA420" s="53"/>
      <x:c r="AB420" s="53"/>
      <x:c r="AC420" s="53"/>
      <x:c r="AD420" s="53"/>
      <x:c r="AE420" s="53"/>
      <x:c r="AF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  <x:c r="AA421" s="53"/>
      <x:c r="AB421" s="53"/>
      <x:c r="AC421" s="53"/>
      <x:c r="AD421" s="53"/>
      <x:c r="AE421" s="53"/>
      <x:c r="AF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  <x:c r="AA422" s="53"/>
      <x:c r="AB422" s="53"/>
      <x:c r="AC422" s="53"/>
      <x:c r="AD422" s="53"/>
      <x:c r="AE422" s="53"/>
      <x:c r="AF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  <x:c r="AA423" s="53"/>
      <x:c r="AB423" s="53"/>
      <x:c r="AC423" s="53"/>
      <x:c r="AD423" s="53"/>
      <x:c r="AE423" s="53"/>
      <x:c r="AF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  <x:c r="AA424" s="53"/>
      <x:c r="AB424" s="53"/>
      <x:c r="AC424" s="53"/>
      <x:c r="AD424" s="53"/>
      <x:c r="AE424" s="53"/>
      <x:c r="AF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  <x:c r="AA425" s="53"/>
      <x:c r="AB425" s="53"/>
      <x:c r="AC425" s="53"/>
      <x:c r="AD425" s="53"/>
      <x:c r="AE425" s="53"/>
      <x:c r="AF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  <x:c r="AA426" s="53"/>
      <x:c r="AB426" s="53"/>
      <x:c r="AC426" s="53"/>
      <x:c r="AD426" s="53"/>
      <x:c r="AE426" s="53"/>
      <x:c r="AF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  <x:c r="AA427" s="53"/>
      <x:c r="AB427" s="53"/>
      <x:c r="AC427" s="53"/>
      <x:c r="AD427" s="53"/>
      <x:c r="AE427" s="53"/>
      <x:c r="AF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  <x:c r="AA428" s="53"/>
      <x:c r="AB428" s="53"/>
      <x:c r="AC428" s="53"/>
      <x:c r="AD428" s="53"/>
      <x:c r="AE428" s="53"/>
      <x:c r="AF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  <x:c r="AA429" s="53"/>
      <x:c r="AB429" s="53"/>
      <x:c r="AC429" s="53"/>
      <x:c r="AD429" s="53"/>
      <x:c r="AE429" s="53"/>
      <x:c r="AF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  <x:c r="AA430" s="53"/>
      <x:c r="AB430" s="53"/>
      <x:c r="AC430" s="53"/>
      <x:c r="AD430" s="53"/>
      <x:c r="AE430" s="53"/>
      <x:c r="AF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  <x:c r="AA431" s="53"/>
      <x:c r="AB431" s="53"/>
      <x:c r="AC431" s="53"/>
      <x:c r="AD431" s="53"/>
      <x:c r="AE431" s="53"/>
      <x:c r="AF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  <x:c r="AA432" s="53"/>
      <x:c r="AB432" s="53"/>
      <x:c r="AC432" s="53"/>
      <x:c r="AD432" s="53"/>
      <x:c r="AE432" s="53"/>
      <x:c r="AF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  <x:c r="AA433" s="53"/>
      <x:c r="AB433" s="53"/>
      <x:c r="AC433" s="53"/>
      <x:c r="AD433" s="53"/>
      <x:c r="AE433" s="53"/>
      <x:c r="AF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  <x:c r="AA434" s="53"/>
      <x:c r="AB434" s="53"/>
      <x:c r="AC434" s="53"/>
      <x:c r="AD434" s="53"/>
      <x:c r="AE434" s="53"/>
      <x:c r="AF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  <x:c r="AA435" s="53"/>
      <x:c r="AB435" s="53"/>
      <x:c r="AC435" s="53"/>
      <x:c r="AD435" s="53"/>
      <x:c r="AE435" s="53"/>
      <x:c r="AF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  <x:c r="AA436" s="53"/>
      <x:c r="AB436" s="53"/>
      <x:c r="AC436" s="53"/>
      <x:c r="AD436" s="53"/>
      <x:c r="AE436" s="53"/>
      <x:c r="AF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  <x:c r="AA437" s="53"/>
      <x:c r="AB437" s="53"/>
      <x:c r="AC437" s="53"/>
      <x:c r="AD437" s="53"/>
      <x:c r="AE437" s="53"/>
      <x:c r="AF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  <x:c r="AA438" s="53"/>
      <x:c r="AB438" s="53"/>
      <x:c r="AC438" s="53"/>
      <x:c r="AD438" s="53"/>
      <x:c r="AE438" s="53"/>
      <x:c r="AF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  <x:c r="AA439" s="53"/>
      <x:c r="AB439" s="53"/>
      <x:c r="AC439" s="53"/>
      <x:c r="AD439" s="53"/>
      <x:c r="AE439" s="53"/>
      <x:c r="AF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  <x:c r="AA440" s="53"/>
      <x:c r="AB440" s="53"/>
      <x:c r="AC440" s="53"/>
      <x:c r="AD440" s="53"/>
      <x:c r="AE440" s="53"/>
      <x:c r="AF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  <x:c r="AA441" s="53"/>
      <x:c r="AB441" s="53"/>
      <x:c r="AC441" s="53"/>
      <x:c r="AD441" s="53"/>
      <x:c r="AE441" s="53"/>
      <x:c r="AF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  <x:c r="AA442" s="53"/>
      <x:c r="AB442" s="53"/>
      <x:c r="AC442" s="53"/>
      <x:c r="AD442" s="53"/>
      <x:c r="AE442" s="53"/>
      <x:c r="AF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  <x:c r="AA443" s="53"/>
      <x:c r="AB443" s="53"/>
      <x:c r="AC443" s="53"/>
      <x:c r="AD443" s="53"/>
      <x:c r="AE443" s="53"/>
      <x:c r="AF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  <x:c r="AA444" s="53"/>
      <x:c r="AB444" s="53"/>
      <x:c r="AC444" s="53"/>
      <x:c r="AD444" s="53"/>
      <x:c r="AE444" s="53"/>
      <x:c r="AF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  <x:c r="AA445" s="53"/>
      <x:c r="AB445" s="53"/>
      <x:c r="AC445" s="53"/>
      <x:c r="AD445" s="53"/>
      <x:c r="AE445" s="53"/>
      <x:c r="AF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  <x:c r="AA446" s="53"/>
      <x:c r="AB446" s="53"/>
      <x:c r="AC446" s="53"/>
      <x:c r="AD446" s="53"/>
      <x:c r="AE446" s="53"/>
      <x:c r="AF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  <x:c r="AA447" s="53"/>
      <x:c r="AB447" s="53"/>
      <x:c r="AC447" s="53"/>
      <x:c r="AD447" s="53"/>
      <x:c r="AE447" s="53"/>
      <x:c r="AF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  <x:c r="AA448" s="53"/>
      <x:c r="AB448" s="53"/>
      <x:c r="AC448" s="53"/>
      <x:c r="AD448" s="53"/>
      <x:c r="AE448" s="53"/>
      <x:c r="AF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  <x:c r="AA449" s="53"/>
      <x:c r="AB449" s="53"/>
      <x:c r="AC449" s="53"/>
      <x:c r="AD449" s="53"/>
      <x:c r="AE449" s="53"/>
      <x:c r="AF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  <x:c r="AA450" s="53"/>
      <x:c r="AB450" s="53"/>
      <x:c r="AC450" s="53"/>
      <x:c r="AD450" s="53"/>
      <x:c r="AE450" s="53"/>
      <x:c r="AF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  <x:c r="AA451" s="53"/>
      <x:c r="AB451" s="53"/>
      <x:c r="AC451" s="53"/>
      <x:c r="AD451" s="53"/>
      <x:c r="AE451" s="53"/>
      <x:c r="AF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  <x:c r="AA452" s="53"/>
      <x:c r="AB452" s="53"/>
      <x:c r="AC452" s="53"/>
      <x:c r="AD452" s="53"/>
      <x:c r="AE452" s="53"/>
      <x:c r="AF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  <x:c r="AA453" s="53"/>
      <x:c r="AB453" s="53"/>
      <x:c r="AC453" s="53"/>
      <x:c r="AD453" s="53"/>
      <x:c r="AE453" s="53"/>
      <x:c r="AF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  <x:c r="AA454" s="53"/>
      <x:c r="AB454" s="53"/>
      <x:c r="AC454" s="53"/>
      <x:c r="AD454" s="53"/>
      <x:c r="AE454" s="53"/>
      <x:c r="AF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  <x:c r="AA455" s="53"/>
      <x:c r="AB455" s="53"/>
      <x:c r="AC455" s="53"/>
      <x:c r="AD455" s="53"/>
      <x:c r="AE455" s="53"/>
      <x:c r="AF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  <x:c r="AA456" s="53"/>
      <x:c r="AB456" s="53"/>
      <x:c r="AC456" s="53"/>
      <x:c r="AD456" s="53"/>
      <x:c r="AE456" s="53"/>
      <x:c r="AF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  <x:c r="AA457" s="53"/>
      <x:c r="AB457" s="53"/>
      <x:c r="AC457" s="53"/>
      <x:c r="AD457" s="53"/>
      <x:c r="AE457" s="53"/>
      <x:c r="AF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  <x:c r="AA458" s="53"/>
      <x:c r="AB458" s="53"/>
      <x:c r="AC458" s="53"/>
      <x:c r="AD458" s="53"/>
      <x:c r="AE458" s="53"/>
      <x:c r="AF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  <x:c r="AA459" s="53"/>
      <x:c r="AB459" s="53"/>
      <x:c r="AC459" s="53"/>
      <x:c r="AD459" s="53"/>
      <x:c r="AE459" s="53"/>
      <x:c r="AF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  <x:c r="AA460" s="53"/>
      <x:c r="AB460" s="53"/>
      <x:c r="AC460" s="53"/>
      <x:c r="AD460" s="53"/>
      <x:c r="AE460" s="53"/>
      <x:c r="AF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  <x:c r="AA461" s="53"/>
      <x:c r="AB461" s="53"/>
      <x:c r="AC461" s="53"/>
      <x:c r="AD461" s="53"/>
      <x:c r="AE461" s="53"/>
      <x:c r="AF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  <x:c r="AA462" s="53"/>
      <x:c r="AB462" s="53"/>
      <x:c r="AC462" s="53"/>
      <x:c r="AD462" s="53"/>
      <x:c r="AE462" s="53"/>
      <x:c r="AF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  <x:c r="AA463" s="53"/>
      <x:c r="AB463" s="53"/>
      <x:c r="AC463" s="53"/>
      <x:c r="AD463" s="53"/>
      <x:c r="AE463" s="53"/>
      <x:c r="AF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  <x:c r="AA464" s="53"/>
      <x:c r="AB464" s="53"/>
      <x:c r="AC464" s="53"/>
      <x:c r="AD464" s="53"/>
      <x:c r="AE464" s="53"/>
      <x:c r="AF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  <x:c r="AA465" s="53"/>
      <x:c r="AB465" s="53"/>
      <x:c r="AC465" s="53"/>
      <x:c r="AD465" s="53"/>
      <x:c r="AE465" s="53"/>
      <x:c r="AF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  <x:c r="AA466" s="53"/>
      <x:c r="AB466" s="53"/>
      <x:c r="AC466" s="53"/>
      <x:c r="AD466" s="53"/>
      <x:c r="AE466" s="53"/>
      <x:c r="AF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  <x:c r="AA467" s="53"/>
      <x:c r="AB467" s="53"/>
      <x:c r="AC467" s="53"/>
      <x:c r="AD467" s="53"/>
      <x:c r="AE467" s="53"/>
      <x:c r="AF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  <x:c r="AA468" s="53"/>
      <x:c r="AB468" s="53"/>
      <x:c r="AC468" s="53"/>
      <x:c r="AD468" s="53"/>
      <x:c r="AE468" s="53"/>
      <x:c r="AF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  <x:c r="AA469" s="53"/>
      <x:c r="AB469" s="53"/>
      <x:c r="AC469" s="53"/>
      <x:c r="AD469" s="53"/>
      <x:c r="AE469" s="53"/>
      <x:c r="AF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  <x:c r="AA470" s="53"/>
      <x:c r="AB470" s="53"/>
      <x:c r="AC470" s="53"/>
      <x:c r="AD470" s="53"/>
      <x:c r="AE470" s="53"/>
      <x:c r="AF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  <x:c r="AA471" s="53"/>
      <x:c r="AB471" s="53"/>
      <x:c r="AC471" s="53"/>
      <x:c r="AD471" s="53"/>
      <x:c r="AE471" s="53"/>
      <x:c r="AF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  <x:c r="AA472" s="53"/>
      <x:c r="AB472" s="53"/>
      <x:c r="AC472" s="53"/>
      <x:c r="AD472" s="53"/>
      <x:c r="AE472" s="53"/>
      <x:c r="AF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  <x:c r="AA473" s="53"/>
      <x:c r="AB473" s="53"/>
      <x:c r="AC473" s="53"/>
      <x:c r="AD473" s="53"/>
      <x:c r="AE473" s="53"/>
      <x:c r="AF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  <x:c r="AA474" s="53"/>
      <x:c r="AB474" s="53"/>
      <x:c r="AC474" s="53"/>
      <x:c r="AD474" s="53"/>
      <x:c r="AE474" s="53"/>
      <x:c r="AF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  <x:c r="AA475" s="53"/>
      <x:c r="AB475" s="53"/>
      <x:c r="AC475" s="53"/>
      <x:c r="AD475" s="53"/>
      <x:c r="AE475" s="53"/>
      <x:c r="AF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  <x:c r="AA476" s="53"/>
      <x:c r="AB476" s="53"/>
      <x:c r="AC476" s="53"/>
      <x:c r="AD476" s="53"/>
      <x:c r="AE476" s="53"/>
      <x:c r="AF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  <x:c r="AA477" s="53"/>
      <x:c r="AB477" s="53"/>
      <x:c r="AC477" s="53"/>
      <x:c r="AD477" s="53"/>
      <x:c r="AE477" s="53"/>
      <x:c r="AF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  <x:c r="AA478" s="53"/>
      <x:c r="AB478" s="53"/>
      <x:c r="AC478" s="53"/>
      <x:c r="AD478" s="53"/>
      <x:c r="AE478" s="53"/>
      <x:c r="AF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  <x:c r="AA479" s="53"/>
      <x:c r="AB479" s="53"/>
      <x:c r="AC479" s="53"/>
      <x:c r="AD479" s="53"/>
      <x:c r="AE479" s="53"/>
      <x:c r="AF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  <x:c r="AA480" s="53"/>
      <x:c r="AB480" s="53"/>
      <x:c r="AC480" s="53"/>
      <x:c r="AD480" s="53"/>
      <x:c r="AE480" s="53"/>
      <x:c r="AF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  <x:c r="AA481" s="53"/>
      <x:c r="AB481" s="53"/>
      <x:c r="AC481" s="53"/>
      <x:c r="AD481" s="53"/>
      <x:c r="AE481" s="53"/>
      <x:c r="AF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  <x:c r="AA482" s="53"/>
      <x:c r="AB482" s="53"/>
      <x:c r="AC482" s="53"/>
      <x:c r="AD482" s="53"/>
      <x:c r="AE482" s="53"/>
      <x:c r="AF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  <x:c r="AA483" s="53"/>
      <x:c r="AB483" s="53"/>
      <x:c r="AC483" s="53"/>
      <x:c r="AD483" s="53"/>
      <x:c r="AE483" s="53"/>
      <x:c r="AF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  <x:c r="AA484" s="53"/>
      <x:c r="AB484" s="53"/>
      <x:c r="AC484" s="53"/>
      <x:c r="AD484" s="53"/>
      <x:c r="AE484" s="53"/>
      <x:c r="AF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  <x:c r="AA485" s="53"/>
      <x:c r="AB485" s="53"/>
      <x:c r="AC485" s="53"/>
      <x:c r="AD485" s="53"/>
      <x:c r="AE485" s="53"/>
      <x:c r="AF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  <x:c r="AA486" s="53"/>
      <x:c r="AB486" s="53"/>
      <x:c r="AC486" s="53"/>
      <x:c r="AD486" s="53"/>
      <x:c r="AE486" s="53"/>
      <x:c r="AF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  <x:c r="AA487" s="53"/>
      <x:c r="AB487" s="53"/>
      <x:c r="AC487" s="53"/>
      <x:c r="AD487" s="53"/>
      <x:c r="AE487" s="53"/>
      <x:c r="AF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  <x:c r="AA488" s="53"/>
      <x:c r="AB488" s="53"/>
      <x:c r="AC488" s="53"/>
      <x:c r="AD488" s="53"/>
      <x:c r="AE488" s="53"/>
      <x:c r="AF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  <x:c r="AA489" s="53"/>
      <x:c r="AB489" s="53"/>
      <x:c r="AC489" s="53"/>
      <x:c r="AD489" s="53"/>
      <x:c r="AE489" s="53"/>
      <x:c r="AF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  <x:c r="AA490" s="53"/>
      <x:c r="AB490" s="53"/>
      <x:c r="AC490" s="53"/>
      <x:c r="AD490" s="53"/>
      <x:c r="AE490" s="53"/>
      <x:c r="AF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  <x:c r="AA491" s="53"/>
      <x:c r="AB491" s="53"/>
      <x:c r="AC491" s="53"/>
      <x:c r="AD491" s="53"/>
      <x:c r="AE491" s="53"/>
      <x:c r="AF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  <x:c r="AA492" s="53"/>
      <x:c r="AB492" s="53"/>
      <x:c r="AC492" s="53"/>
      <x:c r="AD492" s="53"/>
      <x:c r="AE492" s="53"/>
      <x:c r="AF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  <x:c r="AA493" s="53"/>
      <x:c r="AB493" s="53"/>
      <x:c r="AC493" s="53"/>
      <x:c r="AD493" s="53"/>
      <x:c r="AE493" s="53"/>
      <x:c r="AF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  <x:c r="AA494" s="53"/>
      <x:c r="AB494" s="53"/>
      <x:c r="AC494" s="53"/>
      <x:c r="AD494" s="53"/>
      <x:c r="AE494" s="53"/>
      <x:c r="AF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  <x:c r="AA495" s="53"/>
      <x:c r="AB495" s="53"/>
      <x:c r="AC495" s="53"/>
      <x:c r="AD495" s="53"/>
      <x:c r="AE495" s="53"/>
      <x:c r="AF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  <x:c r="AA496" s="53"/>
      <x:c r="AB496" s="53"/>
      <x:c r="AC496" s="53"/>
      <x:c r="AD496" s="53"/>
      <x:c r="AE496" s="53"/>
      <x:c r="AF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  <x:c r="AA497" s="53"/>
      <x:c r="AB497" s="53"/>
      <x:c r="AC497" s="53"/>
      <x:c r="AD497" s="53"/>
      <x:c r="AE497" s="53"/>
      <x:c r="AF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  <x:c r="AA498" s="53"/>
      <x:c r="AB498" s="53"/>
      <x:c r="AC498" s="53"/>
      <x:c r="AD498" s="53"/>
      <x:c r="AE498" s="53"/>
      <x:c r="AF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  <x:c r="AA499" s="53"/>
      <x:c r="AB499" s="53"/>
      <x:c r="AC499" s="53"/>
      <x:c r="AD499" s="53"/>
      <x:c r="AE499" s="53"/>
      <x:c r="AF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  <x:c r="AA500" s="53"/>
      <x:c r="AB500" s="53"/>
      <x:c r="AC500" s="53"/>
      <x:c r="AD500" s="53"/>
      <x:c r="AE500" s="53"/>
      <x:c r="AF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  <x:c r="AA501" s="53"/>
      <x:c r="AB501" s="53"/>
      <x:c r="AC501" s="53"/>
      <x:c r="AD501" s="53"/>
      <x:c r="AE501" s="53"/>
      <x:c r="AF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  <x:c r="AA502" s="53"/>
      <x:c r="AB502" s="53"/>
      <x:c r="AC502" s="53"/>
      <x:c r="AD502" s="53"/>
      <x:c r="AE502" s="53"/>
      <x:c r="AF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  <x:c r="AA503" s="53"/>
      <x:c r="AB503" s="53"/>
      <x:c r="AC503" s="53"/>
      <x:c r="AD503" s="53"/>
      <x:c r="AE503" s="53"/>
      <x:c r="AF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  <x:c r="AA504" s="53"/>
      <x:c r="AB504" s="53"/>
      <x:c r="AC504" s="53"/>
      <x:c r="AD504" s="53"/>
      <x:c r="AE504" s="53"/>
      <x:c r="AF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  <x:c r="AA505" s="53"/>
      <x:c r="AB505" s="53"/>
      <x:c r="AC505" s="53"/>
      <x:c r="AD505" s="53"/>
      <x:c r="AE505" s="53"/>
      <x:c r="AF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  <x:c r="AA506" s="53"/>
      <x:c r="AB506" s="53"/>
      <x:c r="AC506" s="53"/>
      <x:c r="AD506" s="53"/>
      <x:c r="AE506" s="53"/>
      <x:c r="AF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  <x:c r="AA507" s="53"/>
      <x:c r="AB507" s="53"/>
      <x:c r="AC507" s="53"/>
      <x:c r="AD507" s="53"/>
      <x:c r="AE507" s="53"/>
      <x:c r="AF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  <x:c r="AA508" s="53"/>
      <x:c r="AB508" s="53"/>
      <x:c r="AC508" s="53"/>
      <x:c r="AD508" s="53"/>
      <x:c r="AE508" s="53"/>
      <x:c r="AF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  <x:c r="AA509" s="53"/>
      <x:c r="AB509" s="53"/>
      <x:c r="AC509" s="53"/>
      <x:c r="AD509" s="53"/>
      <x:c r="AE509" s="53"/>
      <x:c r="AF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  <x:c r="AA510" s="53"/>
      <x:c r="AB510" s="53"/>
      <x:c r="AC510" s="53"/>
      <x:c r="AD510" s="53"/>
      <x:c r="AE510" s="53"/>
      <x:c r="AF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  <x:c r="AA511" s="53"/>
      <x:c r="AB511" s="53"/>
      <x:c r="AC511" s="53"/>
      <x:c r="AD511" s="53"/>
      <x:c r="AE511" s="53"/>
      <x:c r="AF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  <x:c r="AA512" s="53"/>
      <x:c r="AB512" s="53"/>
      <x:c r="AC512" s="53"/>
      <x:c r="AD512" s="53"/>
      <x:c r="AE512" s="53"/>
      <x:c r="AF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  <x:c r="AA513" s="53"/>
      <x:c r="AB513" s="53"/>
      <x:c r="AC513" s="53"/>
      <x:c r="AD513" s="53"/>
      <x:c r="AE513" s="53"/>
      <x:c r="AF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  <x:c r="AA514" s="53"/>
      <x:c r="AB514" s="53"/>
      <x:c r="AC514" s="53"/>
      <x:c r="AD514" s="53"/>
      <x:c r="AE514" s="53"/>
      <x:c r="AF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  <x:c r="AA515" s="53"/>
      <x:c r="AB515" s="53"/>
      <x:c r="AC515" s="53"/>
      <x:c r="AD515" s="53"/>
      <x:c r="AE515" s="53"/>
      <x:c r="AF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  <x:c r="AA516" s="53"/>
      <x:c r="AB516" s="53"/>
      <x:c r="AC516" s="53"/>
      <x:c r="AD516" s="53"/>
      <x:c r="AE516" s="53"/>
      <x:c r="AF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  <x:c r="AA517" s="53"/>
      <x:c r="AB517" s="53"/>
      <x:c r="AC517" s="53"/>
      <x:c r="AD517" s="53"/>
      <x:c r="AE517" s="53"/>
      <x:c r="AF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  <x:c r="AA518" s="53"/>
      <x:c r="AB518" s="53"/>
      <x:c r="AC518" s="53"/>
      <x:c r="AD518" s="53"/>
      <x:c r="AE518" s="53"/>
      <x:c r="AF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  <x:c r="AA519" s="53"/>
      <x:c r="AB519" s="53"/>
      <x:c r="AC519" s="53"/>
      <x:c r="AD519" s="53"/>
      <x:c r="AE519" s="53"/>
      <x:c r="AF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  <x:c r="AA520" s="53"/>
      <x:c r="AB520" s="53"/>
      <x:c r="AC520" s="53"/>
      <x:c r="AD520" s="53"/>
      <x:c r="AE520" s="53"/>
      <x:c r="AF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  <x:c r="AA521" s="53"/>
      <x:c r="AB521" s="53"/>
      <x:c r="AC521" s="53"/>
      <x:c r="AD521" s="53"/>
      <x:c r="AE521" s="53"/>
      <x:c r="AF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  <x:c r="AA522" s="53"/>
      <x:c r="AB522" s="53"/>
      <x:c r="AC522" s="53"/>
      <x:c r="AD522" s="53"/>
      <x:c r="AE522" s="53"/>
      <x:c r="AF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  <x:c r="AA523" s="53"/>
      <x:c r="AB523" s="53"/>
      <x:c r="AC523" s="53"/>
      <x:c r="AD523" s="53"/>
      <x:c r="AE523" s="53"/>
      <x:c r="AF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  <x:c r="AA524" s="53"/>
      <x:c r="AB524" s="53"/>
      <x:c r="AC524" s="53"/>
      <x:c r="AD524" s="53"/>
      <x:c r="AE524" s="53"/>
      <x:c r="AF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  <x:c r="AA525" s="53"/>
      <x:c r="AB525" s="53"/>
      <x:c r="AC525" s="53"/>
      <x:c r="AD525" s="53"/>
      <x:c r="AE525" s="53"/>
      <x:c r="AF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  <x:c r="AA526" s="53"/>
      <x:c r="AB526" s="53"/>
      <x:c r="AC526" s="53"/>
      <x:c r="AD526" s="53"/>
      <x:c r="AE526" s="53"/>
      <x:c r="AF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  <x:c r="AA527" s="53"/>
      <x:c r="AB527" s="53"/>
      <x:c r="AC527" s="53"/>
      <x:c r="AD527" s="53"/>
      <x:c r="AE527" s="53"/>
      <x:c r="AF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  <x:c r="AA528" s="53"/>
      <x:c r="AB528" s="53"/>
      <x:c r="AC528" s="53"/>
      <x:c r="AD528" s="53"/>
      <x:c r="AE528" s="53"/>
      <x:c r="AF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  <x:c r="AA529" s="53"/>
      <x:c r="AB529" s="53"/>
      <x:c r="AC529" s="53"/>
      <x:c r="AD529" s="53"/>
      <x:c r="AE529" s="53"/>
      <x:c r="AF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  <x:c r="AA530" s="53"/>
      <x:c r="AB530" s="53"/>
      <x:c r="AC530" s="53"/>
      <x:c r="AD530" s="53"/>
      <x:c r="AE530" s="53"/>
      <x:c r="AF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  <x:c r="AA531" s="53"/>
      <x:c r="AB531" s="53"/>
      <x:c r="AC531" s="53"/>
      <x:c r="AD531" s="53"/>
      <x:c r="AE531" s="53"/>
      <x:c r="AF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  <x:c r="AA532" s="53"/>
      <x:c r="AB532" s="53"/>
      <x:c r="AC532" s="53"/>
      <x:c r="AD532" s="53"/>
      <x:c r="AE532" s="53"/>
      <x:c r="AF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  <x:c r="AA533" s="53"/>
      <x:c r="AB533" s="53"/>
      <x:c r="AC533" s="53"/>
      <x:c r="AD533" s="53"/>
      <x:c r="AE533" s="53"/>
      <x:c r="AF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  <x:c r="AA534" s="53"/>
      <x:c r="AB534" s="53"/>
      <x:c r="AC534" s="53"/>
      <x:c r="AD534" s="53"/>
      <x:c r="AE534" s="53"/>
      <x:c r="AF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  <x:c r="AA535" s="53"/>
      <x:c r="AB535" s="53"/>
      <x:c r="AC535" s="53"/>
      <x:c r="AD535" s="53"/>
      <x:c r="AE535" s="53"/>
      <x:c r="AF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  <x:c r="AA536" s="53"/>
      <x:c r="AB536" s="53"/>
      <x:c r="AC536" s="53"/>
      <x:c r="AD536" s="53"/>
      <x:c r="AE536" s="53"/>
      <x:c r="AF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  <x:c r="AA537" s="53"/>
      <x:c r="AB537" s="53"/>
      <x:c r="AC537" s="53"/>
      <x:c r="AD537" s="53"/>
      <x:c r="AE537" s="53"/>
      <x:c r="AF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  <x:c r="AA538" s="53"/>
      <x:c r="AB538" s="53"/>
      <x:c r="AC538" s="53"/>
      <x:c r="AD538" s="53"/>
      <x:c r="AE538" s="53"/>
      <x:c r="AF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  <x:c r="AA539" s="53"/>
      <x:c r="AB539" s="53"/>
      <x:c r="AC539" s="53"/>
      <x:c r="AD539" s="53"/>
      <x:c r="AE539" s="53"/>
      <x:c r="AF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  <x:c r="AA540" s="53"/>
      <x:c r="AB540" s="53"/>
      <x:c r="AC540" s="53"/>
      <x:c r="AD540" s="53"/>
      <x:c r="AE540" s="53"/>
      <x:c r="AF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  <x:c r="AA541" s="53"/>
      <x:c r="AB541" s="53"/>
      <x:c r="AC541" s="53"/>
      <x:c r="AD541" s="53"/>
      <x:c r="AE541" s="53"/>
      <x:c r="AF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  <x:c r="AA542" s="53"/>
      <x:c r="AB542" s="53"/>
      <x:c r="AC542" s="53"/>
      <x:c r="AD542" s="53"/>
      <x:c r="AE542" s="53"/>
      <x:c r="AF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  <x:c r="AA543" s="53"/>
      <x:c r="AB543" s="53"/>
      <x:c r="AC543" s="53"/>
      <x:c r="AD543" s="53"/>
      <x:c r="AE543" s="53"/>
      <x:c r="AF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  <x:c r="AA544" s="53"/>
      <x:c r="AB544" s="53"/>
      <x:c r="AC544" s="53"/>
      <x:c r="AD544" s="53"/>
      <x:c r="AE544" s="53"/>
      <x:c r="AF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  <x:c r="AA545" s="53"/>
      <x:c r="AB545" s="53"/>
      <x:c r="AC545" s="53"/>
      <x:c r="AD545" s="53"/>
      <x:c r="AE545" s="53"/>
      <x:c r="AF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  <x:c r="AA546" s="53"/>
      <x:c r="AB546" s="53"/>
      <x:c r="AC546" s="53"/>
      <x:c r="AD546" s="53"/>
      <x:c r="AE546" s="53"/>
      <x:c r="AF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  <x:c r="AA547" s="53"/>
      <x:c r="AB547" s="53"/>
      <x:c r="AC547" s="53"/>
      <x:c r="AD547" s="53"/>
      <x:c r="AE547" s="53"/>
      <x:c r="AF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  <x:c r="AA548" s="53"/>
      <x:c r="AB548" s="53"/>
      <x:c r="AC548" s="53"/>
      <x:c r="AD548" s="53"/>
      <x:c r="AE548" s="53"/>
      <x:c r="AF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  <x:c r="AA549" s="53"/>
      <x:c r="AB549" s="53"/>
      <x:c r="AC549" s="53"/>
      <x:c r="AD549" s="53"/>
      <x:c r="AE549" s="53"/>
      <x:c r="AF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  <x:c r="AA550" s="53"/>
      <x:c r="AB550" s="53"/>
      <x:c r="AC550" s="53"/>
      <x:c r="AD550" s="53"/>
      <x:c r="AE550" s="53"/>
      <x:c r="AF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  <x:c r="AA551" s="53"/>
      <x:c r="AB551" s="53"/>
      <x:c r="AC551" s="53"/>
      <x:c r="AD551" s="53"/>
      <x:c r="AE551" s="53"/>
      <x:c r="AF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  <x:c r="AA552" s="53"/>
      <x:c r="AB552" s="53"/>
      <x:c r="AC552" s="53"/>
      <x:c r="AD552" s="53"/>
      <x:c r="AE552" s="53"/>
      <x:c r="AF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  <x:c r="AA553" s="53"/>
      <x:c r="AB553" s="53"/>
      <x:c r="AC553" s="53"/>
      <x:c r="AD553" s="53"/>
      <x:c r="AE553" s="53"/>
      <x:c r="AF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  <x:c r="AA554" s="53"/>
      <x:c r="AB554" s="53"/>
      <x:c r="AC554" s="53"/>
      <x:c r="AD554" s="53"/>
      <x:c r="AE554" s="53"/>
      <x:c r="AF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  <x:c r="AA555" s="53"/>
      <x:c r="AB555" s="53"/>
      <x:c r="AC555" s="53"/>
      <x:c r="AD555" s="53"/>
      <x:c r="AE555" s="53"/>
      <x:c r="AF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  <x:c r="AA556" s="53"/>
      <x:c r="AB556" s="53"/>
      <x:c r="AC556" s="53"/>
      <x:c r="AD556" s="53"/>
      <x:c r="AE556" s="53"/>
      <x:c r="AF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  <x:c r="AA557" s="53"/>
      <x:c r="AB557" s="53"/>
      <x:c r="AC557" s="53"/>
      <x:c r="AD557" s="53"/>
      <x:c r="AE557" s="53"/>
      <x:c r="AF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  <x:c r="AA558" s="53"/>
      <x:c r="AB558" s="53"/>
      <x:c r="AC558" s="53"/>
      <x:c r="AD558" s="53"/>
      <x:c r="AE558" s="53"/>
      <x:c r="AF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  <x:c r="AA559" s="53"/>
      <x:c r="AB559" s="53"/>
      <x:c r="AC559" s="53"/>
      <x:c r="AD559" s="53"/>
      <x:c r="AE559" s="53"/>
      <x:c r="AF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  <x:c r="AA560" s="53"/>
      <x:c r="AB560" s="53"/>
      <x:c r="AC560" s="53"/>
      <x:c r="AD560" s="53"/>
      <x:c r="AE560" s="53"/>
      <x:c r="AF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  <x:c r="AA561" s="53"/>
      <x:c r="AB561" s="53"/>
      <x:c r="AC561" s="53"/>
      <x:c r="AD561" s="53"/>
      <x:c r="AE561" s="53"/>
      <x:c r="AF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  <x:c r="AA562" s="53"/>
      <x:c r="AB562" s="53"/>
      <x:c r="AC562" s="53"/>
      <x:c r="AD562" s="53"/>
      <x:c r="AE562" s="53"/>
      <x:c r="AF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  <x:c r="AA563" s="53"/>
      <x:c r="AB563" s="53"/>
      <x:c r="AC563" s="53"/>
      <x:c r="AD563" s="53"/>
      <x:c r="AE563" s="53"/>
      <x:c r="AF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  <x:c r="AA564" s="53"/>
      <x:c r="AB564" s="53"/>
      <x:c r="AC564" s="53"/>
      <x:c r="AD564" s="53"/>
      <x:c r="AE564" s="53"/>
      <x:c r="AF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  <x:c r="AA565" s="53"/>
      <x:c r="AB565" s="53"/>
      <x:c r="AC565" s="53"/>
      <x:c r="AD565" s="53"/>
      <x:c r="AE565" s="53"/>
      <x:c r="AF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  <x:c r="AA566" s="53"/>
      <x:c r="AB566" s="53"/>
      <x:c r="AC566" s="53"/>
      <x:c r="AD566" s="53"/>
      <x:c r="AE566" s="53"/>
      <x:c r="AF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  <x:c r="AA567" s="53"/>
      <x:c r="AB567" s="53"/>
      <x:c r="AC567" s="53"/>
      <x:c r="AD567" s="53"/>
      <x:c r="AE567" s="53"/>
      <x:c r="AF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  <x:c r="AA568" s="53"/>
      <x:c r="AB568" s="53"/>
      <x:c r="AC568" s="53"/>
      <x:c r="AD568" s="53"/>
      <x:c r="AE568" s="53"/>
      <x:c r="AF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  <x:c r="AA569" s="53"/>
      <x:c r="AB569" s="53"/>
      <x:c r="AC569" s="53"/>
      <x:c r="AD569" s="53"/>
      <x:c r="AE569" s="53"/>
      <x:c r="AF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  <x:c r="AA570" s="53"/>
      <x:c r="AB570" s="53"/>
      <x:c r="AC570" s="53"/>
      <x:c r="AD570" s="53"/>
      <x:c r="AE570" s="53"/>
      <x:c r="AF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  <x:c r="AA571" s="53"/>
      <x:c r="AB571" s="53"/>
      <x:c r="AC571" s="53"/>
      <x:c r="AD571" s="53"/>
      <x:c r="AE571" s="53"/>
      <x:c r="AF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  <x:c r="AA572" s="53"/>
      <x:c r="AB572" s="53"/>
      <x:c r="AC572" s="53"/>
      <x:c r="AD572" s="53"/>
      <x:c r="AE572" s="53"/>
      <x:c r="AF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  <x:c r="AA573" s="53"/>
      <x:c r="AB573" s="53"/>
      <x:c r="AC573" s="53"/>
      <x:c r="AD573" s="53"/>
      <x:c r="AE573" s="53"/>
      <x:c r="AF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  <x:c r="AA574" s="53"/>
      <x:c r="AB574" s="53"/>
      <x:c r="AC574" s="53"/>
      <x:c r="AD574" s="53"/>
      <x:c r="AE574" s="53"/>
      <x:c r="AF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  <x:c r="AA575" s="53"/>
      <x:c r="AB575" s="53"/>
      <x:c r="AC575" s="53"/>
      <x:c r="AD575" s="53"/>
      <x:c r="AE575" s="53"/>
      <x:c r="AF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  <x:c r="AA576" s="53"/>
      <x:c r="AB576" s="53"/>
      <x:c r="AC576" s="53"/>
      <x:c r="AD576" s="53"/>
      <x:c r="AE576" s="53"/>
      <x:c r="AF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  <x:c r="AA577" s="53"/>
      <x:c r="AB577" s="53"/>
      <x:c r="AC577" s="53"/>
      <x:c r="AD577" s="53"/>
      <x:c r="AE577" s="53"/>
      <x:c r="AF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  <x:c r="AA578" s="53"/>
      <x:c r="AB578" s="53"/>
      <x:c r="AC578" s="53"/>
      <x:c r="AD578" s="53"/>
      <x:c r="AE578" s="53"/>
      <x:c r="AF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  <x:c r="AA579" s="53"/>
      <x:c r="AB579" s="53"/>
      <x:c r="AC579" s="53"/>
      <x:c r="AD579" s="53"/>
      <x:c r="AE579" s="53"/>
      <x:c r="AF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  <x:c r="AA580" s="53"/>
      <x:c r="AB580" s="53"/>
      <x:c r="AC580" s="53"/>
      <x:c r="AD580" s="53"/>
      <x:c r="AE580" s="53"/>
      <x:c r="AF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  <x:c r="AA581" s="53"/>
      <x:c r="AB581" s="53"/>
      <x:c r="AC581" s="53"/>
      <x:c r="AD581" s="53"/>
      <x:c r="AE581" s="53"/>
      <x:c r="AF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  <x:c r="AA582" s="53"/>
      <x:c r="AB582" s="53"/>
      <x:c r="AC582" s="53"/>
      <x:c r="AD582" s="53"/>
      <x:c r="AE582" s="53"/>
      <x:c r="AF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  <x:c r="AA583" s="53"/>
      <x:c r="AB583" s="53"/>
      <x:c r="AC583" s="53"/>
      <x:c r="AD583" s="53"/>
      <x:c r="AE583" s="53"/>
      <x:c r="AF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  <x:c r="AA584" s="53"/>
      <x:c r="AB584" s="53"/>
      <x:c r="AC584" s="53"/>
      <x:c r="AD584" s="53"/>
      <x:c r="AE584" s="53"/>
      <x:c r="AF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  <x:c r="AA585" s="53"/>
      <x:c r="AB585" s="53"/>
      <x:c r="AC585" s="53"/>
      <x:c r="AD585" s="53"/>
      <x:c r="AE585" s="53"/>
      <x:c r="AF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  <x:c r="AA586" s="53"/>
      <x:c r="AB586" s="53"/>
      <x:c r="AC586" s="53"/>
      <x:c r="AD586" s="53"/>
      <x:c r="AE586" s="53"/>
      <x:c r="AF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  <x:c r="AA587" s="53"/>
      <x:c r="AB587" s="53"/>
      <x:c r="AC587" s="53"/>
      <x:c r="AD587" s="53"/>
      <x:c r="AE587" s="53"/>
      <x:c r="AF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  <x:c r="AA588" s="53"/>
      <x:c r="AB588" s="53"/>
      <x:c r="AC588" s="53"/>
      <x:c r="AD588" s="53"/>
      <x:c r="AE588" s="53"/>
      <x:c r="AF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  <x:c r="AA589" s="53"/>
      <x:c r="AB589" s="53"/>
      <x:c r="AC589" s="53"/>
      <x:c r="AD589" s="53"/>
      <x:c r="AE589" s="53"/>
      <x:c r="AF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  <x:c r="AA590" s="53"/>
      <x:c r="AB590" s="53"/>
      <x:c r="AC590" s="53"/>
      <x:c r="AD590" s="53"/>
      <x:c r="AE590" s="53"/>
      <x:c r="AF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  <x:c r="AA591" s="53"/>
      <x:c r="AB591" s="53"/>
      <x:c r="AC591" s="53"/>
      <x:c r="AD591" s="53"/>
      <x:c r="AE591" s="53"/>
      <x:c r="AF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  <x:c r="AA592" s="53"/>
      <x:c r="AB592" s="53"/>
      <x:c r="AC592" s="53"/>
      <x:c r="AD592" s="53"/>
      <x:c r="AE592" s="53"/>
      <x:c r="AF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  <x:c r="AA593" s="53"/>
      <x:c r="AB593" s="53"/>
      <x:c r="AC593" s="53"/>
      <x:c r="AD593" s="53"/>
      <x:c r="AE593" s="53"/>
      <x:c r="AF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  <x:c r="AA594" s="53"/>
      <x:c r="AB594" s="53"/>
      <x:c r="AC594" s="53"/>
      <x:c r="AD594" s="53"/>
      <x:c r="AE594" s="53"/>
      <x:c r="AF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  <x:c r="AA595" s="53"/>
      <x:c r="AB595" s="53"/>
      <x:c r="AC595" s="53"/>
      <x:c r="AD595" s="53"/>
      <x:c r="AE595" s="53"/>
      <x:c r="AF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  <x:c r="AA596" s="53"/>
      <x:c r="AB596" s="53"/>
      <x:c r="AC596" s="53"/>
      <x:c r="AD596" s="53"/>
      <x:c r="AE596" s="53"/>
      <x:c r="AF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  <x:c r="AA597" s="53"/>
      <x:c r="AB597" s="53"/>
      <x:c r="AC597" s="53"/>
      <x:c r="AD597" s="53"/>
      <x:c r="AE597" s="53"/>
      <x:c r="AF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  <x:c r="AA598" s="53"/>
      <x:c r="AB598" s="53"/>
      <x:c r="AC598" s="53"/>
      <x:c r="AD598" s="53"/>
      <x:c r="AE598" s="53"/>
      <x:c r="AF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  <x:c r="AA599" s="53"/>
      <x:c r="AB599" s="53"/>
      <x:c r="AC599" s="53"/>
      <x:c r="AD599" s="53"/>
      <x:c r="AE599" s="53"/>
      <x:c r="AF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  <x:c r="AA600" s="53"/>
      <x:c r="AB600" s="53"/>
      <x:c r="AC600" s="53"/>
      <x:c r="AD600" s="53"/>
      <x:c r="AE600" s="53"/>
      <x:c r="AF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  <x:c r="AA601" s="53"/>
      <x:c r="AB601" s="53"/>
      <x:c r="AC601" s="53"/>
      <x:c r="AD601" s="53"/>
      <x:c r="AE601" s="53"/>
      <x:c r="AF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  <x:c r="AA602" s="53"/>
      <x:c r="AB602" s="53"/>
      <x:c r="AC602" s="53"/>
      <x:c r="AD602" s="53"/>
      <x:c r="AE602" s="53"/>
      <x:c r="AF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  <x:c r="AA603" s="53"/>
      <x:c r="AB603" s="53"/>
      <x:c r="AC603" s="53"/>
      <x:c r="AD603" s="53"/>
      <x:c r="AE603" s="53"/>
      <x:c r="AF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  <x:c r="AA604" s="53"/>
      <x:c r="AB604" s="53"/>
      <x:c r="AC604" s="53"/>
      <x:c r="AD604" s="53"/>
      <x:c r="AE604" s="53"/>
      <x:c r="AF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  <x:c r="AA605" s="53"/>
      <x:c r="AB605" s="53"/>
      <x:c r="AC605" s="53"/>
      <x:c r="AD605" s="53"/>
      <x:c r="AE605" s="53"/>
      <x:c r="AF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  <x:c r="AA606" s="53"/>
      <x:c r="AB606" s="53"/>
      <x:c r="AC606" s="53"/>
      <x:c r="AD606" s="53"/>
      <x:c r="AE606" s="53"/>
      <x:c r="AF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  <x:c r="AA607" s="53"/>
      <x:c r="AB607" s="53"/>
      <x:c r="AC607" s="53"/>
      <x:c r="AD607" s="53"/>
      <x:c r="AE607" s="53"/>
      <x:c r="AF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  <x:c r="AA608" s="53"/>
      <x:c r="AB608" s="53"/>
      <x:c r="AC608" s="53"/>
      <x:c r="AD608" s="53"/>
      <x:c r="AE608" s="53"/>
      <x:c r="AF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  <x:c r="AA609" s="53"/>
      <x:c r="AB609" s="53"/>
      <x:c r="AC609" s="53"/>
      <x:c r="AD609" s="53"/>
      <x:c r="AE609" s="53"/>
      <x:c r="AF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  <x:c r="AA610" s="53"/>
      <x:c r="AB610" s="53"/>
      <x:c r="AC610" s="53"/>
      <x:c r="AD610" s="53"/>
      <x:c r="AE610" s="53"/>
      <x:c r="AF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  <x:c r="AA611" s="53"/>
      <x:c r="AB611" s="53"/>
      <x:c r="AC611" s="53"/>
      <x:c r="AD611" s="53"/>
      <x:c r="AE611" s="53"/>
      <x:c r="AF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  <x:c r="AA612" s="53"/>
      <x:c r="AB612" s="53"/>
      <x:c r="AC612" s="53"/>
      <x:c r="AD612" s="53"/>
      <x:c r="AE612" s="53"/>
      <x:c r="AF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  <x:c r="AA613" s="53"/>
      <x:c r="AB613" s="53"/>
      <x:c r="AC613" s="53"/>
      <x:c r="AD613" s="53"/>
      <x:c r="AE613" s="53"/>
      <x:c r="AF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  <x:c r="AA614" s="53"/>
      <x:c r="AB614" s="53"/>
      <x:c r="AC614" s="53"/>
      <x:c r="AD614" s="53"/>
      <x:c r="AE614" s="53"/>
      <x:c r="AF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  <x:c r="AA615" s="53"/>
      <x:c r="AB615" s="53"/>
      <x:c r="AC615" s="53"/>
      <x:c r="AD615" s="53"/>
      <x:c r="AE615" s="53"/>
      <x:c r="AF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  <x:c r="AA616" s="53"/>
      <x:c r="AB616" s="53"/>
      <x:c r="AC616" s="53"/>
      <x:c r="AD616" s="53"/>
      <x:c r="AE616" s="53"/>
      <x:c r="AF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  <x:c r="AA617" s="53"/>
      <x:c r="AB617" s="53"/>
      <x:c r="AC617" s="53"/>
      <x:c r="AD617" s="53"/>
      <x:c r="AE617" s="53"/>
      <x:c r="AF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  <x:c r="AA618" s="53"/>
      <x:c r="AB618" s="53"/>
      <x:c r="AC618" s="53"/>
      <x:c r="AD618" s="53"/>
      <x:c r="AE618" s="53"/>
      <x:c r="AF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  <x:c r="AA619" s="53"/>
      <x:c r="AB619" s="53"/>
      <x:c r="AC619" s="53"/>
      <x:c r="AD619" s="53"/>
      <x:c r="AE619" s="53"/>
      <x:c r="AF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  <x:c r="AA620" s="53"/>
      <x:c r="AB620" s="53"/>
      <x:c r="AC620" s="53"/>
      <x:c r="AD620" s="53"/>
      <x:c r="AE620" s="53"/>
      <x:c r="AF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  <x:c r="AA621" s="53"/>
      <x:c r="AB621" s="53"/>
      <x:c r="AC621" s="53"/>
      <x:c r="AD621" s="53"/>
      <x:c r="AE621" s="53"/>
      <x:c r="AF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  <x:c r="AA622" s="53"/>
      <x:c r="AB622" s="53"/>
      <x:c r="AC622" s="53"/>
      <x:c r="AD622" s="53"/>
      <x:c r="AE622" s="53"/>
      <x:c r="AF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  <x:c r="AA623" s="53"/>
      <x:c r="AB623" s="53"/>
      <x:c r="AC623" s="53"/>
      <x:c r="AD623" s="53"/>
      <x:c r="AE623" s="53"/>
      <x:c r="AF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  <x:c r="AA624" s="53"/>
      <x:c r="AB624" s="53"/>
      <x:c r="AC624" s="53"/>
      <x:c r="AD624" s="53"/>
      <x:c r="AE624" s="53"/>
      <x:c r="AF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  <x:c r="AA625" s="53"/>
      <x:c r="AB625" s="53"/>
      <x:c r="AC625" s="53"/>
      <x:c r="AD625" s="53"/>
      <x:c r="AE625" s="53"/>
      <x:c r="AF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  <x:c r="AA626" s="53"/>
      <x:c r="AB626" s="53"/>
      <x:c r="AC626" s="53"/>
      <x:c r="AD626" s="53"/>
      <x:c r="AE626" s="53"/>
      <x:c r="AF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  <x:c r="AA627" s="53"/>
      <x:c r="AB627" s="53"/>
      <x:c r="AC627" s="53"/>
      <x:c r="AD627" s="53"/>
      <x:c r="AE627" s="53"/>
      <x:c r="AF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  <x:c r="AA628" s="53"/>
      <x:c r="AB628" s="53"/>
      <x:c r="AC628" s="53"/>
      <x:c r="AD628" s="53"/>
      <x:c r="AE628" s="53"/>
      <x:c r="AF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  <x:c r="AA629" s="53"/>
      <x:c r="AB629" s="53"/>
      <x:c r="AC629" s="53"/>
      <x:c r="AD629" s="53"/>
      <x:c r="AE629" s="53"/>
      <x:c r="AF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  <x:c r="AA630" s="53"/>
      <x:c r="AB630" s="53"/>
      <x:c r="AC630" s="53"/>
      <x:c r="AD630" s="53"/>
      <x:c r="AE630" s="53"/>
      <x:c r="AF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  <x:c r="AA631" s="53"/>
      <x:c r="AB631" s="53"/>
      <x:c r="AC631" s="53"/>
      <x:c r="AD631" s="53"/>
      <x:c r="AE631" s="53"/>
      <x:c r="AF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  <x:c r="AA632" s="53"/>
      <x:c r="AB632" s="53"/>
      <x:c r="AC632" s="53"/>
      <x:c r="AD632" s="53"/>
      <x:c r="AE632" s="53"/>
      <x:c r="AF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  <x:c r="AA633" s="53"/>
      <x:c r="AB633" s="53"/>
      <x:c r="AC633" s="53"/>
      <x:c r="AD633" s="53"/>
      <x:c r="AE633" s="53"/>
      <x:c r="AF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  <x:c r="AA634" s="53"/>
      <x:c r="AB634" s="53"/>
      <x:c r="AC634" s="53"/>
      <x:c r="AD634" s="53"/>
      <x:c r="AE634" s="53"/>
      <x:c r="AF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  <x:c r="AA635" s="53"/>
      <x:c r="AB635" s="53"/>
      <x:c r="AC635" s="53"/>
      <x:c r="AD635" s="53"/>
      <x:c r="AE635" s="53"/>
      <x:c r="AF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  <x:c r="AA636" s="53"/>
      <x:c r="AB636" s="53"/>
      <x:c r="AC636" s="53"/>
      <x:c r="AD636" s="53"/>
      <x:c r="AE636" s="53"/>
      <x:c r="AF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  <x:c r="AA637" s="53"/>
      <x:c r="AB637" s="53"/>
      <x:c r="AC637" s="53"/>
      <x:c r="AD637" s="53"/>
      <x:c r="AE637" s="53"/>
      <x:c r="AF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  <x:c r="AA638" s="53"/>
      <x:c r="AB638" s="53"/>
      <x:c r="AC638" s="53"/>
      <x:c r="AD638" s="53"/>
      <x:c r="AE638" s="53"/>
      <x:c r="AF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  <x:c r="AA639" s="53"/>
      <x:c r="AB639" s="53"/>
      <x:c r="AC639" s="53"/>
      <x:c r="AD639" s="53"/>
      <x:c r="AE639" s="53"/>
      <x:c r="AF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  <x:c r="AA640" s="53"/>
      <x:c r="AB640" s="53"/>
      <x:c r="AC640" s="53"/>
      <x:c r="AD640" s="53"/>
      <x:c r="AE640" s="53"/>
      <x:c r="AF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  <x:c r="AA641" s="53"/>
      <x:c r="AB641" s="53"/>
      <x:c r="AC641" s="53"/>
      <x:c r="AD641" s="53"/>
      <x:c r="AE641" s="53"/>
      <x:c r="AF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  <x:c r="AA642" s="53"/>
      <x:c r="AB642" s="53"/>
      <x:c r="AC642" s="53"/>
      <x:c r="AD642" s="53"/>
      <x:c r="AE642" s="53"/>
      <x:c r="AF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  <x:c r="AA643" s="53"/>
      <x:c r="AB643" s="53"/>
      <x:c r="AC643" s="53"/>
      <x:c r="AD643" s="53"/>
      <x:c r="AE643" s="53"/>
      <x:c r="AF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  <x:c r="AA644" s="53"/>
      <x:c r="AB644" s="53"/>
      <x:c r="AC644" s="53"/>
      <x:c r="AD644" s="53"/>
      <x:c r="AE644" s="53"/>
      <x:c r="AF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  <x:c r="AA645" s="53"/>
      <x:c r="AB645" s="53"/>
      <x:c r="AC645" s="53"/>
      <x:c r="AD645" s="53"/>
      <x:c r="AE645" s="53"/>
      <x:c r="AF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  <x:c r="AA646" s="53"/>
      <x:c r="AB646" s="53"/>
      <x:c r="AC646" s="53"/>
      <x:c r="AD646" s="53"/>
      <x:c r="AE646" s="53"/>
      <x:c r="AF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  <x:c r="AA647" s="53"/>
      <x:c r="AB647" s="53"/>
      <x:c r="AC647" s="53"/>
      <x:c r="AD647" s="53"/>
      <x:c r="AE647" s="53"/>
      <x:c r="AF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  <x:c r="AA648" s="53"/>
      <x:c r="AB648" s="53"/>
      <x:c r="AC648" s="53"/>
      <x:c r="AD648" s="53"/>
      <x:c r="AE648" s="53"/>
      <x:c r="AF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  <x:c r="AA649" s="53"/>
      <x:c r="AB649" s="53"/>
      <x:c r="AC649" s="53"/>
      <x:c r="AD649" s="53"/>
      <x:c r="AE649" s="53"/>
      <x:c r="AF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  <x:c r="AA650" s="53"/>
      <x:c r="AB650" s="53"/>
      <x:c r="AC650" s="53"/>
      <x:c r="AD650" s="53"/>
      <x:c r="AE650" s="53"/>
      <x:c r="AF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  <x:c r="AA651" s="53"/>
      <x:c r="AB651" s="53"/>
      <x:c r="AC651" s="53"/>
      <x:c r="AD651" s="53"/>
      <x:c r="AE651" s="53"/>
      <x:c r="AF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  <x:c r="AA652" s="53"/>
      <x:c r="AB652" s="53"/>
      <x:c r="AC652" s="53"/>
      <x:c r="AD652" s="53"/>
      <x:c r="AE652" s="53"/>
      <x:c r="AF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  <x:c r="AA653" s="53"/>
      <x:c r="AB653" s="53"/>
      <x:c r="AC653" s="53"/>
      <x:c r="AD653" s="53"/>
      <x:c r="AE653" s="53"/>
      <x:c r="AF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  <x:c r="AA654" s="53"/>
      <x:c r="AB654" s="53"/>
      <x:c r="AC654" s="53"/>
      <x:c r="AD654" s="53"/>
      <x:c r="AE654" s="53"/>
      <x:c r="AF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  <x:c r="AA655" s="53"/>
      <x:c r="AB655" s="53"/>
      <x:c r="AC655" s="53"/>
      <x:c r="AD655" s="53"/>
      <x:c r="AE655" s="53"/>
      <x:c r="AF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  <x:c r="AA656" s="53"/>
      <x:c r="AB656" s="53"/>
      <x:c r="AC656" s="53"/>
      <x:c r="AD656" s="53"/>
      <x:c r="AE656" s="53"/>
      <x:c r="AF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  <x:c r="AA657" s="53"/>
      <x:c r="AB657" s="53"/>
      <x:c r="AC657" s="53"/>
      <x:c r="AD657" s="53"/>
      <x:c r="AE657" s="53"/>
      <x:c r="AF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  <x:c r="AA658" s="53"/>
      <x:c r="AB658" s="53"/>
      <x:c r="AC658" s="53"/>
      <x:c r="AD658" s="53"/>
      <x:c r="AE658" s="53"/>
      <x:c r="AF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  <x:c r="AA659" s="53"/>
      <x:c r="AB659" s="53"/>
      <x:c r="AC659" s="53"/>
      <x:c r="AD659" s="53"/>
      <x:c r="AE659" s="53"/>
      <x:c r="AF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  <x:c r="AA660" s="53"/>
      <x:c r="AB660" s="53"/>
      <x:c r="AC660" s="53"/>
      <x:c r="AD660" s="53"/>
      <x:c r="AE660" s="53"/>
      <x:c r="AF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  <x:c r="AA661" s="53"/>
      <x:c r="AB661" s="53"/>
      <x:c r="AC661" s="53"/>
      <x:c r="AD661" s="53"/>
      <x:c r="AE661" s="53"/>
      <x:c r="AF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  <x:c r="AA662" s="53"/>
      <x:c r="AB662" s="53"/>
      <x:c r="AC662" s="53"/>
      <x:c r="AD662" s="53"/>
      <x:c r="AE662" s="53"/>
      <x:c r="AF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  <x:c r="AA663" s="53"/>
      <x:c r="AB663" s="53"/>
      <x:c r="AC663" s="53"/>
      <x:c r="AD663" s="53"/>
      <x:c r="AE663" s="53"/>
      <x:c r="AF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  <x:c r="AA664" s="53"/>
      <x:c r="AB664" s="53"/>
      <x:c r="AC664" s="53"/>
      <x:c r="AD664" s="53"/>
      <x:c r="AE664" s="53"/>
      <x:c r="AF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  <x:c r="AA665" s="53"/>
      <x:c r="AB665" s="53"/>
      <x:c r="AC665" s="53"/>
      <x:c r="AD665" s="53"/>
      <x:c r="AE665" s="53"/>
      <x:c r="AF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  <x:c r="AA666" s="53"/>
      <x:c r="AB666" s="53"/>
      <x:c r="AC666" s="53"/>
      <x:c r="AD666" s="53"/>
      <x:c r="AE666" s="53"/>
      <x:c r="AF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  <x:c r="AA667" s="53"/>
      <x:c r="AB667" s="53"/>
      <x:c r="AC667" s="53"/>
      <x:c r="AD667" s="53"/>
      <x:c r="AE667" s="53"/>
      <x:c r="AF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  <x:c r="AA668" s="53"/>
      <x:c r="AB668" s="53"/>
      <x:c r="AC668" s="53"/>
      <x:c r="AD668" s="53"/>
      <x:c r="AE668" s="53"/>
      <x:c r="AF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  <x:c r="AA669" s="53"/>
      <x:c r="AB669" s="53"/>
      <x:c r="AC669" s="53"/>
      <x:c r="AD669" s="53"/>
      <x:c r="AE669" s="53"/>
      <x:c r="AF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  <x:c r="AA670" s="53"/>
      <x:c r="AB670" s="53"/>
      <x:c r="AC670" s="53"/>
      <x:c r="AD670" s="53"/>
      <x:c r="AE670" s="53"/>
      <x:c r="AF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  <x:c r="AA671" s="53"/>
      <x:c r="AB671" s="53"/>
      <x:c r="AC671" s="53"/>
      <x:c r="AD671" s="53"/>
      <x:c r="AE671" s="53"/>
      <x:c r="AF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  <x:c r="AA672" s="53"/>
      <x:c r="AB672" s="53"/>
      <x:c r="AC672" s="53"/>
      <x:c r="AD672" s="53"/>
      <x:c r="AE672" s="53"/>
      <x:c r="AF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  <x:c r="AA673" s="53"/>
      <x:c r="AB673" s="53"/>
      <x:c r="AC673" s="53"/>
      <x:c r="AD673" s="53"/>
      <x:c r="AE673" s="53"/>
      <x:c r="AF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  <x:c r="AA674" s="53"/>
      <x:c r="AB674" s="53"/>
      <x:c r="AC674" s="53"/>
      <x:c r="AD674" s="53"/>
      <x:c r="AE674" s="53"/>
      <x:c r="AF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  <x:c r="AA675" s="53"/>
      <x:c r="AB675" s="53"/>
      <x:c r="AC675" s="53"/>
      <x:c r="AD675" s="53"/>
      <x:c r="AE675" s="53"/>
      <x:c r="AF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  <x:c r="AA676" s="53"/>
      <x:c r="AB676" s="53"/>
      <x:c r="AC676" s="53"/>
      <x:c r="AD676" s="53"/>
      <x:c r="AE676" s="53"/>
      <x:c r="AF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  <x:c r="AA677" s="53"/>
      <x:c r="AB677" s="53"/>
      <x:c r="AC677" s="53"/>
      <x:c r="AD677" s="53"/>
      <x:c r="AE677" s="53"/>
      <x:c r="AF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  <x:c r="AA678" s="53"/>
      <x:c r="AB678" s="53"/>
      <x:c r="AC678" s="53"/>
      <x:c r="AD678" s="53"/>
      <x:c r="AE678" s="53"/>
      <x:c r="AF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  <x:c r="AA679" s="53"/>
      <x:c r="AB679" s="53"/>
      <x:c r="AC679" s="53"/>
      <x:c r="AD679" s="53"/>
      <x:c r="AE679" s="53"/>
      <x:c r="AF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  <x:c r="AA680" s="53"/>
      <x:c r="AB680" s="53"/>
      <x:c r="AC680" s="53"/>
      <x:c r="AD680" s="53"/>
      <x:c r="AE680" s="53"/>
      <x:c r="AF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  <x:c r="AA681" s="53"/>
      <x:c r="AB681" s="53"/>
      <x:c r="AC681" s="53"/>
      <x:c r="AD681" s="53"/>
      <x:c r="AE681" s="53"/>
      <x:c r="AF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  <x:c r="AA682" s="53"/>
      <x:c r="AB682" s="53"/>
      <x:c r="AC682" s="53"/>
      <x:c r="AD682" s="53"/>
      <x:c r="AE682" s="53"/>
      <x:c r="AF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  <x:c r="AA683" s="53"/>
      <x:c r="AB683" s="53"/>
      <x:c r="AC683" s="53"/>
      <x:c r="AD683" s="53"/>
      <x:c r="AE683" s="53"/>
      <x:c r="AF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  <x:c r="AA684" s="53"/>
      <x:c r="AB684" s="53"/>
      <x:c r="AC684" s="53"/>
      <x:c r="AD684" s="53"/>
      <x:c r="AE684" s="53"/>
      <x:c r="AF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  <x:c r="AA685" s="53"/>
      <x:c r="AB685" s="53"/>
      <x:c r="AC685" s="53"/>
      <x:c r="AD685" s="53"/>
      <x:c r="AE685" s="53"/>
      <x:c r="AF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  <x:c r="AA686" s="53"/>
      <x:c r="AB686" s="53"/>
      <x:c r="AC686" s="53"/>
      <x:c r="AD686" s="53"/>
      <x:c r="AE686" s="53"/>
      <x:c r="AF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  <x:c r="AA687" s="53"/>
      <x:c r="AB687" s="53"/>
      <x:c r="AC687" s="53"/>
      <x:c r="AD687" s="53"/>
      <x:c r="AE687" s="53"/>
      <x:c r="AF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  <x:c r="AA688" s="53"/>
      <x:c r="AB688" s="53"/>
      <x:c r="AC688" s="53"/>
      <x:c r="AD688" s="53"/>
      <x:c r="AE688" s="53"/>
      <x:c r="AF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  <x:c r="AA689" s="53"/>
      <x:c r="AB689" s="53"/>
      <x:c r="AC689" s="53"/>
      <x:c r="AD689" s="53"/>
      <x:c r="AE689" s="53"/>
      <x:c r="AF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  <x:c r="AA690" s="53"/>
      <x:c r="AB690" s="53"/>
      <x:c r="AC690" s="53"/>
      <x:c r="AD690" s="53"/>
      <x:c r="AE690" s="53"/>
      <x:c r="AF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  <x:c r="AA691" s="53"/>
      <x:c r="AB691" s="53"/>
      <x:c r="AC691" s="53"/>
      <x:c r="AD691" s="53"/>
      <x:c r="AE691" s="53"/>
      <x:c r="AF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  <x:c r="AA692" s="53"/>
      <x:c r="AB692" s="53"/>
      <x:c r="AC692" s="53"/>
      <x:c r="AD692" s="53"/>
      <x:c r="AE692" s="53"/>
      <x:c r="AF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  <x:c r="AA693" s="53"/>
      <x:c r="AB693" s="53"/>
      <x:c r="AC693" s="53"/>
      <x:c r="AD693" s="53"/>
      <x:c r="AE693" s="53"/>
      <x:c r="AF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  <x:c r="AA694" s="53"/>
      <x:c r="AB694" s="53"/>
      <x:c r="AC694" s="53"/>
      <x:c r="AD694" s="53"/>
      <x:c r="AE694" s="53"/>
      <x:c r="AF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  <x:c r="AA695" s="53"/>
      <x:c r="AB695" s="53"/>
      <x:c r="AC695" s="53"/>
      <x:c r="AD695" s="53"/>
      <x:c r="AE695" s="53"/>
      <x:c r="AF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  <x:c r="AA696" s="53"/>
      <x:c r="AB696" s="53"/>
      <x:c r="AC696" s="53"/>
      <x:c r="AD696" s="53"/>
      <x:c r="AE696" s="53"/>
      <x:c r="AF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  <x:c r="AA697" s="53"/>
      <x:c r="AB697" s="53"/>
      <x:c r="AC697" s="53"/>
      <x:c r="AD697" s="53"/>
      <x:c r="AE697" s="53"/>
      <x:c r="AF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  <x:c r="AA698" s="53"/>
      <x:c r="AB698" s="53"/>
      <x:c r="AC698" s="53"/>
      <x:c r="AD698" s="53"/>
      <x:c r="AE698" s="53"/>
      <x:c r="AF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  <x:c r="AA699" s="53"/>
      <x:c r="AB699" s="53"/>
      <x:c r="AC699" s="53"/>
      <x:c r="AD699" s="53"/>
      <x:c r="AE699" s="53"/>
      <x:c r="AF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  <x:c r="AA700" s="53"/>
      <x:c r="AB700" s="53"/>
      <x:c r="AC700" s="53"/>
      <x:c r="AD700" s="53"/>
      <x:c r="AE700" s="53"/>
      <x:c r="AF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  <x:c r="AA701" s="53"/>
      <x:c r="AB701" s="53"/>
      <x:c r="AC701" s="53"/>
      <x:c r="AD701" s="53"/>
      <x:c r="AE701" s="53"/>
      <x:c r="AF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  <x:c r="AA702" s="53"/>
      <x:c r="AB702" s="53"/>
      <x:c r="AC702" s="53"/>
      <x:c r="AD702" s="53"/>
      <x:c r="AE702" s="53"/>
      <x:c r="AF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  <x:c r="AA703" s="53"/>
      <x:c r="AB703" s="53"/>
      <x:c r="AC703" s="53"/>
      <x:c r="AD703" s="53"/>
      <x:c r="AE703" s="53"/>
      <x:c r="AF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  <x:c r="AA704" s="53"/>
      <x:c r="AB704" s="53"/>
      <x:c r="AC704" s="53"/>
      <x:c r="AD704" s="53"/>
      <x:c r="AE704" s="53"/>
      <x:c r="AF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  <x:c r="AA705" s="53"/>
      <x:c r="AB705" s="53"/>
      <x:c r="AC705" s="53"/>
      <x:c r="AD705" s="53"/>
      <x:c r="AE705" s="53"/>
      <x:c r="AF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  <x:c r="AA706" s="53"/>
      <x:c r="AB706" s="53"/>
      <x:c r="AC706" s="53"/>
      <x:c r="AD706" s="53"/>
      <x:c r="AE706" s="53"/>
      <x:c r="AF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  <x:c r="AA707" s="53"/>
      <x:c r="AB707" s="53"/>
      <x:c r="AC707" s="53"/>
      <x:c r="AD707" s="53"/>
      <x:c r="AE707" s="53"/>
      <x:c r="AF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  <x:c r="AA708" s="53"/>
      <x:c r="AB708" s="53"/>
      <x:c r="AC708" s="53"/>
      <x:c r="AD708" s="53"/>
      <x:c r="AE708" s="53"/>
      <x:c r="AF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  <x:c r="AA709" s="53"/>
      <x:c r="AB709" s="53"/>
      <x:c r="AC709" s="53"/>
      <x:c r="AD709" s="53"/>
      <x:c r="AE709" s="53"/>
      <x:c r="AF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  <x:c r="AA710" s="53"/>
      <x:c r="AB710" s="53"/>
      <x:c r="AC710" s="53"/>
      <x:c r="AD710" s="53"/>
      <x:c r="AE710" s="53"/>
      <x:c r="AF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  <x:c r="AA711" s="53"/>
      <x:c r="AB711" s="53"/>
      <x:c r="AC711" s="53"/>
      <x:c r="AD711" s="53"/>
      <x:c r="AE711" s="53"/>
      <x:c r="AF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  <x:c r="AA712" s="53"/>
      <x:c r="AB712" s="53"/>
      <x:c r="AC712" s="53"/>
      <x:c r="AD712" s="53"/>
      <x:c r="AE712" s="53"/>
      <x:c r="AF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  <x:c r="AA713" s="53"/>
      <x:c r="AB713" s="53"/>
      <x:c r="AC713" s="53"/>
      <x:c r="AD713" s="53"/>
      <x:c r="AE713" s="53"/>
      <x:c r="AF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  <x:c r="AA714" s="53"/>
      <x:c r="AB714" s="53"/>
      <x:c r="AC714" s="53"/>
      <x:c r="AD714" s="53"/>
      <x:c r="AE714" s="53"/>
      <x:c r="AF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  <x:c r="AA715" s="53"/>
      <x:c r="AB715" s="53"/>
      <x:c r="AC715" s="53"/>
      <x:c r="AD715" s="53"/>
      <x:c r="AE715" s="53"/>
      <x:c r="AF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  <x:c r="AA716" s="53"/>
      <x:c r="AB716" s="53"/>
      <x:c r="AC716" s="53"/>
      <x:c r="AD716" s="53"/>
      <x:c r="AE716" s="53"/>
      <x:c r="AF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  <x:c r="AA717" s="53"/>
      <x:c r="AB717" s="53"/>
      <x:c r="AC717" s="53"/>
      <x:c r="AD717" s="53"/>
      <x:c r="AE717" s="53"/>
      <x:c r="AF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  <x:c r="AA718" s="53"/>
      <x:c r="AB718" s="53"/>
      <x:c r="AC718" s="53"/>
      <x:c r="AD718" s="53"/>
      <x:c r="AE718" s="53"/>
      <x:c r="AF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  <x:c r="AA719" s="53"/>
      <x:c r="AB719" s="53"/>
      <x:c r="AC719" s="53"/>
      <x:c r="AD719" s="53"/>
      <x:c r="AE719" s="53"/>
      <x:c r="AF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  <x:c r="AA720" s="53"/>
      <x:c r="AB720" s="53"/>
      <x:c r="AC720" s="53"/>
      <x:c r="AD720" s="53"/>
      <x:c r="AE720" s="53"/>
      <x:c r="AF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  <x:c r="AA721" s="53"/>
      <x:c r="AB721" s="53"/>
      <x:c r="AC721" s="53"/>
      <x:c r="AD721" s="53"/>
      <x:c r="AE721" s="53"/>
      <x:c r="AF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  <x:c r="AA722" s="53"/>
      <x:c r="AB722" s="53"/>
      <x:c r="AC722" s="53"/>
      <x:c r="AD722" s="53"/>
      <x:c r="AE722" s="53"/>
      <x:c r="AF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  <x:c r="AA723" s="53"/>
      <x:c r="AB723" s="53"/>
      <x:c r="AC723" s="53"/>
      <x:c r="AD723" s="53"/>
      <x:c r="AE723" s="53"/>
      <x:c r="AF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  <x:c r="AA724" s="53"/>
      <x:c r="AB724" s="53"/>
      <x:c r="AC724" s="53"/>
      <x:c r="AD724" s="53"/>
      <x:c r="AE724" s="53"/>
      <x:c r="AF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  <x:c r="AA725" s="53"/>
      <x:c r="AB725" s="53"/>
      <x:c r="AC725" s="53"/>
      <x:c r="AD725" s="53"/>
      <x:c r="AE725" s="53"/>
      <x:c r="AF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  <x:c r="AA726" s="53"/>
      <x:c r="AB726" s="53"/>
      <x:c r="AC726" s="53"/>
      <x:c r="AD726" s="53"/>
      <x:c r="AE726" s="53"/>
      <x:c r="AF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  <x:c r="AA727" s="53"/>
      <x:c r="AB727" s="53"/>
      <x:c r="AC727" s="53"/>
      <x:c r="AD727" s="53"/>
      <x:c r="AE727" s="53"/>
      <x:c r="AF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  <x:c r="AA728" s="53"/>
      <x:c r="AB728" s="53"/>
      <x:c r="AC728" s="53"/>
      <x:c r="AD728" s="53"/>
      <x:c r="AE728" s="53"/>
      <x:c r="AF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  <x:c r="AA729" s="53"/>
      <x:c r="AB729" s="53"/>
      <x:c r="AC729" s="53"/>
      <x:c r="AD729" s="53"/>
      <x:c r="AE729" s="53"/>
      <x:c r="AF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  <x:c r="AA730" s="53"/>
      <x:c r="AB730" s="53"/>
      <x:c r="AC730" s="53"/>
      <x:c r="AD730" s="53"/>
      <x:c r="AE730" s="53"/>
      <x:c r="AF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  <x:c r="AA731" s="53"/>
      <x:c r="AB731" s="53"/>
      <x:c r="AC731" s="53"/>
      <x:c r="AD731" s="53"/>
      <x:c r="AE731" s="53"/>
      <x:c r="AF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  <x:c r="AA732" s="53"/>
      <x:c r="AB732" s="53"/>
      <x:c r="AC732" s="53"/>
      <x:c r="AD732" s="53"/>
      <x:c r="AE732" s="53"/>
      <x:c r="AF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  <x:c r="AA733" s="53"/>
      <x:c r="AB733" s="53"/>
      <x:c r="AC733" s="53"/>
      <x:c r="AD733" s="53"/>
      <x:c r="AE733" s="53"/>
      <x:c r="AF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  <x:c r="AA734" s="53"/>
      <x:c r="AB734" s="53"/>
      <x:c r="AC734" s="53"/>
      <x:c r="AD734" s="53"/>
      <x:c r="AE734" s="53"/>
      <x:c r="AF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  <x:c r="AA735" s="53"/>
      <x:c r="AB735" s="53"/>
      <x:c r="AC735" s="53"/>
      <x:c r="AD735" s="53"/>
      <x:c r="AE735" s="53"/>
      <x:c r="AF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  <x:c r="AA736" s="53"/>
      <x:c r="AB736" s="53"/>
      <x:c r="AC736" s="53"/>
      <x:c r="AD736" s="53"/>
      <x:c r="AE736" s="53"/>
      <x:c r="AF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  <x:c r="AA737" s="53"/>
      <x:c r="AB737" s="53"/>
      <x:c r="AC737" s="53"/>
      <x:c r="AD737" s="53"/>
      <x:c r="AE737" s="53"/>
      <x:c r="AF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  <x:c r="AA738" s="53"/>
      <x:c r="AB738" s="53"/>
      <x:c r="AC738" s="53"/>
      <x:c r="AD738" s="53"/>
      <x:c r="AE738" s="53"/>
      <x:c r="AF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  <x:c r="AA739" s="53"/>
      <x:c r="AB739" s="53"/>
      <x:c r="AC739" s="53"/>
      <x:c r="AD739" s="53"/>
      <x:c r="AE739" s="53"/>
      <x:c r="AF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  <x:c r="AA740" s="53"/>
      <x:c r="AB740" s="53"/>
      <x:c r="AC740" s="53"/>
      <x:c r="AD740" s="53"/>
      <x:c r="AE740" s="53"/>
      <x:c r="AF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  <x:c r="AA741" s="53"/>
      <x:c r="AB741" s="53"/>
      <x:c r="AC741" s="53"/>
      <x:c r="AD741" s="53"/>
      <x:c r="AE741" s="53"/>
      <x:c r="AF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  <x:c r="AA742" s="53"/>
      <x:c r="AB742" s="53"/>
      <x:c r="AC742" s="53"/>
      <x:c r="AD742" s="53"/>
      <x:c r="AE742" s="53"/>
      <x:c r="AF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  <x:c r="AA743" s="53"/>
      <x:c r="AB743" s="53"/>
      <x:c r="AC743" s="53"/>
      <x:c r="AD743" s="53"/>
      <x:c r="AE743" s="53"/>
      <x:c r="AF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  <x:c r="AA744" s="53"/>
      <x:c r="AB744" s="53"/>
      <x:c r="AC744" s="53"/>
      <x:c r="AD744" s="53"/>
      <x:c r="AE744" s="53"/>
      <x:c r="AF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  <x:c r="AA745" s="53"/>
      <x:c r="AB745" s="53"/>
      <x:c r="AC745" s="53"/>
      <x:c r="AD745" s="53"/>
      <x:c r="AE745" s="53"/>
      <x:c r="AF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  <x:c r="AA746" s="53"/>
      <x:c r="AB746" s="53"/>
      <x:c r="AC746" s="53"/>
      <x:c r="AD746" s="53"/>
      <x:c r="AE746" s="53"/>
      <x:c r="AF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  <x:c r="AA747" s="53"/>
      <x:c r="AB747" s="53"/>
      <x:c r="AC747" s="53"/>
      <x:c r="AD747" s="53"/>
      <x:c r="AE747" s="53"/>
      <x:c r="AF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  <x:c r="AA748" s="53"/>
      <x:c r="AB748" s="53"/>
      <x:c r="AC748" s="53"/>
      <x:c r="AD748" s="53"/>
      <x:c r="AE748" s="53"/>
      <x:c r="AF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  <x:c r="AA749" s="53"/>
      <x:c r="AB749" s="53"/>
      <x:c r="AC749" s="53"/>
      <x:c r="AD749" s="53"/>
      <x:c r="AE749" s="53"/>
      <x:c r="AF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  <x:c r="AA750" s="53"/>
      <x:c r="AB750" s="53"/>
      <x:c r="AC750" s="53"/>
      <x:c r="AD750" s="53"/>
      <x:c r="AE750" s="53"/>
      <x:c r="AF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  <x:c r="AA751" s="53"/>
      <x:c r="AB751" s="53"/>
      <x:c r="AC751" s="53"/>
      <x:c r="AD751" s="53"/>
      <x:c r="AE751" s="53"/>
      <x:c r="AF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  <x:c r="AA752" s="53"/>
      <x:c r="AB752" s="53"/>
      <x:c r="AC752" s="53"/>
      <x:c r="AD752" s="53"/>
      <x:c r="AE752" s="53"/>
      <x:c r="AF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  <x:c r="AA753" s="53"/>
      <x:c r="AB753" s="53"/>
      <x:c r="AC753" s="53"/>
      <x:c r="AD753" s="53"/>
      <x:c r="AE753" s="53"/>
      <x:c r="AF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  <x:c r="AA754" s="53"/>
      <x:c r="AB754" s="53"/>
      <x:c r="AC754" s="53"/>
      <x:c r="AD754" s="53"/>
      <x:c r="AE754" s="53"/>
      <x:c r="AF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  <x:c r="AA755" s="53"/>
      <x:c r="AB755" s="53"/>
      <x:c r="AC755" s="53"/>
      <x:c r="AD755" s="53"/>
      <x:c r="AE755" s="53"/>
      <x:c r="AF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  <x:c r="AA756" s="53"/>
      <x:c r="AB756" s="53"/>
      <x:c r="AC756" s="53"/>
      <x:c r="AD756" s="53"/>
      <x:c r="AE756" s="53"/>
      <x:c r="AF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  <x:c r="AA757" s="53"/>
      <x:c r="AB757" s="53"/>
      <x:c r="AC757" s="53"/>
      <x:c r="AD757" s="53"/>
      <x:c r="AE757" s="53"/>
      <x:c r="AF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  <x:c r="AA758" s="53"/>
      <x:c r="AB758" s="53"/>
      <x:c r="AC758" s="53"/>
      <x:c r="AD758" s="53"/>
      <x:c r="AE758" s="53"/>
      <x:c r="AF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  <x:c r="AA759" s="53"/>
      <x:c r="AB759" s="53"/>
      <x:c r="AC759" s="53"/>
      <x:c r="AD759" s="53"/>
      <x:c r="AE759" s="53"/>
      <x:c r="AF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  <x:c r="AA760" s="53"/>
      <x:c r="AB760" s="53"/>
      <x:c r="AC760" s="53"/>
      <x:c r="AD760" s="53"/>
      <x:c r="AE760" s="53"/>
      <x:c r="AF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  <x:c r="AA761" s="53"/>
      <x:c r="AB761" s="53"/>
      <x:c r="AC761" s="53"/>
      <x:c r="AD761" s="53"/>
      <x:c r="AE761" s="53"/>
      <x:c r="AF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  <x:c r="AA762" s="53"/>
      <x:c r="AB762" s="53"/>
      <x:c r="AC762" s="53"/>
      <x:c r="AD762" s="53"/>
      <x:c r="AE762" s="53"/>
      <x:c r="AF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  <x:c r="AA763" s="53"/>
      <x:c r="AB763" s="53"/>
      <x:c r="AC763" s="53"/>
      <x:c r="AD763" s="53"/>
      <x:c r="AE763" s="53"/>
      <x:c r="AF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  <x:c r="AA764" s="53"/>
      <x:c r="AB764" s="53"/>
      <x:c r="AC764" s="53"/>
      <x:c r="AD764" s="53"/>
      <x:c r="AE764" s="53"/>
      <x:c r="AF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  <x:c r="AA765" s="53"/>
      <x:c r="AB765" s="53"/>
      <x:c r="AC765" s="53"/>
      <x:c r="AD765" s="53"/>
      <x:c r="AE765" s="53"/>
      <x:c r="AF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  <x:c r="AA766" s="53"/>
      <x:c r="AB766" s="53"/>
      <x:c r="AC766" s="53"/>
      <x:c r="AD766" s="53"/>
      <x:c r="AE766" s="53"/>
      <x:c r="AF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  <x:c r="AA767" s="53"/>
      <x:c r="AB767" s="53"/>
      <x:c r="AC767" s="53"/>
      <x:c r="AD767" s="53"/>
      <x:c r="AE767" s="53"/>
      <x:c r="AF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  <x:c r="AA768" s="53"/>
      <x:c r="AB768" s="53"/>
      <x:c r="AC768" s="53"/>
      <x:c r="AD768" s="53"/>
      <x:c r="AE768" s="53"/>
      <x:c r="AF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  <x:c r="AA769" s="53"/>
      <x:c r="AB769" s="53"/>
      <x:c r="AC769" s="53"/>
      <x:c r="AD769" s="53"/>
      <x:c r="AE769" s="53"/>
      <x:c r="AF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  <x:c r="AA770" s="53"/>
      <x:c r="AB770" s="53"/>
      <x:c r="AC770" s="53"/>
      <x:c r="AD770" s="53"/>
      <x:c r="AE770" s="53"/>
      <x:c r="AF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  <x:c r="AA771" s="53"/>
      <x:c r="AB771" s="53"/>
      <x:c r="AC771" s="53"/>
      <x:c r="AD771" s="53"/>
      <x:c r="AE771" s="53"/>
      <x:c r="AF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  <x:c r="AA772" s="53"/>
      <x:c r="AB772" s="53"/>
      <x:c r="AC772" s="53"/>
      <x:c r="AD772" s="53"/>
      <x:c r="AE772" s="53"/>
      <x:c r="AF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  <x:c r="AA773" s="53"/>
      <x:c r="AB773" s="53"/>
      <x:c r="AC773" s="53"/>
      <x:c r="AD773" s="53"/>
      <x:c r="AE773" s="53"/>
      <x:c r="AF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  <x:c r="AA774" s="53"/>
      <x:c r="AB774" s="53"/>
      <x:c r="AC774" s="53"/>
      <x:c r="AD774" s="53"/>
      <x:c r="AE774" s="53"/>
      <x:c r="AF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  <x:c r="AA775" s="53"/>
      <x:c r="AB775" s="53"/>
      <x:c r="AC775" s="53"/>
      <x:c r="AD775" s="53"/>
      <x:c r="AE775" s="53"/>
      <x:c r="AF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  <x:c r="AA776" s="53"/>
      <x:c r="AB776" s="53"/>
      <x:c r="AC776" s="53"/>
      <x:c r="AD776" s="53"/>
      <x:c r="AE776" s="53"/>
      <x:c r="AF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  <x:c r="AA777" s="53"/>
      <x:c r="AB777" s="53"/>
      <x:c r="AC777" s="53"/>
      <x:c r="AD777" s="53"/>
      <x:c r="AE777" s="53"/>
      <x:c r="AF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  <x:c r="AA778" s="53"/>
      <x:c r="AB778" s="53"/>
      <x:c r="AC778" s="53"/>
      <x:c r="AD778" s="53"/>
      <x:c r="AE778" s="53"/>
      <x:c r="AF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  <x:c r="AA779" s="53"/>
      <x:c r="AB779" s="53"/>
      <x:c r="AC779" s="53"/>
      <x:c r="AD779" s="53"/>
      <x:c r="AE779" s="53"/>
      <x:c r="AF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  <x:c r="AA780" s="53"/>
      <x:c r="AB780" s="53"/>
      <x:c r="AC780" s="53"/>
      <x:c r="AD780" s="53"/>
      <x:c r="AE780" s="53"/>
      <x:c r="AF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  <x:c r="AA781" s="53"/>
      <x:c r="AB781" s="53"/>
      <x:c r="AC781" s="53"/>
      <x:c r="AD781" s="53"/>
      <x:c r="AE781" s="53"/>
      <x:c r="AF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  <x:c r="AA782" s="53"/>
      <x:c r="AB782" s="53"/>
      <x:c r="AC782" s="53"/>
      <x:c r="AD782" s="53"/>
      <x:c r="AE782" s="53"/>
      <x:c r="AF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  <x:c r="AA783" s="53"/>
      <x:c r="AB783" s="53"/>
      <x:c r="AC783" s="53"/>
      <x:c r="AD783" s="53"/>
      <x:c r="AE783" s="53"/>
      <x:c r="AF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  <x:c r="AA784" s="53"/>
      <x:c r="AB784" s="53"/>
      <x:c r="AC784" s="53"/>
      <x:c r="AD784" s="53"/>
      <x:c r="AE784" s="53"/>
      <x:c r="AF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  <x:c r="AA785" s="53"/>
      <x:c r="AB785" s="53"/>
      <x:c r="AC785" s="53"/>
      <x:c r="AD785" s="53"/>
      <x:c r="AE785" s="53"/>
      <x:c r="AF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  <x:c r="AA786" s="53"/>
      <x:c r="AB786" s="53"/>
      <x:c r="AC786" s="53"/>
      <x:c r="AD786" s="53"/>
      <x:c r="AE786" s="53"/>
      <x:c r="AF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  <x:c r="AA787" s="53"/>
      <x:c r="AB787" s="53"/>
      <x:c r="AC787" s="53"/>
      <x:c r="AD787" s="53"/>
      <x:c r="AE787" s="53"/>
      <x:c r="AF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  <x:c r="AA788" s="53"/>
      <x:c r="AB788" s="53"/>
      <x:c r="AC788" s="53"/>
      <x:c r="AD788" s="53"/>
      <x:c r="AE788" s="53"/>
      <x:c r="AF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  <x:c r="AA789" s="53"/>
      <x:c r="AB789" s="53"/>
      <x:c r="AC789" s="53"/>
      <x:c r="AD789" s="53"/>
      <x:c r="AE789" s="53"/>
      <x:c r="AF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  <x:c r="AA790" s="53"/>
      <x:c r="AB790" s="53"/>
      <x:c r="AC790" s="53"/>
      <x:c r="AD790" s="53"/>
      <x:c r="AE790" s="53"/>
      <x:c r="AF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  <x:c r="AA791" s="53"/>
      <x:c r="AB791" s="53"/>
      <x:c r="AC791" s="53"/>
      <x:c r="AD791" s="53"/>
      <x:c r="AE791" s="53"/>
      <x:c r="AF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  <x:c r="AA792" s="53"/>
      <x:c r="AB792" s="53"/>
      <x:c r="AC792" s="53"/>
      <x:c r="AD792" s="53"/>
      <x:c r="AE792" s="53"/>
      <x:c r="AF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  <x:c r="AA793" s="53"/>
      <x:c r="AB793" s="53"/>
      <x:c r="AC793" s="53"/>
      <x:c r="AD793" s="53"/>
      <x:c r="AE793" s="53"/>
      <x:c r="AF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  <x:c r="AA794" s="53"/>
      <x:c r="AB794" s="53"/>
      <x:c r="AC794" s="53"/>
      <x:c r="AD794" s="53"/>
      <x:c r="AE794" s="53"/>
      <x:c r="AF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  <x:c r="AA795" s="53"/>
      <x:c r="AB795" s="53"/>
      <x:c r="AC795" s="53"/>
      <x:c r="AD795" s="53"/>
      <x:c r="AE795" s="53"/>
      <x:c r="AF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  <x:c r="AA796" s="53"/>
      <x:c r="AB796" s="53"/>
      <x:c r="AC796" s="53"/>
      <x:c r="AD796" s="53"/>
      <x:c r="AE796" s="53"/>
      <x:c r="AF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  <x:c r="AA797" s="53"/>
      <x:c r="AB797" s="53"/>
      <x:c r="AC797" s="53"/>
      <x:c r="AD797" s="53"/>
      <x:c r="AE797" s="53"/>
      <x:c r="AF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  <x:c r="AA798" s="53"/>
      <x:c r="AB798" s="53"/>
      <x:c r="AC798" s="53"/>
      <x:c r="AD798" s="53"/>
      <x:c r="AE798" s="53"/>
      <x:c r="AF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  <x:c r="AA799" s="53"/>
      <x:c r="AB799" s="53"/>
      <x:c r="AC799" s="53"/>
      <x:c r="AD799" s="53"/>
      <x:c r="AE799" s="53"/>
      <x:c r="AF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  <x:c r="AA800" s="53"/>
      <x:c r="AB800" s="53"/>
      <x:c r="AC800" s="53"/>
      <x:c r="AD800" s="53"/>
      <x:c r="AE800" s="53"/>
      <x:c r="AF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  <x:c r="AA801" s="53"/>
      <x:c r="AB801" s="53"/>
      <x:c r="AC801" s="53"/>
      <x:c r="AD801" s="53"/>
      <x:c r="AE801" s="53"/>
      <x:c r="AF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  <x:c r="AA802" s="53"/>
      <x:c r="AB802" s="53"/>
      <x:c r="AC802" s="53"/>
      <x:c r="AD802" s="53"/>
      <x:c r="AE802" s="53"/>
      <x:c r="AF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  <x:c r="AA803" s="53"/>
      <x:c r="AB803" s="53"/>
      <x:c r="AC803" s="53"/>
      <x:c r="AD803" s="53"/>
      <x:c r="AE803" s="53"/>
      <x:c r="AF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  <x:c r="AA804" s="53"/>
      <x:c r="AB804" s="53"/>
      <x:c r="AC804" s="53"/>
      <x:c r="AD804" s="53"/>
      <x:c r="AE804" s="53"/>
      <x:c r="AF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  <x:c r="AA805" s="53"/>
      <x:c r="AB805" s="53"/>
      <x:c r="AC805" s="53"/>
      <x:c r="AD805" s="53"/>
      <x:c r="AE805" s="53"/>
      <x:c r="AF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  <x:c r="AA806" s="53"/>
      <x:c r="AB806" s="53"/>
      <x:c r="AC806" s="53"/>
      <x:c r="AD806" s="53"/>
      <x:c r="AE806" s="53"/>
      <x:c r="AF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  <x:c r="AA807" s="53"/>
      <x:c r="AB807" s="53"/>
      <x:c r="AC807" s="53"/>
      <x:c r="AD807" s="53"/>
      <x:c r="AE807" s="53"/>
      <x:c r="AF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  <x:c r="AA808" s="53"/>
      <x:c r="AB808" s="53"/>
      <x:c r="AC808" s="53"/>
      <x:c r="AD808" s="53"/>
      <x:c r="AE808" s="53"/>
      <x:c r="AF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  <x:c r="AA809" s="53"/>
      <x:c r="AB809" s="53"/>
      <x:c r="AC809" s="53"/>
      <x:c r="AD809" s="53"/>
      <x:c r="AE809" s="53"/>
      <x:c r="AF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  <x:c r="AA810" s="53"/>
      <x:c r="AB810" s="53"/>
      <x:c r="AC810" s="53"/>
      <x:c r="AD810" s="53"/>
      <x:c r="AE810" s="53"/>
      <x:c r="AF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  <x:c r="AA811" s="53"/>
      <x:c r="AB811" s="53"/>
      <x:c r="AC811" s="53"/>
      <x:c r="AD811" s="53"/>
      <x:c r="AE811" s="53"/>
      <x:c r="AF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  <x:c r="AA812" s="53"/>
      <x:c r="AB812" s="53"/>
      <x:c r="AC812" s="53"/>
      <x:c r="AD812" s="53"/>
      <x:c r="AE812" s="53"/>
      <x:c r="AF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  <x:c r="AA813" s="53"/>
      <x:c r="AB813" s="53"/>
      <x:c r="AC813" s="53"/>
      <x:c r="AD813" s="53"/>
      <x:c r="AE813" s="53"/>
      <x:c r="AF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  <x:c r="AA814" s="53"/>
      <x:c r="AB814" s="53"/>
      <x:c r="AC814" s="53"/>
      <x:c r="AD814" s="53"/>
      <x:c r="AE814" s="53"/>
      <x:c r="AF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  <x:c r="AA815" s="53"/>
      <x:c r="AB815" s="53"/>
      <x:c r="AC815" s="53"/>
      <x:c r="AD815" s="53"/>
      <x:c r="AE815" s="53"/>
      <x:c r="AF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  <x:c r="AA816" s="53"/>
      <x:c r="AB816" s="53"/>
      <x:c r="AC816" s="53"/>
      <x:c r="AD816" s="53"/>
      <x:c r="AE816" s="53"/>
      <x:c r="AF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  <x:c r="AA817" s="53"/>
      <x:c r="AB817" s="53"/>
      <x:c r="AC817" s="53"/>
      <x:c r="AD817" s="53"/>
      <x:c r="AE817" s="53"/>
      <x:c r="AF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  <x:c r="AA818" s="53"/>
      <x:c r="AB818" s="53"/>
      <x:c r="AC818" s="53"/>
      <x:c r="AD818" s="53"/>
      <x:c r="AE818" s="53"/>
      <x:c r="AF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  <x:c r="AA819" s="53"/>
      <x:c r="AB819" s="53"/>
      <x:c r="AC819" s="53"/>
      <x:c r="AD819" s="53"/>
      <x:c r="AE819" s="53"/>
      <x:c r="AF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  <x:c r="AA820" s="53"/>
      <x:c r="AB820" s="53"/>
      <x:c r="AC820" s="53"/>
      <x:c r="AD820" s="53"/>
      <x:c r="AE820" s="53"/>
      <x:c r="AF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  <x:c r="AA821" s="53"/>
      <x:c r="AB821" s="53"/>
      <x:c r="AC821" s="53"/>
      <x:c r="AD821" s="53"/>
      <x:c r="AE821" s="53"/>
      <x:c r="AF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  <x:c r="AA822" s="53"/>
      <x:c r="AB822" s="53"/>
      <x:c r="AC822" s="53"/>
      <x:c r="AD822" s="53"/>
      <x:c r="AE822" s="53"/>
      <x:c r="AF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  <x:c r="AA823" s="53"/>
      <x:c r="AB823" s="53"/>
      <x:c r="AC823" s="53"/>
      <x:c r="AD823" s="53"/>
      <x:c r="AE823" s="53"/>
      <x:c r="AF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  <x:c r="AA824" s="53"/>
      <x:c r="AB824" s="53"/>
      <x:c r="AC824" s="53"/>
      <x:c r="AD824" s="53"/>
      <x:c r="AE824" s="53"/>
      <x:c r="AF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  <x:c r="AA825" s="53"/>
      <x:c r="AB825" s="53"/>
      <x:c r="AC825" s="53"/>
      <x:c r="AD825" s="53"/>
      <x:c r="AE825" s="53"/>
      <x:c r="AF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  <x:c r="AA826" s="53"/>
      <x:c r="AB826" s="53"/>
      <x:c r="AC826" s="53"/>
      <x:c r="AD826" s="53"/>
      <x:c r="AE826" s="53"/>
      <x:c r="AF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  <x:c r="AA827" s="53"/>
      <x:c r="AB827" s="53"/>
      <x:c r="AC827" s="53"/>
      <x:c r="AD827" s="53"/>
      <x:c r="AE827" s="53"/>
      <x:c r="AF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  <x:c r="AA828" s="53"/>
      <x:c r="AB828" s="53"/>
      <x:c r="AC828" s="53"/>
      <x:c r="AD828" s="53"/>
      <x:c r="AE828" s="53"/>
      <x:c r="AF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  <x:c r="AA829" s="53"/>
      <x:c r="AB829" s="53"/>
      <x:c r="AC829" s="53"/>
      <x:c r="AD829" s="53"/>
      <x:c r="AE829" s="53"/>
      <x:c r="AF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  <x:c r="AA830" s="53"/>
      <x:c r="AB830" s="53"/>
      <x:c r="AC830" s="53"/>
      <x:c r="AD830" s="53"/>
      <x:c r="AE830" s="53"/>
      <x:c r="AF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  <x:c r="AA831" s="53"/>
      <x:c r="AB831" s="53"/>
      <x:c r="AC831" s="53"/>
      <x:c r="AD831" s="53"/>
      <x:c r="AE831" s="53"/>
      <x:c r="AF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  <x:c r="AA832" s="53"/>
      <x:c r="AB832" s="53"/>
      <x:c r="AC832" s="53"/>
      <x:c r="AD832" s="53"/>
      <x:c r="AE832" s="53"/>
      <x:c r="AF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  <x:c r="AA833" s="53"/>
      <x:c r="AB833" s="53"/>
      <x:c r="AC833" s="53"/>
      <x:c r="AD833" s="53"/>
      <x:c r="AE833" s="53"/>
      <x:c r="AF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  <x:c r="AA834" s="53"/>
      <x:c r="AB834" s="53"/>
      <x:c r="AC834" s="53"/>
      <x:c r="AD834" s="53"/>
      <x:c r="AE834" s="53"/>
      <x:c r="AF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  <x:c r="AA835" s="53"/>
      <x:c r="AB835" s="53"/>
      <x:c r="AC835" s="53"/>
      <x:c r="AD835" s="53"/>
      <x:c r="AE835" s="53"/>
      <x:c r="AF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  <x:c r="AA836" s="53"/>
      <x:c r="AB836" s="53"/>
      <x:c r="AC836" s="53"/>
      <x:c r="AD836" s="53"/>
      <x:c r="AE836" s="53"/>
      <x:c r="AF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  <x:c r="AA837" s="53"/>
      <x:c r="AB837" s="53"/>
      <x:c r="AC837" s="53"/>
      <x:c r="AD837" s="53"/>
      <x:c r="AE837" s="53"/>
      <x:c r="AF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  <x:c r="AA838" s="53"/>
      <x:c r="AB838" s="53"/>
      <x:c r="AC838" s="53"/>
      <x:c r="AD838" s="53"/>
      <x:c r="AE838" s="53"/>
      <x:c r="AF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  <x:c r="AA839" s="53"/>
      <x:c r="AB839" s="53"/>
      <x:c r="AC839" s="53"/>
      <x:c r="AD839" s="53"/>
      <x:c r="AE839" s="53"/>
      <x:c r="AF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  <x:c r="AA840" s="53"/>
      <x:c r="AB840" s="53"/>
      <x:c r="AC840" s="53"/>
      <x:c r="AD840" s="53"/>
      <x:c r="AE840" s="53"/>
      <x:c r="AF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  <x:c r="AA841" s="53"/>
      <x:c r="AB841" s="53"/>
      <x:c r="AC841" s="53"/>
      <x:c r="AD841" s="53"/>
      <x:c r="AE841" s="53"/>
      <x:c r="AF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  <x:c r="AA842" s="53"/>
      <x:c r="AB842" s="53"/>
      <x:c r="AC842" s="53"/>
      <x:c r="AD842" s="53"/>
      <x:c r="AE842" s="53"/>
      <x:c r="AF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  <x:c r="AA843" s="53"/>
      <x:c r="AB843" s="53"/>
      <x:c r="AC843" s="53"/>
      <x:c r="AD843" s="53"/>
      <x:c r="AE843" s="53"/>
      <x:c r="AF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  <x:c r="AA844" s="53"/>
      <x:c r="AB844" s="53"/>
      <x:c r="AC844" s="53"/>
      <x:c r="AD844" s="53"/>
      <x:c r="AE844" s="53"/>
      <x:c r="AF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  <x:c r="AA845" s="53"/>
      <x:c r="AB845" s="53"/>
      <x:c r="AC845" s="53"/>
      <x:c r="AD845" s="53"/>
      <x:c r="AE845" s="53"/>
      <x:c r="AF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  <x:c r="AA846" s="53"/>
      <x:c r="AB846" s="53"/>
      <x:c r="AC846" s="53"/>
      <x:c r="AD846" s="53"/>
      <x:c r="AE846" s="53"/>
      <x:c r="AF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  <x:c r="AA847" s="53"/>
      <x:c r="AB847" s="53"/>
      <x:c r="AC847" s="53"/>
      <x:c r="AD847" s="53"/>
      <x:c r="AE847" s="53"/>
      <x:c r="AF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  <x:c r="AA848" s="53"/>
      <x:c r="AB848" s="53"/>
      <x:c r="AC848" s="53"/>
      <x:c r="AD848" s="53"/>
      <x:c r="AE848" s="53"/>
      <x:c r="AF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  <x:c r="AA849" s="53"/>
      <x:c r="AB849" s="53"/>
      <x:c r="AC849" s="53"/>
      <x:c r="AD849" s="53"/>
      <x:c r="AE849" s="53"/>
      <x:c r="AF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  <x:c r="AA850" s="53"/>
      <x:c r="AB850" s="53"/>
      <x:c r="AC850" s="53"/>
      <x:c r="AD850" s="53"/>
      <x:c r="AE850" s="53"/>
      <x:c r="AF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  <x:c r="AA851" s="53"/>
      <x:c r="AB851" s="53"/>
      <x:c r="AC851" s="53"/>
      <x:c r="AD851" s="53"/>
      <x:c r="AE851" s="53"/>
      <x:c r="AF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  <x:c r="AA852" s="53"/>
      <x:c r="AB852" s="53"/>
      <x:c r="AC852" s="53"/>
      <x:c r="AD852" s="53"/>
      <x:c r="AE852" s="53"/>
      <x:c r="AF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  <x:c r="AA853" s="53"/>
      <x:c r="AB853" s="53"/>
      <x:c r="AC853" s="53"/>
      <x:c r="AD853" s="53"/>
      <x:c r="AE853" s="53"/>
      <x:c r="AF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  <x:c r="AA854" s="53"/>
      <x:c r="AB854" s="53"/>
      <x:c r="AC854" s="53"/>
      <x:c r="AD854" s="53"/>
      <x:c r="AE854" s="53"/>
      <x:c r="AF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  <x:c r="AA855" s="53"/>
      <x:c r="AB855" s="53"/>
      <x:c r="AC855" s="53"/>
      <x:c r="AD855" s="53"/>
      <x:c r="AE855" s="53"/>
      <x:c r="AF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  <x:c r="AA856" s="53"/>
      <x:c r="AB856" s="53"/>
      <x:c r="AC856" s="53"/>
      <x:c r="AD856" s="53"/>
      <x:c r="AE856" s="53"/>
      <x:c r="AF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  <x:c r="AA857" s="53"/>
      <x:c r="AB857" s="53"/>
      <x:c r="AC857" s="53"/>
      <x:c r="AD857" s="53"/>
      <x:c r="AE857" s="53"/>
      <x:c r="AF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  <x:c r="AA858" s="53"/>
      <x:c r="AB858" s="53"/>
      <x:c r="AC858" s="53"/>
      <x:c r="AD858" s="53"/>
      <x:c r="AE858" s="53"/>
      <x:c r="AF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  <x:c r="AA859" s="53"/>
      <x:c r="AB859" s="53"/>
      <x:c r="AC859" s="53"/>
      <x:c r="AD859" s="53"/>
      <x:c r="AE859" s="53"/>
      <x:c r="AF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  <x:c r="AA860" s="53"/>
      <x:c r="AB860" s="53"/>
      <x:c r="AC860" s="53"/>
      <x:c r="AD860" s="53"/>
      <x:c r="AE860" s="53"/>
      <x:c r="AF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  <x:c r="AA861" s="53"/>
      <x:c r="AB861" s="53"/>
      <x:c r="AC861" s="53"/>
      <x:c r="AD861" s="53"/>
      <x:c r="AE861" s="53"/>
      <x:c r="AF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  <x:c r="AA862" s="53"/>
      <x:c r="AB862" s="53"/>
      <x:c r="AC862" s="53"/>
      <x:c r="AD862" s="53"/>
      <x:c r="AE862" s="53"/>
      <x:c r="AF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  <x:c r="AA863" s="53"/>
      <x:c r="AB863" s="53"/>
      <x:c r="AC863" s="53"/>
      <x:c r="AD863" s="53"/>
      <x:c r="AE863" s="53"/>
      <x:c r="AF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  <x:c r="AA864" s="53"/>
      <x:c r="AB864" s="53"/>
      <x:c r="AC864" s="53"/>
      <x:c r="AD864" s="53"/>
      <x:c r="AE864" s="53"/>
      <x:c r="AF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  <x:c r="AA865" s="53"/>
      <x:c r="AB865" s="53"/>
      <x:c r="AC865" s="53"/>
      <x:c r="AD865" s="53"/>
      <x:c r="AE865" s="53"/>
      <x:c r="AF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  <x:c r="AA866" s="53"/>
      <x:c r="AB866" s="53"/>
      <x:c r="AC866" s="53"/>
      <x:c r="AD866" s="53"/>
      <x:c r="AE866" s="53"/>
      <x:c r="AF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  <x:c r="AA867" s="53"/>
      <x:c r="AB867" s="53"/>
      <x:c r="AC867" s="53"/>
      <x:c r="AD867" s="53"/>
      <x:c r="AE867" s="53"/>
      <x:c r="AF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  <x:c r="AA868" s="53"/>
      <x:c r="AB868" s="53"/>
      <x:c r="AC868" s="53"/>
      <x:c r="AD868" s="53"/>
      <x:c r="AE868" s="53"/>
      <x:c r="AF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  <x:c r="AA869" s="53"/>
      <x:c r="AB869" s="53"/>
      <x:c r="AC869" s="53"/>
      <x:c r="AD869" s="53"/>
      <x:c r="AE869" s="53"/>
      <x:c r="AF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  <x:c r="AA870" s="53"/>
      <x:c r="AB870" s="53"/>
      <x:c r="AC870" s="53"/>
      <x:c r="AD870" s="53"/>
      <x:c r="AE870" s="53"/>
      <x:c r="AF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  <x:c r="AA871" s="53"/>
      <x:c r="AB871" s="53"/>
      <x:c r="AC871" s="53"/>
      <x:c r="AD871" s="53"/>
      <x:c r="AE871" s="53"/>
      <x:c r="AF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  <x:c r="AA872" s="53"/>
      <x:c r="AB872" s="53"/>
      <x:c r="AC872" s="53"/>
      <x:c r="AD872" s="53"/>
      <x:c r="AE872" s="53"/>
      <x:c r="AF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  <x:c r="AA873" s="53"/>
      <x:c r="AB873" s="53"/>
      <x:c r="AC873" s="53"/>
      <x:c r="AD873" s="53"/>
      <x:c r="AE873" s="53"/>
      <x:c r="AF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  <x:c r="AA874" s="53"/>
      <x:c r="AB874" s="53"/>
      <x:c r="AC874" s="53"/>
      <x:c r="AD874" s="53"/>
      <x:c r="AE874" s="53"/>
      <x:c r="AF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  <x:c r="AA875" s="53"/>
      <x:c r="AB875" s="53"/>
      <x:c r="AC875" s="53"/>
      <x:c r="AD875" s="53"/>
      <x:c r="AE875" s="53"/>
      <x:c r="AF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  <x:c r="AA876" s="53"/>
      <x:c r="AB876" s="53"/>
      <x:c r="AC876" s="53"/>
      <x:c r="AD876" s="53"/>
      <x:c r="AE876" s="53"/>
      <x:c r="AF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  <x:c r="AA877" s="53"/>
      <x:c r="AB877" s="53"/>
      <x:c r="AC877" s="53"/>
      <x:c r="AD877" s="53"/>
      <x:c r="AE877" s="53"/>
      <x:c r="AF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  <x:c r="AA878" s="53"/>
      <x:c r="AB878" s="53"/>
      <x:c r="AC878" s="53"/>
      <x:c r="AD878" s="53"/>
      <x:c r="AE878" s="53"/>
      <x:c r="AF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  <x:c r="AA879" s="53"/>
      <x:c r="AB879" s="53"/>
      <x:c r="AC879" s="53"/>
      <x:c r="AD879" s="53"/>
      <x:c r="AE879" s="53"/>
      <x:c r="AF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  <x:c r="AA880" s="53"/>
      <x:c r="AB880" s="53"/>
      <x:c r="AC880" s="53"/>
      <x:c r="AD880" s="53"/>
      <x:c r="AE880" s="53"/>
      <x:c r="AF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  <x:c r="AA881" s="53"/>
      <x:c r="AB881" s="53"/>
      <x:c r="AC881" s="53"/>
      <x:c r="AD881" s="53"/>
      <x:c r="AE881" s="53"/>
      <x:c r="AF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  <x:c r="AA882" s="53"/>
      <x:c r="AB882" s="53"/>
      <x:c r="AC882" s="53"/>
      <x:c r="AD882" s="53"/>
      <x:c r="AE882" s="53"/>
      <x:c r="AF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  <x:c r="AA883" s="53"/>
      <x:c r="AB883" s="53"/>
      <x:c r="AC883" s="53"/>
      <x:c r="AD883" s="53"/>
      <x:c r="AE883" s="53"/>
      <x:c r="AF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  <x:c r="AA884" s="53"/>
      <x:c r="AB884" s="53"/>
      <x:c r="AC884" s="53"/>
      <x:c r="AD884" s="53"/>
      <x:c r="AE884" s="53"/>
      <x:c r="AF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  <x:c r="AA885" s="53"/>
      <x:c r="AB885" s="53"/>
      <x:c r="AC885" s="53"/>
      <x:c r="AD885" s="53"/>
      <x:c r="AE885" s="53"/>
      <x:c r="AF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  <x:c r="AA886" s="53"/>
      <x:c r="AB886" s="53"/>
      <x:c r="AC886" s="53"/>
      <x:c r="AD886" s="53"/>
      <x:c r="AE886" s="53"/>
      <x:c r="AF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  <x:c r="AA887" s="53"/>
      <x:c r="AB887" s="53"/>
      <x:c r="AC887" s="53"/>
      <x:c r="AD887" s="53"/>
      <x:c r="AE887" s="53"/>
      <x:c r="AF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  <x:c r="AA888" s="53"/>
      <x:c r="AB888" s="53"/>
      <x:c r="AC888" s="53"/>
      <x:c r="AD888" s="53"/>
      <x:c r="AE888" s="53"/>
      <x:c r="AF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  <x:c r="AA889" s="53"/>
      <x:c r="AB889" s="53"/>
      <x:c r="AC889" s="53"/>
      <x:c r="AD889" s="53"/>
      <x:c r="AE889" s="53"/>
      <x:c r="AF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  <x:c r="AA890" s="53"/>
      <x:c r="AB890" s="53"/>
      <x:c r="AC890" s="53"/>
      <x:c r="AD890" s="53"/>
      <x:c r="AE890" s="53"/>
      <x:c r="AF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  <x:c r="AA891" s="53"/>
      <x:c r="AB891" s="53"/>
      <x:c r="AC891" s="53"/>
      <x:c r="AD891" s="53"/>
      <x:c r="AE891" s="53"/>
      <x:c r="AF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  <x:c r="AA892" s="53"/>
      <x:c r="AB892" s="53"/>
      <x:c r="AC892" s="53"/>
      <x:c r="AD892" s="53"/>
      <x:c r="AE892" s="53"/>
      <x:c r="AF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  <x:c r="AA893" s="53"/>
      <x:c r="AB893" s="53"/>
      <x:c r="AC893" s="53"/>
      <x:c r="AD893" s="53"/>
      <x:c r="AE893" s="53"/>
      <x:c r="AF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  <x:c r="AA894" s="53"/>
      <x:c r="AB894" s="53"/>
      <x:c r="AC894" s="53"/>
      <x:c r="AD894" s="53"/>
      <x:c r="AE894" s="53"/>
      <x:c r="AF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  <x:c r="AA895" s="53"/>
      <x:c r="AB895" s="53"/>
      <x:c r="AC895" s="53"/>
      <x:c r="AD895" s="53"/>
      <x:c r="AE895" s="53"/>
      <x:c r="AF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  <x:c r="AA896" s="53"/>
      <x:c r="AB896" s="53"/>
      <x:c r="AC896" s="53"/>
      <x:c r="AD896" s="53"/>
      <x:c r="AE896" s="53"/>
      <x:c r="AF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  <x:c r="AA897" s="53"/>
      <x:c r="AB897" s="53"/>
      <x:c r="AC897" s="53"/>
      <x:c r="AD897" s="53"/>
      <x:c r="AE897" s="53"/>
      <x:c r="AF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  <x:c r="AA898" s="53"/>
      <x:c r="AB898" s="53"/>
      <x:c r="AC898" s="53"/>
      <x:c r="AD898" s="53"/>
      <x:c r="AE898" s="53"/>
      <x:c r="AF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  <x:c r="AA899" s="53"/>
      <x:c r="AB899" s="53"/>
      <x:c r="AC899" s="53"/>
      <x:c r="AD899" s="53"/>
      <x:c r="AE899" s="53"/>
      <x:c r="AF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  <x:c r="AA900" s="53"/>
      <x:c r="AB900" s="53"/>
      <x:c r="AC900" s="53"/>
      <x:c r="AD900" s="53"/>
      <x:c r="AE900" s="53"/>
      <x:c r="AF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  <x:c r="AA901" s="53"/>
      <x:c r="AB901" s="53"/>
      <x:c r="AC901" s="53"/>
      <x:c r="AD901" s="53"/>
      <x:c r="AE901" s="53"/>
      <x:c r="AF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  <x:c r="AA902" s="53"/>
      <x:c r="AB902" s="53"/>
      <x:c r="AC902" s="53"/>
      <x:c r="AD902" s="53"/>
      <x:c r="AE902" s="53"/>
      <x:c r="AF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  <x:c r="AA903" s="53"/>
      <x:c r="AB903" s="53"/>
      <x:c r="AC903" s="53"/>
      <x:c r="AD903" s="53"/>
      <x:c r="AE903" s="53"/>
      <x:c r="AF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  <x:c r="AA904" s="53"/>
      <x:c r="AB904" s="53"/>
      <x:c r="AC904" s="53"/>
      <x:c r="AD904" s="53"/>
      <x:c r="AE904" s="53"/>
      <x:c r="AF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  <x:c r="AA905" s="53"/>
      <x:c r="AB905" s="53"/>
      <x:c r="AC905" s="53"/>
      <x:c r="AD905" s="53"/>
      <x:c r="AE905" s="53"/>
      <x:c r="AF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  <x:c r="AA906" s="53"/>
      <x:c r="AB906" s="53"/>
      <x:c r="AC906" s="53"/>
      <x:c r="AD906" s="53"/>
      <x:c r="AE906" s="53"/>
      <x:c r="AF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  <x:c r="AA907" s="53"/>
      <x:c r="AB907" s="53"/>
      <x:c r="AC907" s="53"/>
      <x:c r="AD907" s="53"/>
      <x:c r="AE907" s="53"/>
      <x:c r="AF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  <x:c r="AA908" s="53"/>
      <x:c r="AB908" s="53"/>
      <x:c r="AC908" s="53"/>
      <x:c r="AD908" s="53"/>
      <x:c r="AE908" s="53"/>
      <x:c r="AF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  <x:c r="AA909" s="53"/>
      <x:c r="AB909" s="53"/>
      <x:c r="AC909" s="53"/>
      <x:c r="AD909" s="53"/>
      <x:c r="AE909" s="53"/>
      <x:c r="AF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  <x:c r="AA910" s="53"/>
      <x:c r="AB910" s="53"/>
      <x:c r="AC910" s="53"/>
      <x:c r="AD910" s="53"/>
      <x:c r="AE910" s="53"/>
      <x:c r="AF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  <x:c r="AA911" s="53"/>
      <x:c r="AB911" s="53"/>
      <x:c r="AC911" s="53"/>
      <x:c r="AD911" s="53"/>
      <x:c r="AE911" s="53"/>
      <x:c r="AF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  <x:c r="AA912" s="53"/>
      <x:c r="AB912" s="53"/>
      <x:c r="AC912" s="53"/>
      <x:c r="AD912" s="53"/>
      <x:c r="AE912" s="53"/>
      <x:c r="AF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  <x:c r="AA913" s="53"/>
      <x:c r="AB913" s="53"/>
      <x:c r="AC913" s="53"/>
      <x:c r="AD913" s="53"/>
      <x:c r="AE913" s="53"/>
      <x:c r="AF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  <x:c r="AA914" s="53"/>
      <x:c r="AB914" s="53"/>
      <x:c r="AC914" s="53"/>
      <x:c r="AD914" s="53"/>
      <x:c r="AE914" s="53"/>
      <x:c r="AF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  <x:c r="AA915" s="53"/>
      <x:c r="AB915" s="53"/>
      <x:c r="AC915" s="53"/>
      <x:c r="AD915" s="53"/>
      <x:c r="AE915" s="53"/>
      <x:c r="AF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  <x:c r="AA916" s="53"/>
      <x:c r="AB916" s="53"/>
      <x:c r="AC916" s="53"/>
      <x:c r="AD916" s="53"/>
      <x:c r="AE916" s="53"/>
      <x:c r="AF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  <x:c r="AA917" s="53"/>
      <x:c r="AB917" s="53"/>
      <x:c r="AC917" s="53"/>
      <x:c r="AD917" s="53"/>
      <x:c r="AE917" s="53"/>
      <x:c r="AF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  <x:c r="AA918" s="53"/>
      <x:c r="AB918" s="53"/>
      <x:c r="AC918" s="53"/>
      <x:c r="AD918" s="53"/>
      <x:c r="AE918" s="53"/>
      <x:c r="AF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  <x:c r="AA919" s="53"/>
      <x:c r="AB919" s="53"/>
      <x:c r="AC919" s="53"/>
      <x:c r="AD919" s="53"/>
      <x:c r="AE919" s="53"/>
      <x:c r="AF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  <x:c r="AA920" s="53"/>
      <x:c r="AB920" s="53"/>
      <x:c r="AC920" s="53"/>
      <x:c r="AD920" s="53"/>
      <x:c r="AE920" s="53"/>
      <x:c r="AF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  <x:c r="AA921" s="53"/>
      <x:c r="AB921" s="53"/>
      <x:c r="AC921" s="53"/>
      <x:c r="AD921" s="53"/>
      <x:c r="AE921" s="53"/>
      <x:c r="AF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  <x:c r="AA922" s="53"/>
      <x:c r="AB922" s="53"/>
      <x:c r="AC922" s="53"/>
      <x:c r="AD922" s="53"/>
      <x:c r="AE922" s="53"/>
      <x:c r="AF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  <x:c r="AA923" s="53"/>
      <x:c r="AB923" s="53"/>
      <x:c r="AC923" s="53"/>
      <x:c r="AD923" s="53"/>
      <x:c r="AE923" s="53"/>
      <x:c r="AF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  <x:c r="AA924" s="53"/>
      <x:c r="AB924" s="53"/>
      <x:c r="AC924" s="53"/>
      <x:c r="AD924" s="53"/>
      <x:c r="AE924" s="53"/>
      <x:c r="AF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  <x:c r="AA925" s="53"/>
      <x:c r="AB925" s="53"/>
      <x:c r="AC925" s="53"/>
      <x:c r="AD925" s="53"/>
      <x:c r="AE925" s="53"/>
      <x:c r="AF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  <x:c r="AA926" s="53"/>
      <x:c r="AB926" s="53"/>
      <x:c r="AC926" s="53"/>
      <x:c r="AD926" s="53"/>
      <x:c r="AE926" s="53"/>
      <x:c r="AF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  <x:c r="AA927" s="53"/>
      <x:c r="AB927" s="53"/>
      <x:c r="AC927" s="53"/>
      <x:c r="AD927" s="53"/>
      <x:c r="AE927" s="53"/>
      <x:c r="AF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  <x:c r="AA928" s="53"/>
      <x:c r="AB928" s="53"/>
      <x:c r="AC928" s="53"/>
      <x:c r="AD928" s="53"/>
      <x:c r="AE928" s="53"/>
      <x:c r="AF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  <x:c r="AA929" s="53"/>
      <x:c r="AB929" s="53"/>
      <x:c r="AC929" s="53"/>
      <x:c r="AD929" s="53"/>
      <x:c r="AE929" s="53"/>
      <x:c r="AF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  <x:c r="AA930" s="53"/>
      <x:c r="AB930" s="53"/>
      <x:c r="AC930" s="53"/>
      <x:c r="AD930" s="53"/>
      <x:c r="AE930" s="53"/>
      <x:c r="AF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  <x:c r="AA931" s="53"/>
      <x:c r="AB931" s="53"/>
      <x:c r="AC931" s="53"/>
      <x:c r="AD931" s="53"/>
      <x:c r="AE931" s="53"/>
      <x:c r="AF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  <x:c r="AA932" s="53"/>
      <x:c r="AB932" s="53"/>
      <x:c r="AC932" s="53"/>
      <x:c r="AD932" s="53"/>
      <x:c r="AE932" s="53"/>
      <x:c r="AF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  <x:c r="AA933" s="53"/>
      <x:c r="AB933" s="53"/>
      <x:c r="AC933" s="53"/>
      <x:c r="AD933" s="53"/>
      <x:c r="AE933" s="53"/>
      <x:c r="AF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  <x:c r="AA934" s="53"/>
      <x:c r="AB934" s="53"/>
      <x:c r="AC934" s="53"/>
      <x:c r="AD934" s="53"/>
      <x:c r="AE934" s="53"/>
      <x:c r="AF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  <x:c r="AA935" s="53"/>
      <x:c r="AB935" s="53"/>
      <x:c r="AC935" s="53"/>
      <x:c r="AD935" s="53"/>
      <x:c r="AE935" s="53"/>
      <x:c r="AF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  <x:c r="AA936" s="53"/>
      <x:c r="AB936" s="53"/>
      <x:c r="AC936" s="53"/>
      <x:c r="AD936" s="53"/>
      <x:c r="AE936" s="53"/>
      <x:c r="AF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  <x:c r="AA937" s="53"/>
      <x:c r="AB937" s="53"/>
      <x:c r="AC937" s="53"/>
      <x:c r="AD937" s="53"/>
      <x:c r="AE937" s="53"/>
      <x:c r="AF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  <x:c r="AA938" s="53"/>
      <x:c r="AB938" s="53"/>
      <x:c r="AC938" s="53"/>
      <x:c r="AD938" s="53"/>
      <x:c r="AE938" s="53"/>
      <x:c r="AF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  <x:c r="AA939" s="53"/>
      <x:c r="AB939" s="53"/>
      <x:c r="AC939" s="53"/>
      <x:c r="AD939" s="53"/>
      <x:c r="AE939" s="53"/>
      <x:c r="AF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  <x:c r="AA940" s="53"/>
      <x:c r="AB940" s="53"/>
      <x:c r="AC940" s="53"/>
      <x:c r="AD940" s="53"/>
      <x:c r="AE940" s="53"/>
      <x:c r="AF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  <x:c r="AA941" s="53"/>
      <x:c r="AB941" s="53"/>
      <x:c r="AC941" s="53"/>
      <x:c r="AD941" s="53"/>
      <x:c r="AE941" s="53"/>
      <x:c r="AF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  <x:c r="AA942" s="53"/>
      <x:c r="AB942" s="53"/>
      <x:c r="AC942" s="53"/>
      <x:c r="AD942" s="53"/>
      <x:c r="AE942" s="53"/>
      <x:c r="AF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  <x:c r="AA943" s="53"/>
      <x:c r="AB943" s="53"/>
      <x:c r="AC943" s="53"/>
      <x:c r="AD943" s="53"/>
      <x:c r="AE943" s="53"/>
      <x:c r="AF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  <x:c r="AA944" s="53"/>
      <x:c r="AB944" s="53"/>
      <x:c r="AC944" s="53"/>
      <x:c r="AD944" s="53"/>
      <x:c r="AE944" s="53"/>
      <x:c r="AF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  <x:c r="AA945" s="53"/>
      <x:c r="AB945" s="53"/>
      <x:c r="AC945" s="53"/>
      <x:c r="AD945" s="53"/>
      <x:c r="AE945" s="53"/>
      <x:c r="AF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  <x:c r="AA946" s="53"/>
      <x:c r="AB946" s="53"/>
      <x:c r="AC946" s="53"/>
      <x:c r="AD946" s="53"/>
      <x:c r="AE946" s="53"/>
      <x:c r="AF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  <x:c r="AA947" s="53"/>
      <x:c r="AB947" s="53"/>
      <x:c r="AC947" s="53"/>
      <x:c r="AD947" s="53"/>
      <x:c r="AE947" s="53"/>
      <x:c r="AF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  <x:c r="AA948" s="53"/>
      <x:c r="AB948" s="53"/>
      <x:c r="AC948" s="53"/>
      <x:c r="AD948" s="53"/>
      <x:c r="AE948" s="53"/>
      <x:c r="AF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  <x:c r="AA949" s="53"/>
      <x:c r="AB949" s="53"/>
      <x:c r="AC949" s="53"/>
      <x:c r="AD949" s="53"/>
      <x:c r="AE949" s="53"/>
      <x:c r="AF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  <x:c r="AA950" s="53"/>
      <x:c r="AB950" s="53"/>
      <x:c r="AC950" s="53"/>
      <x:c r="AD950" s="53"/>
      <x:c r="AE950" s="53"/>
      <x:c r="AF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  <x:c r="AA951" s="53"/>
      <x:c r="AB951" s="53"/>
      <x:c r="AC951" s="53"/>
      <x:c r="AD951" s="53"/>
      <x:c r="AE951" s="53"/>
      <x:c r="AF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  <x:c r="AA952" s="53"/>
      <x:c r="AB952" s="53"/>
      <x:c r="AC952" s="53"/>
      <x:c r="AD952" s="53"/>
      <x:c r="AE952" s="53"/>
      <x:c r="AF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  <x:c r="AA953" s="53"/>
      <x:c r="AB953" s="53"/>
      <x:c r="AC953" s="53"/>
      <x:c r="AD953" s="53"/>
      <x:c r="AE953" s="53"/>
      <x:c r="AF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  <x:c r="AA954" s="53"/>
      <x:c r="AB954" s="53"/>
      <x:c r="AC954" s="53"/>
      <x:c r="AD954" s="53"/>
      <x:c r="AE954" s="53"/>
      <x:c r="AF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  <x:c r="AA955" s="53"/>
      <x:c r="AB955" s="53"/>
      <x:c r="AC955" s="53"/>
      <x:c r="AD955" s="53"/>
      <x:c r="AE955" s="53"/>
      <x:c r="AF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  <x:c r="AA956" s="53"/>
      <x:c r="AB956" s="53"/>
      <x:c r="AC956" s="53"/>
      <x:c r="AD956" s="53"/>
      <x:c r="AE956" s="53"/>
      <x:c r="AF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  <x:c r="AA957" s="53"/>
      <x:c r="AB957" s="53"/>
      <x:c r="AC957" s="53"/>
      <x:c r="AD957" s="53"/>
      <x:c r="AE957" s="53"/>
      <x:c r="AF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  <x:c r="AA958" s="53"/>
      <x:c r="AB958" s="53"/>
      <x:c r="AC958" s="53"/>
      <x:c r="AD958" s="53"/>
      <x:c r="AE958" s="53"/>
      <x:c r="AF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  <x:c r="AA959" s="53"/>
      <x:c r="AB959" s="53"/>
      <x:c r="AC959" s="53"/>
      <x:c r="AD959" s="53"/>
      <x:c r="AE959" s="53"/>
      <x:c r="AF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  <x:c r="AA960" s="53"/>
      <x:c r="AB960" s="53"/>
      <x:c r="AC960" s="53"/>
      <x:c r="AD960" s="53"/>
      <x:c r="AE960" s="53"/>
      <x:c r="AF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  <x:c r="AA961" s="53"/>
      <x:c r="AB961" s="53"/>
      <x:c r="AC961" s="53"/>
      <x:c r="AD961" s="53"/>
      <x:c r="AE961" s="53"/>
      <x:c r="AF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  <x:c r="AA962" s="53"/>
      <x:c r="AB962" s="53"/>
      <x:c r="AC962" s="53"/>
      <x:c r="AD962" s="53"/>
      <x:c r="AE962" s="53"/>
      <x:c r="AF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  <x:c r="AA963" s="53"/>
      <x:c r="AB963" s="53"/>
      <x:c r="AC963" s="53"/>
      <x:c r="AD963" s="53"/>
      <x:c r="AE963" s="53"/>
      <x:c r="AF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  <x:c r="AA964" s="53"/>
      <x:c r="AB964" s="53"/>
      <x:c r="AC964" s="53"/>
      <x:c r="AD964" s="53"/>
      <x:c r="AE964" s="53"/>
      <x:c r="AF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  <x:c r="AA965" s="53"/>
      <x:c r="AB965" s="53"/>
      <x:c r="AC965" s="53"/>
      <x:c r="AD965" s="53"/>
      <x:c r="AE965" s="53"/>
      <x:c r="AF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  <x:c r="AA966" s="53"/>
      <x:c r="AB966" s="53"/>
      <x:c r="AC966" s="53"/>
      <x:c r="AD966" s="53"/>
      <x:c r="AE966" s="53"/>
      <x:c r="AF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  <x:c r="AA967" s="53"/>
      <x:c r="AB967" s="53"/>
      <x:c r="AC967" s="53"/>
      <x:c r="AD967" s="53"/>
      <x:c r="AE967" s="53"/>
      <x:c r="AF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  <x:c r="AA968" s="53"/>
      <x:c r="AB968" s="53"/>
      <x:c r="AC968" s="53"/>
      <x:c r="AD968" s="53"/>
      <x:c r="AE968" s="53"/>
      <x:c r="AF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  <x:c r="AA969" s="53"/>
      <x:c r="AB969" s="53"/>
      <x:c r="AC969" s="53"/>
      <x:c r="AD969" s="53"/>
      <x:c r="AE969" s="53"/>
      <x:c r="AF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  <x:c r="AA970" s="53"/>
      <x:c r="AB970" s="53"/>
      <x:c r="AC970" s="53"/>
      <x:c r="AD970" s="53"/>
      <x:c r="AE970" s="53"/>
      <x:c r="AF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  <x:c r="AA971" s="53"/>
      <x:c r="AB971" s="53"/>
      <x:c r="AC971" s="53"/>
      <x:c r="AD971" s="53"/>
      <x:c r="AE971" s="53"/>
      <x:c r="AF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  <x:c r="AA972" s="53"/>
      <x:c r="AB972" s="53"/>
      <x:c r="AC972" s="53"/>
      <x:c r="AD972" s="53"/>
      <x:c r="AE972" s="53"/>
      <x:c r="AF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  <x:c r="AA973" s="53"/>
      <x:c r="AB973" s="53"/>
      <x:c r="AC973" s="53"/>
      <x:c r="AD973" s="53"/>
      <x:c r="AE973" s="53"/>
      <x:c r="AF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  <x:c r="AA974" s="53"/>
      <x:c r="AB974" s="53"/>
      <x:c r="AC974" s="53"/>
      <x:c r="AD974" s="53"/>
      <x:c r="AE974" s="53"/>
      <x:c r="AF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  <x:c r="AA975" s="53"/>
      <x:c r="AB975" s="53"/>
      <x:c r="AC975" s="53"/>
      <x:c r="AD975" s="53"/>
      <x:c r="AE975" s="53"/>
      <x:c r="AF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  <x:c r="AA976" s="53"/>
      <x:c r="AB976" s="53"/>
      <x:c r="AC976" s="53"/>
      <x:c r="AD976" s="53"/>
      <x:c r="AE976" s="53"/>
      <x:c r="AF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  <x:c r="AA977" s="53"/>
      <x:c r="AB977" s="53"/>
      <x:c r="AC977" s="53"/>
      <x:c r="AD977" s="53"/>
      <x:c r="AE977" s="53"/>
      <x:c r="AF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  <x:c r="AA978" s="53"/>
      <x:c r="AB978" s="53"/>
      <x:c r="AC978" s="53"/>
      <x:c r="AD978" s="53"/>
      <x:c r="AE978" s="53"/>
      <x:c r="AF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  <x:c r="AA979" s="53"/>
      <x:c r="AB979" s="53"/>
      <x:c r="AC979" s="53"/>
      <x:c r="AD979" s="53"/>
      <x:c r="AE979" s="53"/>
      <x:c r="AF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  <x:c r="AA980" s="53"/>
      <x:c r="AB980" s="53"/>
      <x:c r="AC980" s="53"/>
      <x:c r="AD980" s="53"/>
      <x:c r="AE980" s="53"/>
      <x:c r="AF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  <x:c r="AA981" s="53"/>
      <x:c r="AB981" s="53"/>
      <x:c r="AC981" s="53"/>
      <x:c r="AD981" s="53"/>
      <x:c r="AE981" s="53"/>
      <x:c r="AF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  <x:c r="AA982" s="53"/>
      <x:c r="AB982" s="53"/>
      <x:c r="AC982" s="53"/>
      <x:c r="AD982" s="53"/>
      <x:c r="AE982" s="53"/>
      <x:c r="AF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  <x:c r="AA983" s="53"/>
      <x:c r="AB983" s="53"/>
      <x:c r="AC983" s="53"/>
      <x:c r="AD983" s="53"/>
      <x:c r="AE983" s="53"/>
      <x:c r="AF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  <x:c r="AA984" s="53"/>
      <x:c r="AB984" s="53"/>
      <x:c r="AC984" s="53"/>
      <x:c r="AD984" s="53"/>
      <x:c r="AE984" s="53"/>
      <x:c r="AF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  <x:c r="AA985" s="53"/>
      <x:c r="AB985" s="53"/>
      <x:c r="AC985" s="53"/>
      <x:c r="AD985" s="53"/>
      <x:c r="AE985" s="53"/>
      <x:c r="AF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  <x:c r="AA986" s="53"/>
      <x:c r="AB986" s="53"/>
      <x:c r="AC986" s="53"/>
      <x:c r="AD986" s="53"/>
      <x:c r="AE986" s="53"/>
      <x:c r="AF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  <x:c r="AA987" s="53"/>
      <x:c r="AB987" s="53"/>
      <x:c r="AC987" s="53"/>
      <x:c r="AD987" s="53"/>
      <x:c r="AE987" s="53"/>
      <x:c r="AF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  <x:c r="AA988" s="53"/>
      <x:c r="AB988" s="53"/>
      <x:c r="AC988" s="53"/>
      <x:c r="AD988" s="53"/>
      <x:c r="AE988" s="53"/>
      <x:c r="AF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  <x:c r="AA989" s="53"/>
      <x:c r="AB989" s="53"/>
      <x:c r="AC989" s="53"/>
      <x:c r="AD989" s="53"/>
      <x:c r="AE989" s="53"/>
      <x:c r="AF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  <x:c r="AA990" s="53"/>
      <x:c r="AB990" s="53"/>
      <x:c r="AC990" s="53"/>
      <x:c r="AD990" s="53"/>
      <x:c r="AE990" s="53"/>
      <x:c r="AF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  <x:c r="AA991" s="53"/>
      <x:c r="AB991" s="53"/>
      <x:c r="AC991" s="53"/>
      <x:c r="AD991" s="53"/>
      <x:c r="AE991" s="53"/>
      <x:c r="AF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  <x:c r="AA992" s="53"/>
      <x:c r="AB992" s="53"/>
      <x:c r="AC992" s="53"/>
      <x:c r="AD992" s="53"/>
      <x:c r="AE992" s="53"/>
      <x:c r="AF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  <x:c r="AA993" s="53"/>
      <x:c r="AB993" s="53"/>
      <x:c r="AC993" s="53"/>
      <x:c r="AD993" s="53"/>
      <x:c r="AE993" s="53"/>
      <x:c r="AF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  <x:c r="AA994" s="53"/>
      <x:c r="AB994" s="53"/>
      <x:c r="AC994" s="53"/>
      <x:c r="AD994" s="53"/>
      <x:c r="AE994" s="53"/>
      <x:c r="AF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  <x:c r="AA995" s="53"/>
      <x:c r="AB995" s="53"/>
      <x:c r="AC995" s="53"/>
      <x:c r="AD995" s="53"/>
      <x:c r="AE995" s="53"/>
      <x:c r="AF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  <x:c r="AA996" s="53"/>
      <x:c r="AB996" s="53"/>
      <x:c r="AC996" s="53"/>
      <x:c r="AD996" s="53"/>
      <x:c r="AE996" s="53"/>
      <x:c r="AF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  <x:c r="AA997" s="53"/>
      <x:c r="AB997" s="53"/>
      <x:c r="AC997" s="53"/>
      <x:c r="AD997" s="53"/>
      <x:c r="AE997" s="53"/>
      <x:c r="AF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  <x:c r="AA998" s="53"/>
      <x:c r="AB998" s="53"/>
      <x:c r="AC998" s="53"/>
      <x:c r="AD998" s="53"/>
      <x:c r="AE998" s="53"/>
      <x:c r="AF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  <x:c r="AA999" s="53"/>
      <x:c r="AB999" s="53"/>
      <x:c r="AC999" s="53"/>
      <x:c r="AD999" s="53"/>
      <x:c r="AE999" s="53"/>
      <x:c r="AF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  <x:c r="AA1000" s="53"/>
      <x:c r="AB1000" s="53"/>
      <x:c r="AC1000" s="53"/>
      <x:c r="AD1000" s="53"/>
      <x:c r="AE1000" s="53"/>
      <x:c r="AF1000" s="53"/>
    </x:row>
    <x:row r="1001">
      <x:c r="A1001" s="53"/>
      <x:c r="B1001" s="53"/>
      <x:c r="C1001" s="53"/>
      <x:c r="D1001" s="53"/>
      <x:c r="E1001" s="53"/>
      <x:c r="F1001" s="53"/>
      <x:c r="G1001" s="53"/>
      <x:c r="H1001" s="53"/>
      <x:c r="I1001" s="53"/>
      <x:c r="J1001" s="53"/>
      <x:c r="K1001" s="53"/>
      <x:c r="L1001" s="53"/>
      <x:c r="M1001" s="53"/>
      <x:c r="N1001" s="53"/>
      <x:c r="O1001" s="53"/>
      <x:c r="P1001" s="53"/>
      <x:c r="Q1001" s="53"/>
      <x:c r="R1001" s="53"/>
      <x:c r="S1001" s="53"/>
      <x:c r="T1001" s="53"/>
      <x:c r="U1001" s="53"/>
      <x:c r="V1001" s="53"/>
      <x:c r="W1001" s="53"/>
      <x:c r="X1001" s="53"/>
      <x:c r="Y1001" s="53"/>
      <x:c r="Z1001" s="53"/>
      <x:c r="AA1001" s="53"/>
      <x:c r="AB1001" s="53"/>
      <x:c r="AC1001" s="53"/>
      <x:c r="AD1001" s="53"/>
      <x:c r="AE1001" s="53"/>
      <x:c r="AF1001" s="53"/>
    </x:row>
    <x:row r="1002">
      <x:c r="A1002" s="53"/>
      <x:c r="B1002" s="53"/>
      <x:c r="C1002" s="53"/>
      <x:c r="D1002" s="53"/>
      <x:c r="E1002" s="53"/>
      <x:c r="F1002" s="53"/>
      <x:c r="G1002" s="53"/>
      <x:c r="H1002" s="53"/>
      <x:c r="I1002" s="53"/>
      <x:c r="J1002" s="53"/>
      <x:c r="K1002" s="53"/>
      <x:c r="L1002" s="53"/>
      <x:c r="M1002" s="53"/>
      <x:c r="N1002" s="53"/>
      <x:c r="O1002" s="53"/>
      <x:c r="P1002" s="53"/>
      <x:c r="Q1002" s="53"/>
      <x:c r="R1002" s="53"/>
      <x:c r="S1002" s="53"/>
      <x:c r="T1002" s="53"/>
      <x:c r="U1002" s="53"/>
      <x:c r="V1002" s="53"/>
      <x:c r="W1002" s="53"/>
      <x:c r="X1002" s="53"/>
      <x:c r="Y1002" s="53"/>
      <x:c r="Z1002" s="53"/>
      <x:c r="AA1002" s="53"/>
      <x:c r="AB1002" s="53"/>
      <x:c r="AC1002" s="53"/>
      <x:c r="AD1002" s="53"/>
      <x:c r="AE1002" s="53"/>
      <x:c r="AF1002" s="53"/>
    </x:row>
    <x:row r="1003">
      <x:c r="A1003" s="53"/>
      <x:c r="B1003" s="53"/>
      <x:c r="C1003" s="53"/>
      <x:c r="D1003" s="53"/>
      <x:c r="E1003" s="53"/>
      <x:c r="F1003" s="53"/>
      <x:c r="G1003" s="53"/>
      <x:c r="H1003" s="53"/>
      <x:c r="I1003" s="53"/>
      <x:c r="J1003" s="53"/>
      <x:c r="K1003" s="53"/>
      <x:c r="L1003" s="53"/>
      <x:c r="M1003" s="53"/>
      <x:c r="N1003" s="53"/>
      <x:c r="O1003" s="53"/>
      <x:c r="P1003" s="53"/>
      <x:c r="Q1003" s="53"/>
      <x:c r="R1003" s="53"/>
      <x:c r="S1003" s="53"/>
      <x:c r="T1003" s="53"/>
      <x:c r="U1003" s="53"/>
      <x:c r="V1003" s="53"/>
      <x:c r="W1003" s="53"/>
      <x:c r="X1003" s="53"/>
      <x:c r="Y1003" s="53"/>
      <x:c r="Z1003" s="53"/>
      <x:c r="AA1003" s="53"/>
      <x:c r="AB1003" s="53"/>
      <x:c r="AC1003" s="53"/>
      <x:c r="AD1003" s="53"/>
      <x:c r="AE1003" s="53"/>
      <x:c r="AF1003" s="53"/>
    </x:row>
    <x:row r="1004">
      <x:c r="A1004" s="53"/>
      <x:c r="B1004" s="53"/>
      <x:c r="C1004" s="53"/>
      <x:c r="D1004" s="53"/>
      <x:c r="E1004" s="53"/>
      <x:c r="F1004" s="53"/>
      <x:c r="G1004" s="53"/>
      <x:c r="H1004" s="53"/>
      <x:c r="I1004" s="53"/>
      <x:c r="J1004" s="53"/>
      <x:c r="K1004" s="53"/>
      <x:c r="L1004" s="53"/>
      <x:c r="M1004" s="53"/>
      <x:c r="N1004" s="53"/>
      <x:c r="O1004" s="53"/>
      <x:c r="P1004" s="53"/>
      <x:c r="Q1004" s="53"/>
      <x:c r="R1004" s="53"/>
      <x:c r="S1004" s="53"/>
      <x:c r="T1004" s="53"/>
      <x:c r="U1004" s="53"/>
      <x:c r="V1004" s="53"/>
      <x:c r="W1004" s="53"/>
      <x:c r="X1004" s="53"/>
      <x:c r="Y1004" s="53"/>
      <x:c r="Z1004" s="53"/>
      <x:c r="AA1004" s="53"/>
      <x:c r="AB1004" s="53"/>
      <x:c r="AC1004" s="53"/>
      <x:c r="AD1004" s="53"/>
      <x:c r="AE1004" s="53"/>
      <x:c r="AF1004" s="53"/>
    </x:row>
    <x:row r="1005">
      <x:c r="A1005" s="53"/>
      <x:c r="B1005" s="53"/>
      <x:c r="C1005" s="53"/>
      <x:c r="D1005" s="53"/>
      <x:c r="E1005" s="53"/>
      <x:c r="F1005" s="53"/>
      <x:c r="G1005" s="53"/>
      <x:c r="H1005" s="53"/>
      <x:c r="I1005" s="53"/>
      <x:c r="J1005" s="53"/>
      <x:c r="K1005" s="53"/>
      <x:c r="L1005" s="53"/>
      <x:c r="M1005" s="53"/>
      <x:c r="N1005" s="53"/>
      <x:c r="O1005" s="53"/>
      <x:c r="P1005" s="53"/>
      <x:c r="Q1005" s="53"/>
      <x:c r="R1005" s="53"/>
      <x:c r="S1005" s="53"/>
      <x:c r="T1005" s="53"/>
      <x:c r="U1005" s="53"/>
      <x:c r="V1005" s="53"/>
      <x:c r="W1005" s="53"/>
      <x:c r="X1005" s="53"/>
      <x:c r="Y1005" s="53"/>
      <x:c r="Z1005" s="53"/>
      <x:c r="AA1005" s="53"/>
      <x:c r="AB1005" s="53"/>
      <x:c r="AC1005" s="53"/>
      <x:c r="AD1005" s="53"/>
      <x:c r="AE1005" s="53"/>
      <x:c r="AF1005" s="53"/>
    </x:row>
    <x:row r="1006">
      <x:c r="A1006" s="53"/>
      <x:c r="B1006" s="53"/>
      <x:c r="C1006" s="53"/>
      <x:c r="D1006" s="53"/>
      <x:c r="E1006" s="53"/>
      <x:c r="F1006" s="53"/>
      <x:c r="G1006" s="53"/>
      <x:c r="H1006" s="53"/>
      <x:c r="I1006" s="53"/>
      <x:c r="J1006" s="53"/>
      <x:c r="K1006" s="53"/>
      <x:c r="L1006" s="53"/>
      <x:c r="M1006" s="53"/>
      <x:c r="N1006" s="53"/>
      <x:c r="O1006" s="53"/>
      <x:c r="P1006" s="53"/>
      <x:c r="Q1006" s="53"/>
      <x:c r="R1006" s="53"/>
      <x:c r="S1006" s="53"/>
      <x:c r="T1006" s="53"/>
      <x:c r="U1006" s="53"/>
      <x:c r="V1006" s="53"/>
      <x:c r="W1006" s="53"/>
      <x:c r="X1006" s="53"/>
      <x:c r="Y1006" s="53"/>
      <x:c r="Z1006" s="53"/>
      <x:c r="AA1006" s="53"/>
      <x:c r="AB1006" s="53"/>
      <x:c r="AC1006" s="53"/>
      <x:c r="AD1006" s="53"/>
      <x:c r="AE1006" s="53"/>
      <x:c r="AF1006" s="53"/>
    </x:row>
    <x:row r="1007">
      <x:c r="A1007" s="53"/>
      <x:c r="B1007" s="53"/>
      <x:c r="C1007" s="53"/>
      <x:c r="D1007" s="53"/>
      <x:c r="E1007" s="53"/>
      <x:c r="F1007" s="53"/>
      <x:c r="G1007" s="53"/>
      <x:c r="H1007" s="53"/>
      <x:c r="I1007" s="53"/>
      <x:c r="J1007" s="53"/>
      <x:c r="K1007" s="53"/>
      <x:c r="L1007" s="53"/>
      <x:c r="M1007" s="53"/>
      <x:c r="N1007" s="53"/>
      <x:c r="O1007" s="53"/>
      <x:c r="P1007" s="53"/>
      <x:c r="Q1007" s="53"/>
      <x:c r="R1007" s="53"/>
      <x:c r="S1007" s="53"/>
      <x:c r="T1007" s="53"/>
      <x:c r="U1007" s="53"/>
      <x:c r="V1007" s="53"/>
      <x:c r="W1007" s="53"/>
      <x:c r="X1007" s="53"/>
      <x:c r="Y1007" s="53"/>
      <x:c r="Z1007" s="53"/>
      <x:c r="AA1007" s="53"/>
      <x:c r="AB1007" s="53"/>
      <x:c r="AC1007" s="53"/>
      <x:c r="AD1007" s="53"/>
      <x:c r="AE1007" s="53"/>
      <x:c r="AF1007" s="53"/>
    </x:row>
    <x:row r="1008">
      <x:c r="A1008" s="53"/>
      <x:c r="B1008" s="53"/>
      <x:c r="C1008" s="53"/>
      <x:c r="D1008" s="53"/>
      <x:c r="E1008" s="53"/>
      <x:c r="F1008" s="53"/>
      <x:c r="G1008" s="53"/>
      <x:c r="H1008" s="53"/>
      <x:c r="I1008" s="53"/>
      <x:c r="J1008" s="53"/>
      <x:c r="K1008" s="53"/>
      <x:c r="L1008" s="53"/>
      <x:c r="M1008" s="53"/>
      <x:c r="N1008" s="53"/>
      <x:c r="O1008" s="53"/>
      <x:c r="P1008" s="53"/>
      <x:c r="Q1008" s="53"/>
      <x:c r="R1008" s="53"/>
      <x:c r="S1008" s="53"/>
      <x:c r="T1008" s="53"/>
      <x:c r="U1008" s="53"/>
      <x:c r="V1008" s="53"/>
      <x:c r="W1008" s="53"/>
      <x:c r="X1008" s="53"/>
      <x:c r="Y1008" s="53"/>
      <x:c r="Z1008" s="53"/>
      <x:c r="AA1008" s="53"/>
      <x:c r="AB1008" s="53"/>
      <x:c r="AC1008" s="53"/>
      <x:c r="AD1008" s="53"/>
      <x:c r="AE1008" s="53"/>
      <x:c r="AF1008" s="53"/>
    </x:row>
    <x:row r="1009">
      <x:c r="A1009" s="53"/>
      <x:c r="B1009" s="53"/>
      <x:c r="C1009" s="53"/>
      <x:c r="D1009" s="53"/>
      <x:c r="E1009" s="53"/>
      <x:c r="F1009" s="53"/>
      <x:c r="G1009" s="53"/>
      <x:c r="H1009" s="53"/>
      <x:c r="I1009" s="53"/>
      <x:c r="J1009" s="53"/>
      <x:c r="K1009" s="53"/>
      <x:c r="L1009" s="53"/>
      <x:c r="M1009" s="53"/>
      <x:c r="N1009" s="53"/>
      <x:c r="O1009" s="53"/>
      <x:c r="P1009" s="53"/>
      <x:c r="Q1009" s="53"/>
      <x:c r="R1009" s="53"/>
      <x:c r="S1009" s="53"/>
      <x:c r="T1009" s="53"/>
      <x:c r="U1009" s="53"/>
      <x:c r="V1009" s="53"/>
      <x:c r="W1009" s="53"/>
      <x:c r="X1009" s="53"/>
      <x:c r="Y1009" s="53"/>
      <x:c r="Z1009" s="53"/>
      <x:c r="AA1009" s="53"/>
      <x:c r="AB1009" s="53"/>
      <x:c r="AC1009" s="53"/>
      <x:c r="AD1009" s="53"/>
      <x:c r="AE1009" s="53"/>
      <x:c r="AF1009" s="53"/>
    </x:row>
    <x:row r="1010">
      <x:c r="A1010" s="53"/>
      <x:c r="B1010" s="53"/>
      <x:c r="C1010" s="53"/>
      <x:c r="D1010" s="53"/>
      <x:c r="E1010" s="53"/>
      <x:c r="F1010" s="53"/>
      <x:c r="G1010" s="53"/>
      <x:c r="H1010" s="53"/>
      <x:c r="I1010" s="53"/>
      <x:c r="J1010" s="53"/>
      <x:c r="K1010" s="53"/>
      <x:c r="L1010" s="53"/>
      <x:c r="M1010" s="53"/>
      <x:c r="N1010" s="53"/>
      <x:c r="O1010" s="53"/>
      <x:c r="P1010" s="53"/>
      <x:c r="Q1010" s="53"/>
      <x:c r="R1010" s="53"/>
      <x:c r="S1010" s="53"/>
      <x:c r="T1010" s="53"/>
      <x:c r="U1010" s="53"/>
      <x:c r="V1010" s="53"/>
      <x:c r="W1010" s="53"/>
      <x:c r="X1010" s="53"/>
      <x:c r="Y1010" s="53"/>
      <x:c r="Z1010" s="53"/>
      <x:c r="AA1010" s="53"/>
      <x:c r="AB1010" s="53"/>
      <x:c r="AC1010" s="53"/>
      <x:c r="AD1010" s="53"/>
      <x:c r="AE1010" s="53"/>
      <x:c r="AF1010" s="53"/>
    </x:row>
    <x:row r="1011">
      <x:c r="A1011" s="53"/>
      <x:c r="B1011" s="53"/>
      <x:c r="C1011" s="53"/>
      <x:c r="D1011" s="53"/>
      <x:c r="E1011" s="53"/>
      <x:c r="F1011" s="53"/>
      <x:c r="G1011" s="53"/>
      <x:c r="H1011" s="53"/>
      <x:c r="I1011" s="53"/>
      <x:c r="J1011" s="53"/>
      <x:c r="K1011" s="53"/>
      <x:c r="L1011" s="53"/>
      <x:c r="M1011" s="53"/>
      <x:c r="N1011" s="53"/>
      <x:c r="O1011" s="53"/>
      <x:c r="P1011" s="53"/>
      <x:c r="Q1011" s="53"/>
      <x:c r="R1011" s="53"/>
      <x:c r="S1011" s="53"/>
      <x:c r="T1011" s="53"/>
      <x:c r="U1011" s="53"/>
      <x:c r="V1011" s="53"/>
      <x:c r="W1011" s="53"/>
      <x:c r="X1011" s="53"/>
      <x:c r="Y1011" s="53"/>
      <x:c r="Z1011" s="53"/>
      <x:c r="AA1011" s="53"/>
      <x:c r="AB1011" s="53"/>
      <x:c r="AC1011" s="53"/>
      <x:c r="AD1011" s="53"/>
      <x:c r="AE1011" s="53"/>
      <x:c r="AF1011" s="53"/>
    </x:row>
    <x:row r="1012">
      <x:c r="A1012" s="53"/>
      <x:c r="B1012" s="53"/>
      <x:c r="C1012" s="53"/>
      <x:c r="D1012" s="53"/>
      <x:c r="E1012" s="53"/>
      <x:c r="F1012" s="53"/>
      <x:c r="G1012" s="53"/>
      <x:c r="H1012" s="53"/>
      <x:c r="I1012" s="53"/>
      <x:c r="J1012" s="53"/>
      <x:c r="K1012" s="53"/>
      <x:c r="L1012" s="53"/>
      <x:c r="M1012" s="53"/>
      <x:c r="N1012" s="53"/>
      <x:c r="O1012" s="53"/>
      <x:c r="P1012" s="53"/>
      <x:c r="Q1012" s="53"/>
      <x:c r="R1012" s="53"/>
      <x:c r="S1012" s="53"/>
      <x:c r="T1012" s="53"/>
      <x:c r="U1012" s="53"/>
      <x:c r="V1012" s="53"/>
      <x:c r="W1012" s="53"/>
      <x:c r="X1012" s="53"/>
      <x:c r="Y1012" s="53"/>
      <x:c r="Z1012" s="53"/>
      <x:c r="AA1012" s="53"/>
      <x:c r="AB1012" s="53"/>
      <x:c r="AC1012" s="53"/>
      <x:c r="AD1012" s="53"/>
      <x:c r="AE1012" s="53"/>
      <x:c r="AF1012" s="53"/>
    </x:row>
    <x:row r="1013">
      <x:c r="A1013" s="53"/>
      <x:c r="B1013" s="53"/>
      <x:c r="C1013" s="53"/>
      <x:c r="D1013" s="53"/>
      <x:c r="E1013" s="53"/>
      <x:c r="F1013" s="53"/>
      <x:c r="G1013" s="53"/>
      <x:c r="H1013" s="53"/>
      <x:c r="I1013" s="53"/>
      <x:c r="J1013" s="53"/>
      <x:c r="K1013" s="53"/>
      <x:c r="L1013" s="53"/>
      <x:c r="M1013" s="53"/>
      <x:c r="N1013" s="53"/>
      <x:c r="O1013" s="53"/>
      <x:c r="P1013" s="53"/>
      <x:c r="Q1013" s="53"/>
      <x:c r="R1013" s="53"/>
      <x:c r="S1013" s="53"/>
      <x:c r="T1013" s="53"/>
      <x:c r="U1013" s="53"/>
      <x:c r="V1013" s="53"/>
      <x:c r="W1013" s="53"/>
      <x:c r="X1013" s="53"/>
      <x:c r="Y1013" s="53"/>
      <x:c r="Z1013" s="53"/>
      <x:c r="AA1013" s="53"/>
      <x:c r="AB1013" s="53"/>
      <x:c r="AC1013" s="53"/>
      <x:c r="AD1013" s="53"/>
      <x:c r="AE1013" s="53"/>
      <x:c r="AF1013" s="53"/>
    </x:row>
    <x:row r="1014">
      <x:c r="A1014" s="53"/>
      <x:c r="B1014" s="53"/>
      <x:c r="C1014" s="53"/>
      <x:c r="D1014" s="53"/>
      <x:c r="E1014" s="53"/>
      <x:c r="F1014" s="53"/>
      <x:c r="G1014" s="53"/>
      <x:c r="H1014" s="53"/>
      <x:c r="I1014" s="53"/>
      <x:c r="J1014" s="53"/>
      <x:c r="K1014" s="53"/>
      <x:c r="L1014" s="53"/>
      <x:c r="M1014" s="53"/>
      <x:c r="N1014" s="53"/>
      <x:c r="O1014" s="53"/>
      <x:c r="P1014" s="53"/>
      <x:c r="Q1014" s="53"/>
      <x:c r="R1014" s="53"/>
      <x:c r="S1014" s="53"/>
      <x:c r="T1014" s="53"/>
      <x:c r="U1014" s="53"/>
      <x:c r="V1014" s="53"/>
      <x:c r="W1014" s="53"/>
      <x:c r="X1014" s="53"/>
      <x:c r="Y1014" s="53"/>
      <x:c r="Z1014" s="53"/>
      <x:c r="AA1014" s="53"/>
      <x:c r="AB1014" s="53"/>
      <x:c r="AC1014" s="53"/>
      <x:c r="AD1014" s="53"/>
      <x:c r="AE1014" s="53"/>
      <x:c r="AF1014" s="53"/>
    </x:row>
    <x:row r="1015">
      <x:c r="A1015" s="53"/>
      <x:c r="B1015" s="53"/>
      <x:c r="C1015" s="53"/>
      <x:c r="D1015" s="53"/>
      <x:c r="E1015" s="53"/>
      <x:c r="F1015" s="53"/>
      <x:c r="G1015" s="53"/>
      <x:c r="H1015" s="53"/>
      <x:c r="I1015" s="53"/>
      <x:c r="J1015" s="53"/>
      <x:c r="K1015" s="53"/>
      <x:c r="L1015" s="53"/>
      <x:c r="M1015" s="53"/>
      <x:c r="N1015" s="53"/>
      <x:c r="O1015" s="53"/>
      <x:c r="P1015" s="53"/>
      <x:c r="Q1015" s="53"/>
      <x:c r="R1015" s="53"/>
      <x:c r="S1015" s="53"/>
      <x:c r="T1015" s="53"/>
      <x:c r="U1015" s="53"/>
      <x:c r="V1015" s="53"/>
      <x:c r="W1015" s="53"/>
      <x:c r="X1015" s="53"/>
      <x:c r="Y1015" s="53"/>
      <x:c r="Z1015" s="53"/>
      <x:c r="AA1015" s="53"/>
      <x:c r="AB1015" s="53"/>
      <x:c r="AC1015" s="53"/>
      <x:c r="AD1015" s="53"/>
      <x:c r="AE1015" s="53"/>
      <x:c r="AF1015" s="53"/>
    </x:row>
    <x:row r="1016">
      <x:c r="A1016" s="53"/>
      <x:c r="B1016" s="53"/>
      <x:c r="C1016" s="53"/>
      <x:c r="D1016" s="53"/>
      <x:c r="E1016" s="53"/>
      <x:c r="F1016" s="53"/>
      <x:c r="G1016" s="53"/>
      <x:c r="H1016" s="53"/>
      <x:c r="I1016" s="53"/>
      <x:c r="J1016" s="53"/>
      <x:c r="K1016" s="53"/>
      <x:c r="L1016" s="53"/>
      <x:c r="M1016" s="53"/>
      <x:c r="N1016" s="53"/>
      <x:c r="O1016" s="53"/>
      <x:c r="P1016" s="53"/>
      <x:c r="Q1016" s="53"/>
      <x:c r="R1016" s="53"/>
      <x:c r="S1016" s="53"/>
      <x:c r="T1016" s="53"/>
      <x:c r="U1016" s="53"/>
      <x:c r="V1016" s="53"/>
      <x:c r="W1016" s="53"/>
      <x:c r="X1016" s="53"/>
      <x:c r="Y1016" s="53"/>
      <x:c r="Z1016" s="53"/>
      <x:c r="AA1016" s="53"/>
      <x:c r="AB1016" s="53"/>
      <x:c r="AC1016" s="53"/>
      <x:c r="AD1016" s="53"/>
      <x:c r="AE1016" s="53"/>
      <x:c r="AF1016" s="53"/>
    </x:row>
    <x:row r="1017">
      <x:c r="A1017" s="53"/>
      <x:c r="B1017" s="53"/>
      <x:c r="C1017" s="53"/>
      <x:c r="D1017" s="53"/>
      <x:c r="E1017" s="53"/>
      <x:c r="F1017" s="53"/>
      <x:c r="G1017" s="53"/>
      <x:c r="H1017" s="53"/>
      <x:c r="I1017" s="53"/>
      <x:c r="J1017" s="53"/>
      <x:c r="K1017" s="53"/>
      <x:c r="L1017" s="53"/>
      <x:c r="M1017" s="53"/>
      <x:c r="N1017" s="53"/>
      <x:c r="O1017" s="53"/>
      <x:c r="P1017" s="53"/>
      <x:c r="Q1017" s="53"/>
      <x:c r="R1017" s="53"/>
      <x:c r="S1017" s="53"/>
      <x:c r="T1017" s="53"/>
      <x:c r="U1017" s="53"/>
      <x:c r="V1017" s="53"/>
      <x:c r="W1017" s="53"/>
      <x:c r="X1017" s="53"/>
      <x:c r="Y1017" s="53"/>
      <x:c r="Z1017" s="53"/>
      <x:c r="AA1017" s="53"/>
      <x:c r="AB1017" s="53"/>
      <x:c r="AC1017" s="53"/>
      <x:c r="AD1017" s="53"/>
      <x:c r="AE1017" s="53"/>
      <x:c r="AF1017" s="53"/>
    </x:row>
    <x:row r="1018">
      <x:c r="A1018" s="53"/>
      <x:c r="B1018" s="53"/>
      <x:c r="C1018" s="53"/>
      <x:c r="D1018" s="53"/>
      <x:c r="E1018" s="53"/>
      <x:c r="F1018" s="53"/>
      <x:c r="G1018" s="53"/>
      <x:c r="H1018" s="53"/>
      <x:c r="I1018" s="53"/>
      <x:c r="J1018" s="53"/>
      <x:c r="K1018" s="53"/>
      <x:c r="L1018" s="53"/>
      <x:c r="M1018" s="53"/>
      <x:c r="N1018" s="53"/>
      <x:c r="O1018" s="53"/>
      <x:c r="P1018" s="53"/>
      <x:c r="Q1018" s="53"/>
      <x:c r="R1018" s="53"/>
      <x:c r="S1018" s="53"/>
      <x:c r="T1018" s="53"/>
      <x:c r="U1018" s="53"/>
      <x:c r="V1018" s="53"/>
      <x:c r="W1018" s="53"/>
      <x:c r="X1018" s="53"/>
      <x:c r="Y1018" s="53"/>
      <x:c r="Z1018" s="53"/>
      <x:c r="AA1018" s="53"/>
      <x:c r="AB1018" s="53"/>
      <x:c r="AC1018" s="53"/>
      <x:c r="AD1018" s="53"/>
      <x:c r="AE1018" s="53"/>
      <x:c r="AF1018" s="53"/>
    </x:row>
    <x:row r="1019">
      <x:c r="A1019" s="53"/>
      <x:c r="B1019" s="53"/>
      <x:c r="C1019" s="53"/>
      <x:c r="D1019" s="53"/>
      <x:c r="E1019" s="53"/>
      <x:c r="F1019" s="53"/>
      <x:c r="G1019" s="53"/>
      <x:c r="H1019" s="53"/>
      <x:c r="I1019" s="53"/>
      <x:c r="J1019" s="53"/>
      <x:c r="K1019" s="53"/>
      <x:c r="L1019" s="53"/>
      <x:c r="M1019" s="53"/>
      <x:c r="N1019" s="53"/>
      <x:c r="O1019" s="53"/>
      <x:c r="P1019" s="53"/>
      <x:c r="Q1019" s="53"/>
      <x:c r="R1019" s="53"/>
      <x:c r="S1019" s="53"/>
      <x:c r="T1019" s="53"/>
      <x:c r="U1019" s="53"/>
      <x:c r="V1019" s="53"/>
      <x:c r="W1019" s="53"/>
      <x:c r="X1019" s="53"/>
      <x:c r="Y1019" s="53"/>
      <x:c r="Z1019" s="53"/>
      <x:c r="AA1019" s="53"/>
      <x:c r="AB1019" s="53"/>
      <x:c r="AC1019" s="53"/>
      <x:c r="AD1019" s="53"/>
      <x:c r="AE1019" s="53"/>
      <x:c r="AF1019" s="53"/>
    </x:row>
    <x:row r="1020">
      <x:c r="A1020" s="53"/>
      <x:c r="B1020" s="53"/>
      <x:c r="C1020" s="53"/>
      <x:c r="D1020" s="53"/>
      <x:c r="E1020" s="53"/>
      <x:c r="F1020" s="53"/>
      <x:c r="G1020" s="53"/>
      <x:c r="H1020" s="53"/>
      <x:c r="I1020" s="53"/>
      <x:c r="J1020" s="53"/>
      <x:c r="K1020" s="53"/>
      <x:c r="L1020" s="53"/>
      <x:c r="M1020" s="53"/>
      <x:c r="N1020" s="53"/>
      <x:c r="O1020" s="53"/>
      <x:c r="P1020" s="53"/>
      <x:c r="Q1020" s="53"/>
      <x:c r="R1020" s="53"/>
      <x:c r="S1020" s="53"/>
      <x:c r="T1020" s="53"/>
      <x:c r="U1020" s="53"/>
      <x:c r="V1020" s="53"/>
      <x:c r="W1020" s="53"/>
      <x:c r="X1020" s="53"/>
      <x:c r="Y1020" s="53"/>
      <x:c r="Z1020" s="53"/>
      <x:c r="AA1020" s="53"/>
      <x:c r="AB1020" s="53"/>
      <x:c r="AC1020" s="53"/>
      <x:c r="AD1020" s="53"/>
      <x:c r="AE1020" s="53"/>
      <x:c r="AF1020" s="53"/>
    </x:row>
    <x:row r="1021">
      <x:c r="A1021" s="53"/>
      <x:c r="B1021" s="53"/>
      <x:c r="C1021" s="53"/>
      <x:c r="D1021" s="53"/>
      <x:c r="E1021" s="53"/>
      <x:c r="F1021" s="53"/>
      <x:c r="G1021" s="53"/>
      <x:c r="H1021" s="53"/>
      <x:c r="I1021" s="53"/>
      <x:c r="J1021" s="53"/>
      <x:c r="K1021" s="53"/>
      <x:c r="L1021" s="53"/>
      <x:c r="M1021" s="53"/>
      <x:c r="N1021" s="53"/>
      <x:c r="O1021" s="53"/>
      <x:c r="P1021" s="53"/>
      <x:c r="Q1021" s="53"/>
      <x:c r="R1021" s="53"/>
      <x:c r="S1021" s="53"/>
      <x:c r="T1021" s="53"/>
      <x:c r="U1021" s="53"/>
      <x:c r="V1021" s="53"/>
      <x:c r="W1021" s="53"/>
      <x:c r="X1021" s="53"/>
      <x:c r="Y1021" s="53"/>
      <x:c r="Z1021" s="53"/>
      <x:c r="AA1021" s="53"/>
      <x:c r="AB1021" s="53"/>
      <x:c r="AC1021" s="53"/>
      <x:c r="AD1021" s="53"/>
      <x:c r="AE1021" s="53"/>
      <x:c r="AF1021" s="53"/>
    </x:row>
    <x:row r="1022">
      <x:c r="A1022" s="53"/>
      <x:c r="B1022" s="53"/>
      <x:c r="C1022" s="53"/>
      <x:c r="D1022" s="53"/>
      <x:c r="E1022" s="53"/>
      <x:c r="F1022" s="53"/>
      <x:c r="G1022" s="53"/>
      <x:c r="H1022" s="53"/>
      <x:c r="I1022" s="53"/>
      <x:c r="J1022" s="53"/>
      <x:c r="K1022" s="53"/>
      <x:c r="L1022" s="53"/>
      <x:c r="M1022" s="53"/>
      <x:c r="N1022" s="53"/>
      <x:c r="O1022" s="53"/>
      <x:c r="P1022" s="53"/>
      <x:c r="Q1022" s="53"/>
      <x:c r="R1022" s="53"/>
      <x:c r="S1022" s="53"/>
      <x:c r="T1022" s="53"/>
      <x:c r="U1022" s="53"/>
      <x:c r="V1022" s="53"/>
      <x:c r="W1022" s="53"/>
      <x:c r="X1022" s="53"/>
      <x:c r="Y1022" s="53"/>
      <x:c r="Z1022" s="53"/>
      <x:c r="AA1022" s="53"/>
      <x:c r="AB1022" s="53"/>
      <x:c r="AC1022" s="53"/>
      <x:c r="AD1022" s="53"/>
      <x:c r="AE1022" s="53"/>
      <x:c r="AF1022" s="53"/>
    </x:row>
    <x:row r="1023">
      <x:c r="A1023" s="53"/>
      <x:c r="B1023" s="53"/>
      <x:c r="C1023" s="53"/>
      <x:c r="D1023" s="53"/>
      <x:c r="E1023" s="53"/>
      <x:c r="F1023" s="53"/>
      <x:c r="G1023" s="53"/>
      <x:c r="H1023" s="53"/>
      <x:c r="I1023" s="53"/>
      <x:c r="J1023" s="53"/>
      <x:c r="K1023" s="53"/>
      <x:c r="L1023" s="53"/>
      <x:c r="M1023" s="53"/>
      <x:c r="N1023" s="53"/>
      <x:c r="O1023" s="53"/>
      <x:c r="P1023" s="53"/>
      <x:c r="Q1023" s="53"/>
      <x:c r="R1023" s="53"/>
      <x:c r="S1023" s="53"/>
      <x:c r="T1023" s="53"/>
      <x:c r="U1023" s="53"/>
      <x:c r="V1023" s="53"/>
      <x:c r="W1023" s="53"/>
      <x:c r="X1023" s="53"/>
      <x:c r="Y1023" s="53"/>
      <x:c r="Z1023" s="53"/>
      <x:c r="AA1023" s="53"/>
      <x:c r="AB1023" s="53"/>
      <x:c r="AC1023" s="53"/>
      <x:c r="AD1023" s="53"/>
      <x:c r="AE1023" s="53"/>
      <x:c r="AF1023" s="53"/>
    </x:row>
    <x:row r="1024">
      <x:c r="A1024" s="53"/>
      <x:c r="B1024" s="53"/>
      <x:c r="C1024" s="53"/>
      <x:c r="D1024" s="53"/>
      <x:c r="E1024" s="53"/>
      <x:c r="F1024" s="53"/>
      <x:c r="G1024" s="53"/>
      <x:c r="H1024" s="53"/>
      <x:c r="I1024" s="53"/>
      <x:c r="J1024" s="53"/>
      <x:c r="K1024" s="53"/>
      <x:c r="L1024" s="53"/>
      <x:c r="M1024" s="53"/>
      <x:c r="N1024" s="53"/>
      <x:c r="O1024" s="53"/>
      <x:c r="P1024" s="53"/>
      <x:c r="Q1024" s="53"/>
      <x:c r="R1024" s="53"/>
      <x:c r="S1024" s="53"/>
      <x:c r="T1024" s="53"/>
      <x:c r="U1024" s="53"/>
      <x:c r="V1024" s="53"/>
      <x:c r="W1024" s="53"/>
      <x:c r="X1024" s="53"/>
      <x:c r="Y1024" s="53"/>
      <x:c r="Z1024" s="53"/>
      <x:c r="AA1024" s="53"/>
      <x:c r="AB1024" s="53"/>
      <x:c r="AC1024" s="53"/>
      <x:c r="AD1024" s="53"/>
      <x:c r="AE1024" s="53"/>
      <x:c r="AF1024" s="53"/>
    </x:row>
    <x:row r="1025">
      <x:c r="A1025" s="53"/>
      <x:c r="B1025" s="53"/>
      <x:c r="C1025" s="53"/>
      <x:c r="D1025" s="53"/>
      <x:c r="E1025" s="53"/>
      <x:c r="F1025" s="53"/>
      <x:c r="G1025" s="53"/>
      <x:c r="H1025" s="53"/>
      <x:c r="I1025" s="53"/>
      <x:c r="J1025" s="53"/>
      <x:c r="K1025" s="53"/>
      <x:c r="L1025" s="53"/>
      <x:c r="M1025" s="53"/>
      <x:c r="N1025" s="53"/>
      <x:c r="O1025" s="53"/>
      <x:c r="P1025" s="53"/>
      <x:c r="Q1025" s="53"/>
      <x:c r="R1025" s="53"/>
      <x:c r="S1025" s="53"/>
      <x:c r="T1025" s="53"/>
      <x:c r="U1025" s="53"/>
      <x:c r="V1025" s="53"/>
      <x:c r="W1025" s="53"/>
      <x:c r="X1025" s="53"/>
      <x:c r="Y1025" s="53"/>
      <x:c r="Z1025" s="53"/>
      <x:c r="AA1025" s="53"/>
      <x:c r="AB1025" s="53"/>
      <x:c r="AC1025" s="53"/>
      <x:c r="AD1025" s="53"/>
      <x:c r="AE1025" s="53"/>
      <x:c r="AF1025" s="53"/>
    </x:row>
    <x:row r="1026">
      <x:c r="A1026" s="53"/>
      <x:c r="B1026" s="53"/>
      <x:c r="C1026" s="53"/>
      <x:c r="D1026" s="53"/>
      <x:c r="E1026" s="53"/>
      <x:c r="F1026" s="53"/>
      <x:c r="G1026" s="53"/>
      <x:c r="H1026" s="53"/>
      <x:c r="I1026" s="53"/>
      <x:c r="J1026" s="53"/>
      <x:c r="K1026" s="53"/>
      <x:c r="L1026" s="53"/>
      <x:c r="M1026" s="53"/>
      <x:c r="N1026" s="53"/>
      <x:c r="O1026" s="53"/>
      <x:c r="P1026" s="53"/>
      <x:c r="Q1026" s="53"/>
      <x:c r="R1026" s="53"/>
      <x:c r="S1026" s="53"/>
      <x:c r="T1026" s="53"/>
      <x:c r="U1026" s="53"/>
      <x:c r="V1026" s="53"/>
      <x:c r="W1026" s="53"/>
      <x:c r="X1026" s="53"/>
      <x:c r="Y1026" s="53"/>
      <x:c r="Z1026" s="53"/>
      <x:c r="AA1026" s="53"/>
      <x:c r="AB1026" s="53"/>
      <x:c r="AC1026" s="53"/>
      <x:c r="AD1026" s="53"/>
      <x:c r="AE1026" s="53"/>
      <x:c r="AF1026" s="53"/>
    </x:row>
    <x:row r="1027">
      <x:c r="A1027" s="53"/>
      <x:c r="B1027" s="53"/>
      <x:c r="C1027" s="53"/>
      <x:c r="D1027" s="53"/>
      <x:c r="E1027" s="53"/>
      <x:c r="F1027" s="53"/>
      <x:c r="G1027" s="53"/>
      <x:c r="H1027" s="53"/>
      <x:c r="I1027" s="53"/>
      <x:c r="J1027" s="53"/>
      <x:c r="K1027" s="53"/>
      <x:c r="L1027" s="53"/>
      <x:c r="M1027" s="53"/>
      <x:c r="N1027" s="53"/>
      <x:c r="O1027" s="53"/>
      <x:c r="P1027" s="53"/>
      <x:c r="Q1027" s="53"/>
      <x:c r="R1027" s="53"/>
      <x:c r="S1027" s="53"/>
      <x:c r="T1027" s="53"/>
      <x:c r="U1027" s="53"/>
      <x:c r="V1027" s="53"/>
      <x:c r="W1027" s="53"/>
      <x:c r="X1027" s="53"/>
      <x:c r="Y1027" s="53"/>
      <x:c r="Z1027" s="53"/>
      <x:c r="AA1027" s="53"/>
      <x:c r="AB1027" s="53"/>
      <x:c r="AC1027" s="53"/>
      <x:c r="AD1027" s="53"/>
      <x:c r="AE1027" s="53"/>
      <x:c r="AF1027" s="53"/>
    </x:row>
    <x:row r="1028">
      <x:c r="A1028" s="53"/>
      <x:c r="B1028" s="53"/>
      <x:c r="C1028" s="53"/>
      <x:c r="D1028" s="53"/>
      <x:c r="E1028" s="53"/>
      <x:c r="F1028" s="53"/>
      <x:c r="G1028" s="53"/>
      <x:c r="H1028" s="53"/>
      <x:c r="I1028" s="53"/>
      <x:c r="J1028" s="53"/>
      <x:c r="K1028" s="53"/>
      <x:c r="L1028" s="53"/>
      <x:c r="M1028" s="53"/>
      <x:c r="N1028" s="53"/>
      <x:c r="O1028" s="53"/>
      <x:c r="P1028" s="53"/>
      <x:c r="Q1028" s="53"/>
      <x:c r="R1028" s="53"/>
      <x:c r="S1028" s="53"/>
      <x:c r="T1028" s="53"/>
      <x:c r="U1028" s="53"/>
      <x:c r="V1028" s="53"/>
      <x:c r="W1028" s="53"/>
      <x:c r="X1028" s="53"/>
      <x:c r="Y1028" s="53"/>
      <x:c r="Z1028" s="53"/>
      <x:c r="AA1028" s="53"/>
      <x:c r="AB1028" s="53"/>
      <x:c r="AC1028" s="53"/>
      <x:c r="AD1028" s="53"/>
      <x:c r="AE1028" s="53"/>
      <x:c r="AF1028" s="53"/>
    </x:row>
    <x:row r="1029">
      <x:c r="A1029" s="53"/>
      <x:c r="B1029" s="53"/>
      <x:c r="C1029" s="53"/>
      <x:c r="D1029" s="53"/>
      <x:c r="E1029" s="53"/>
      <x:c r="F1029" s="53"/>
      <x:c r="G1029" s="53"/>
      <x:c r="H1029" s="53"/>
      <x:c r="I1029" s="53"/>
      <x:c r="J1029" s="53"/>
      <x:c r="K1029" s="53"/>
      <x:c r="L1029" s="53"/>
      <x:c r="M1029" s="53"/>
      <x:c r="N1029" s="53"/>
      <x:c r="O1029" s="53"/>
      <x:c r="P1029" s="53"/>
      <x:c r="Q1029" s="53"/>
      <x:c r="R1029" s="53"/>
      <x:c r="S1029" s="53"/>
      <x:c r="T1029" s="53"/>
      <x:c r="U1029" s="53"/>
      <x:c r="V1029" s="53"/>
      <x:c r="W1029" s="53"/>
      <x:c r="X1029" s="53"/>
      <x:c r="Y1029" s="53"/>
      <x:c r="Z1029" s="53"/>
      <x:c r="AA1029" s="53"/>
      <x:c r="AB1029" s="53"/>
      <x:c r="AC1029" s="53"/>
      <x:c r="AD1029" s="53"/>
      <x:c r="AE1029" s="53"/>
      <x:c r="AF1029" s="53"/>
    </x:row>
    <x:row r="1030">
      <x:c r="A1030" s="53"/>
      <x:c r="B1030" s="53"/>
      <x:c r="C1030" s="53"/>
      <x:c r="D1030" s="53"/>
      <x:c r="E1030" s="53"/>
      <x:c r="F1030" s="53"/>
      <x:c r="G1030" s="53"/>
      <x:c r="H1030" s="53"/>
      <x:c r="I1030" s="53"/>
      <x:c r="J1030" s="53"/>
      <x:c r="K1030" s="53"/>
      <x:c r="L1030" s="53"/>
      <x:c r="M1030" s="53"/>
      <x:c r="N1030" s="53"/>
      <x:c r="O1030" s="53"/>
      <x:c r="P1030" s="53"/>
      <x:c r="Q1030" s="53"/>
      <x:c r="R1030" s="53"/>
      <x:c r="S1030" s="53"/>
      <x:c r="T1030" s="53"/>
      <x:c r="U1030" s="53"/>
      <x:c r="V1030" s="53"/>
      <x:c r="W1030" s="53"/>
      <x:c r="X1030" s="53"/>
      <x:c r="Y1030" s="53"/>
      <x:c r="Z1030" s="53"/>
      <x:c r="AA1030" s="53"/>
      <x:c r="AB1030" s="53"/>
      <x:c r="AC1030" s="53"/>
      <x:c r="AD1030" s="53"/>
      <x:c r="AE1030" s="53"/>
      <x:c r="AF1030" s="53"/>
    </x:row>
    <x:row r="1031">
      <x:c r="A1031" s="53"/>
      <x:c r="B1031" s="53"/>
      <x:c r="C1031" s="53"/>
      <x:c r="D1031" s="53"/>
      <x:c r="E1031" s="53"/>
      <x:c r="F1031" s="53"/>
      <x:c r="G1031" s="53"/>
      <x:c r="H1031" s="53"/>
      <x:c r="I1031" s="53"/>
      <x:c r="J1031" s="53"/>
      <x:c r="K1031" s="53"/>
      <x:c r="L1031" s="53"/>
      <x:c r="M1031" s="53"/>
      <x:c r="N1031" s="53"/>
      <x:c r="O1031" s="53"/>
      <x:c r="P1031" s="53"/>
      <x:c r="Q1031" s="53"/>
      <x:c r="R1031" s="53"/>
      <x:c r="S1031" s="53"/>
      <x:c r="T1031" s="53"/>
      <x:c r="U1031" s="53"/>
      <x:c r="V1031" s="53"/>
      <x:c r="W1031" s="53"/>
      <x:c r="X1031" s="53"/>
      <x:c r="Y1031" s="53"/>
      <x:c r="Z1031" s="53"/>
      <x:c r="AA1031" s="53"/>
      <x:c r="AB1031" s="53"/>
      <x:c r="AC1031" s="53"/>
      <x:c r="AD1031" s="53"/>
      <x:c r="AE1031" s="53"/>
      <x:c r="AF1031" s="53"/>
    </x:row>
    <x:row r="1032">
      <x:c r="A1032" s="53"/>
      <x:c r="B1032" s="53"/>
      <x:c r="C1032" s="53"/>
      <x:c r="D1032" s="53"/>
      <x:c r="E1032" s="53"/>
      <x:c r="F1032" s="53"/>
      <x:c r="G1032" s="53"/>
      <x:c r="H1032" s="53"/>
      <x:c r="I1032" s="53"/>
      <x:c r="J1032" s="53"/>
      <x:c r="K1032" s="53"/>
      <x:c r="L1032" s="53"/>
      <x:c r="M1032" s="53"/>
      <x:c r="N1032" s="53"/>
      <x:c r="O1032" s="53"/>
      <x:c r="P1032" s="53"/>
      <x:c r="Q1032" s="53"/>
      <x:c r="R1032" s="53"/>
      <x:c r="S1032" s="53"/>
      <x:c r="T1032" s="53"/>
      <x:c r="U1032" s="53"/>
      <x:c r="V1032" s="53"/>
      <x:c r="W1032" s="53"/>
      <x:c r="X1032" s="53"/>
      <x:c r="Y1032" s="53"/>
      <x:c r="Z1032" s="53"/>
      <x:c r="AA1032" s="53"/>
      <x:c r="AB1032" s="53"/>
      <x:c r="AC1032" s="53"/>
      <x:c r="AD1032" s="53"/>
      <x:c r="AE1032" s="53"/>
      <x:c r="AF1032" s="53"/>
    </x:row>
    <x:row r="1033">
      <x:c r="A1033" s="53"/>
      <x:c r="B1033" s="53"/>
      <x:c r="C1033" s="53"/>
      <x:c r="D1033" s="53"/>
      <x:c r="E1033" s="53"/>
      <x:c r="F1033" s="53"/>
      <x:c r="G1033" s="53"/>
      <x:c r="H1033" s="53"/>
      <x:c r="I1033" s="53"/>
      <x:c r="J1033" s="53"/>
      <x:c r="K1033" s="53"/>
      <x:c r="L1033" s="53"/>
      <x:c r="M1033" s="53"/>
      <x:c r="N1033" s="53"/>
      <x:c r="O1033" s="53"/>
      <x:c r="P1033" s="53"/>
      <x:c r="Q1033" s="53"/>
      <x:c r="R1033" s="53"/>
      <x:c r="S1033" s="53"/>
      <x:c r="T1033" s="53"/>
      <x:c r="U1033" s="53"/>
      <x:c r="V1033" s="53"/>
      <x:c r="W1033" s="53"/>
      <x:c r="X1033" s="53"/>
      <x:c r="Y1033" s="53"/>
      <x:c r="Z1033" s="53"/>
      <x:c r="AA1033" s="53"/>
      <x:c r="AB1033" s="53"/>
      <x:c r="AC1033" s="53"/>
      <x:c r="AD1033" s="53"/>
      <x:c r="AE1033" s="53"/>
      <x:c r="AF1033" s="53"/>
    </x:row>
    <x:row r="1034">
      <x:c r="A1034" s="53"/>
      <x:c r="B1034" s="53"/>
      <x:c r="C1034" s="53"/>
      <x:c r="D1034" s="53"/>
      <x:c r="E1034" s="53"/>
      <x:c r="F1034" s="53"/>
      <x:c r="G1034" s="53"/>
      <x:c r="H1034" s="53"/>
      <x:c r="I1034" s="53"/>
      <x:c r="J1034" s="53"/>
      <x:c r="K1034" s="53"/>
      <x:c r="L1034" s="53"/>
      <x:c r="M1034" s="53"/>
      <x:c r="N1034" s="53"/>
      <x:c r="O1034" s="53"/>
      <x:c r="P1034" s="53"/>
      <x:c r="Q1034" s="53"/>
      <x:c r="R1034" s="53"/>
      <x:c r="S1034" s="53"/>
      <x:c r="T1034" s="53"/>
      <x:c r="U1034" s="53"/>
      <x:c r="V1034" s="53"/>
      <x:c r="W1034" s="53"/>
      <x:c r="X1034" s="53"/>
      <x:c r="Y1034" s="53"/>
      <x:c r="Z1034" s="53"/>
      <x:c r="AA1034" s="53"/>
      <x:c r="AB1034" s="53"/>
      <x:c r="AC1034" s="53"/>
      <x:c r="AD1034" s="53"/>
      <x:c r="AE1034" s="53"/>
      <x:c r="AF1034" s="53"/>
    </x:row>
    <x:row r="1035">
      <x:c r="A1035" s="53"/>
      <x:c r="B1035" s="53"/>
      <x:c r="C1035" s="53"/>
      <x:c r="D1035" s="53"/>
      <x:c r="E1035" s="53"/>
      <x:c r="F1035" s="53"/>
      <x:c r="G1035" s="53"/>
      <x:c r="H1035" s="53"/>
      <x:c r="I1035" s="53"/>
      <x:c r="J1035" s="53"/>
      <x:c r="K1035" s="53"/>
      <x:c r="L1035" s="53"/>
      <x:c r="M1035" s="53"/>
      <x:c r="N1035" s="53"/>
      <x:c r="O1035" s="53"/>
      <x:c r="P1035" s="53"/>
      <x:c r="Q1035" s="53"/>
      <x:c r="R1035" s="53"/>
      <x:c r="S1035" s="53"/>
      <x:c r="T1035" s="53"/>
      <x:c r="U1035" s="53"/>
      <x:c r="V1035" s="53"/>
      <x:c r="W1035" s="53"/>
      <x:c r="X1035" s="53"/>
      <x:c r="Y1035" s="53"/>
      <x:c r="Z1035" s="53"/>
      <x:c r="AA1035" s="53"/>
      <x:c r="AB1035" s="53"/>
      <x:c r="AC1035" s="53"/>
      <x:c r="AD1035" s="53"/>
      <x:c r="AE1035" s="53"/>
      <x:c r="AF1035" s="53"/>
    </x:row>
    <x:row r="1036">
      <x:c r="A1036" s="53"/>
      <x:c r="B1036" s="53"/>
      <x:c r="C1036" s="53"/>
      <x:c r="D1036" s="53"/>
      <x:c r="E1036" s="53"/>
      <x:c r="F1036" s="53"/>
      <x:c r="G1036" s="53"/>
      <x:c r="H1036" s="53"/>
      <x:c r="I1036" s="53"/>
      <x:c r="J1036" s="53"/>
      <x:c r="K1036" s="53"/>
      <x:c r="L1036" s="53"/>
      <x:c r="M1036" s="53"/>
      <x:c r="N1036" s="53"/>
      <x:c r="O1036" s="53"/>
      <x:c r="P1036" s="53"/>
      <x:c r="Q1036" s="53"/>
      <x:c r="R1036" s="53"/>
      <x:c r="S1036" s="53"/>
      <x:c r="T1036" s="53"/>
      <x:c r="U1036" s="53"/>
      <x:c r="V1036" s="53"/>
      <x:c r="W1036" s="53"/>
      <x:c r="X1036" s="53"/>
      <x:c r="Y1036" s="53"/>
      <x:c r="Z1036" s="53"/>
      <x:c r="AA1036" s="53"/>
      <x:c r="AB1036" s="53"/>
      <x:c r="AC1036" s="53"/>
      <x:c r="AD1036" s="53"/>
      <x:c r="AE1036" s="53"/>
      <x:c r="AF1036" s="53"/>
    </x:row>
    <x:row r="1037">
      <x:c r="A1037" s="53"/>
      <x:c r="B1037" s="53"/>
      <x:c r="C1037" s="53"/>
      <x:c r="D1037" s="53"/>
      <x:c r="E1037" s="53"/>
      <x:c r="F1037" s="53"/>
      <x:c r="G1037" s="53"/>
      <x:c r="H1037" s="53"/>
      <x:c r="I1037" s="53"/>
      <x:c r="J1037" s="53"/>
      <x:c r="K1037" s="53"/>
      <x:c r="L1037" s="53"/>
      <x:c r="M1037" s="53"/>
      <x:c r="N1037" s="53"/>
      <x:c r="O1037" s="53"/>
      <x:c r="P1037" s="53"/>
      <x:c r="Q1037" s="53"/>
      <x:c r="R1037" s="53"/>
      <x:c r="S1037" s="53"/>
      <x:c r="T1037" s="53"/>
      <x:c r="U1037" s="53"/>
      <x:c r="V1037" s="53"/>
      <x:c r="W1037" s="53"/>
      <x:c r="X1037" s="53"/>
      <x:c r="Y1037" s="53"/>
      <x:c r="Z1037" s="53"/>
      <x:c r="AA1037" s="53"/>
      <x:c r="AB1037" s="53"/>
      <x:c r="AC1037" s="53"/>
      <x:c r="AD1037" s="53"/>
      <x:c r="AE1037" s="53"/>
      <x:c r="AF1037" s="53"/>
    </x:row>
    <x:row r="1038">
      <x:c r="A1038" s="53"/>
      <x:c r="B1038" s="53"/>
      <x:c r="C1038" s="53"/>
      <x:c r="D1038" s="53"/>
      <x:c r="E1038" s="53"/>
      <x:c r="F1038" s="53"/>
      <x:c r="G1038" s="53"/>
      <x:c r="H1038" s="53"/>
      <x:c r="I1038" s="53"/>
      <x:c r="J1038" s="53"/>
      <x:c r="K1038" s="53"/>
      <x:c r="L1038" s="53"/>
      <x:c r="M1038" s="53"/>
      <x:c r="N1038" s="53"/>
      <x:c r="O1038" s="53"/>
      <x:c r="P1038" s="53"/>
      <x:c r="Q1038" s="53"/>
      <x:c r="R1038" s="53"/>
      <x:c r="S1038" s="53"/>
      <x:c r="T1038" s="53"/>
      <x:c r="U1038" s="53"/>
      <x:c r="V1038" s="53"/>
      <x:c r="W1038" s="53"/>
      <x:c r="X1038" s="53"/>
      <x:c r="Y1038" s="53"/>
      <x:c r="Z1038" s="53"/>
      <x:c r="AA1038" s="53"/>
      <x:c r="AB1038" s="53"/>
      <x:c r="AC1038" s="53"/>
      <x:c r="AD1038" s="53"/>
      <x:c r="AE1038" s="53"/>
      <x:c r="AF1038" s="53"/>
    </x:row>
    <x:row r="1039">
      <x:c r="A1039" s="53"/>
      <x:c r="B1039" s="53"/>
      <x:c r="C1039" s="53"/>
      <x:c r="D1039" s="53"/>
      <x:c r="E1039" s="53"/>
      <x:c r="F1039" s="53"/>
      <x:c r="G1039" s="53"/>
      <x:c r="H1039" s="53"/>
      <x:c r="I1039" s="53"/>
      <x:c r="J1039" s="53"/>
      <x:c r="K1039" s="53"/>
      <x:c r="L1039" s="53"/>
      <x:c r="M1039" s="53"/>
      <x:c r="N1039" s="53"/>
      <x:c r="O1039" s="53"/>
      <x:c r="P1039" s="53"/>
      <x:c r="Q1039" s="53"/>
      <x:c r="R1039" s="53"/>
      <x:c r="S1039" s="53"/>
      <x:c r="T1039" s="53"/>
      <x:c r="U1039" s="53"/>
      <x:c r="V1039" s="53"/>
      <x:c r="W1039" s="53"/>
      <x:c r="X1039" s="53"/>
      <x:c r="Y1039" s="53"/>
      <x:c r="Z1039" s="53"/>
      <x:c r="AA1039" s="53"/>
      <x:c r="AB1039" s="53"/>
      <x:c r="AC1039" s="53"/>
      <x:c r="AD1039" s="53"/>
      <x:c r="AE1039" s="53"/>
      <x:c r="AF1039" s="53"/>
    </x:row>
    <x:row r="1040">
      <x:c r="A1040" s="53"/>
      <x:c r="B1040" s="53"/>
      <x:c r="C1040" s="53"/>
      <x:c r="D1040" s="53"/>
      <x:c r="E1040" s="53"/>
      <x:c r="F1040" s="53"/>
      <x:c r="G1040" s="53"/>
      <x:c r="H1040" s="53"/>
      <x:c r="I1040" s="53"/>
      <x:c r="J1040" s="53"/>
      <x:c r="K1040" s="53"/>
      <x:c r="L1040" s="53"/>
      <x:c r="M1040" s="53"/>
      <x:c r="N1040" s="53"/>
      <x:c r="O1040" s="53"/>
      <x:c r="P1040" s="53"/>
      <x:c r="Q1040" s="53"/>
      <x:c r="R1040" s="53"/>
      <x:c r="S1040" s="53"/>
      <x:c r="T1040" s="53"/>
      <x:c r="U1040" s="53"/>
      <x:c r="V1040" s="53"/>
      <x:c r="W1040" s="53"/>
      <x:c r="X1040" s="53"/>
      <x:c r="Y1040" s="53"/>
      <x:c r="Z1040" s="53"/>
      <x:c r="AA1040" s="53"/>
      <x:c r="AB1040" s="53"/>
      <x:c r="AC1040" s="53"/>
      <x:c r="AD1040" s="53"/>
      <x:c r="AE1040" s="53"/>
      <x:c r="AF1040" s="53"/>
    </x:row>
    <x:row r="1041">
      <x:c r="A1041" s="53"/>
      <x:c r="B1041" s="53"/>
      <x:c r="C1041" s="53"/>
      <x:c r="D1041" s="53"/>
      <x:c r="E1041" s="53"/>
      <x:c r="F1041" s="53"/>
      <x:c r="G1041" s="53"/>
      <x:c r="H1041" s="53"/>
      <x:c r="I1041" s="53"/>
      <x:c r="J1041" s="53"/>
      <x:c r="K1041" s="53"/>
      <x:c r="L1041" s="53"/>
      <x:c r="M1041" s="53"/>
      <x:c r="N1041" s="53"/>
      <x:c r="O1041" s="53"/>
      <x:c r="P1041" s="53"/>
      <x:c r="Q1041" s="53"/>
      <x:c r="R1041" s="53"/>
      <x:c r="S1041" s="53"/>
      <x:c r="T1041" s="53"/>
      <x:c r="U1041" s="53"/>
      <x:c r="V1041" s="53"/>
      <x:c r="W1041" s="53"/>
      <x:c r="X1041" s="53"/>
      <x:c r="Y1041" s="53"/>
      <x:c r="Z1041" s="53"/>
      <x:c r="AA1041" s="53"/>
      <x:c r="AB1041" s="53"/>
      <x:c r="AC1041" s="53"/>
      <x:c r="AD1041" s="53"/>
      <x:c r="AE1041" s="53"/>
      <x:c r="AF1041" s="53"/>
    </x:row>
    <x:row r="1042">
      <x:c r="A1042" s="53"/>
      <x:c r="B1042" s="53"/>
      <x:c r="C1042" s="53"/>
      <x:c r="D1042" s="53"/>
      <x:c r="E1042" s="53"/>
      <x:c r="F1042" s="53"/>
      <x:c r="G1042" s="53"/>
      <x:c r="H1042" s="53"/>
      <x:c r="I1042" s="53"/>
      <x:c r="J1042" s="53"/>
      <x:c r="K1042" s="53"/>
      <x:c r="L1042" s="53"/>
      <x:c r="M1042" s="53"/>
      <x:c r="N1042" s="53"/>
      <x:c r="O1042" s="53"/>
      <x:c r="P1042" s="53"/>
      <x:c r="Q1042" s="53"/>
      <x:c r="R1042" s="53"/>
      <x:c r="S1042" s="53"/>
      <x:c r="T1042" s="53"/>
      <x:c r="U1042" s="53"/>
      <x:c r="V1042" s="53"/>
      <x:c r="W1042" s="53"/>
      <x:c r="X1042" s="53"/>
      <x:c r="Y1042" s="53"/>
      <x:c r="Z1042" s="53"/>
      <x:c r="AA1042" s="53"/>
      <x:c r="AB1042" s="53"/>
      <x:c r="AC1042" s="53"/>
      <x:c r="AD1042" s="53"/>
      <x:c r="AE1042" s="53"/>
      <x:c r="AF1042" s="53"/>
    </x:row>
    <x:row r="1043">
      <x:c r="A1043" s="53"/>
      <x:c r="B1043" s="53"/>
      <x:c r="C1043" s="53"/>
      <x:c r="D1043" s="53"/>
      <x:c r="E1043" s="53"/>
      <x:c r="F1043" s="53"/>
      <x:c r="G1043" s="53"/>
      <x:c r="H1043" s="53"/>
      <x:c r="I1043" s="53"/>
      <x:c r="J1043" s="53"/>
      <x:c r="K1043" s="53"/>
      <x:c r="L1043" s="53"/>
      <x:c r="M1043" s="53"/>
      <x:c r="N1043" s="53"/>
      <x:c r="O1043" s="53"/>
      <x:c r="P1043" s="53"/>
      <x:c r="Q1043" s="53"/>
      <x:c r="R1043" s="53"/>
      <x:c r="S1043" s="53"/>
      <x:c r="T1043" s="53"/>
      <x:c r="U1043" s="53"/>
      <x:c r="V1043" s="53"/>
      <x:c r="W1043" s="53"/>
      <x:c r="X1043" s="53"/>
      <x:c r="Y1043" s="53"/>
      <x:c r="Z1043" s="53"/>
      <x:c r="AA1043" s="53"/>
      <x:c r="AB1043" s="53"/>
      <x:c r="AC1043" s="53"/>
      <x:c r="AD1043" s="53"/>
      <x:c r="AE1043" s="53"/>
      <x:c r="AF1043" s="53"/>
    </x:row>
    <x:row r="1044">
      <x:c r="A1044" s="53"/>
      <x:c r="B1044" s="53"/>
      <x:c r="C1044" s="53"/>
      <x:c r="D1044" s="53"/>
      <x:c r="E1044" s="53"/>
      <x:c r="F1044" s="53"/>
      <x:c r="G1044" s="53"/>
      <x:c r="H1044" s="53"/>
      <x:c r="I1044" s="53"/>
      <x:c r="J1044" s="53"/>
      <x:c r="K1044" s="53"/>
      <x:c r="L1044" s="53"/>
      <x:c r="M1044" s="53"/>
      <x:c r="N1044" s="53"/>
      <x:c r="O1044" s="53"/>
      <x:c r="P1044" s="53"/>
      <x:c r="Q1044" s="53"/>
      <x:c r="R1044" s="53"/>
      <x:c r="S1044" s="53"/>
      <x:c r="T1044" s="53"/>
      <x:c r="U1044" s="53"/>
      <x:c r="V1044" s="53"/>
      <x:c r="W1044" s="53"/>
      <x:c r="X1044" s="53"/>
      <x:c r="Y1044" s="53"/>
      <x:c r="Z1044" s="53"/>
      <x:c r="AA1044" s="53"/>
      <x:c r="AB1044" s="53"/>
      <x:c r="AC1044" s="53"/>
      <x:c r="AD1044" s="53"/>
      <x:c r="AE1044" s="53"/>
      <x:c r="AF1044" s="53"/>
    </x:row>
    <x:row r="1045">
      <x:c r="A1045" s="53"/>
      <x:c r="B1045" s="53"/>
      <x:c r="C1045" s="53"/>
      <x:c r="D1045" s="53"/>
      <x:c r="E1045" s="53"/>
      <x:c r="F1045" s="53"/>
      <x:c r="G1045" s="53"/>
      <x:c r="H1045" s="53"/>
      <x:c r="I1045" s="53"/>
      <x:c r="J1045" s="53"/>
      <x:c r="K1045" s="53"/>
      <x:c r="L1045" s="53"/>
      <x:c r="M1045" s="53"/>
      <x:c r="N1045" s="53"/>
      <x:c r="O1045" s="53"/>
      <x:c r="P1045" s="53"/>
      <x:c r="Q1045" s="53"/>
      <x:c r="R1045" s="53"/>
      <x:c r="S1045" s="53"/>
      <x:c r="T1045" s="53"/>
      <x:c r="U1045" s="53"/>
      <x:c r="V1045" s="53"/>
      <x:c r="W1045" s="53"/>
      <x:c r="X1045" s="53"/>
      <x:c r="Y1045" s="53"/>
      <x:c r="Z1045" s="53"/>
      <x:c r="AA1045" s="53"/>
      <x:c r="AB1045" s="53"/>
      <x:c r="AC1045" s="53"/>
      <x:c r="AD1045" s="53"/>
      <x:c r="AE1045" s="53"/>
      <x:c r="AF1045" s="53"/>
    </x:row>
    <x:row r="1046">
      <x:c r="A1046" s="53"/>
      <x:c r="B1046" s="53"/>
      <x:c r="C1046" s="53"/>
      <x:c r="D1046" s="53"/>
      <x:c r="E1046" s="53"/>
      <x:c r="F1046" s="53"/>
      <x:c r="G1046" s="53"/>
      <x:c r="H1046" s="53"/>
      <x:c r="I1046" s="53"/>
      <x:c r="J1046" s="53"/>
      <x:c r="K1046" s="53"/>
      <x:c r="L1046" s="53"/>
      <x:c r="M1046" s="53"/>
      <x:c r="N1046" s="53"/>
      <x:c r="O1046" s="53"/>
      <x:c r="P1046" s="53"/>
      <x:c r="Q1046" s="53"/>
      <x:c r="R1046" s="53"/>
      <x:c r="S1046" s="53"/>
      <x:c r="T1046" s="53"/>
      <x:c r="U1046" s="53"/>
      <x:c r="V1046" s="53"/>
      <x:c r="W1046" s="53"/>
      <x:c r="X1046" s="53"/>
      <x:c r="Y1046" s="53"/>
      <x:c r="Z1046" s="53"/>
      <x:c r="AA1046" s="53"/>
      <x:c r="AB1046" s="53"/>
      <x:c r="AC1046" s="53"/>
      <x:c r="AD1046" s="53"/>
      <x:c r="AE1046" s="53"/>
      <x:c r="AF1046" s="53"/>
    </x:row>
    <x:row r="1047">
      <x:c r="A1047" s="53"/>
      <x:c r="B1047" s="53"/>
      <x:c r="C1047" s="53"/>
      <x:c r="D1047" s="53"/>
      <x:c r="E1047" s="53"/>
      <x:c r="F1047" s="53"/>
      <x:c r="G1047" s="53"/>
      <x:c r="H1047" s="53"/>
      <x:c r="I1047" s="53"/>
      <x:c r="J1047" s="53"/>
      <x:c r="K1047" s="53"/>
      <x:c r="L1047" s="53"/>
      <x:c r="M1047" s="53"/>
      <x:c r="N1047" s="53"/>
      <x:c r="O1047" s="53"/>
      <x:c r="P1047" s="53"/>
      <x:c r="Q1047" s="53"/>
      <x:c r="R1047" s="53"/>
      <x:c r="S1047" s="53"/>
      <x:c r="T1047" s="53"/>
      <x:c r="U1047" s="53"/>
      <x:c r="V1047" s="53"/>
      <x:c r="W1047" s="53"/>
      <x:c r="X1047" s="53"/>
      <x:c r="Y1047" s="53"/>
      <x:c r="Z1047" s="53"/>
      <x:c r="AA1047" s="53"/>
      <x:c r="AB1047" s="53"/>
      <x:c r="AC1047" s="53"/>
      <x:c r="AD1047" s="53"/>
      <x:c r="AE1047" s="53"/>
      <x:c r="AF1047" s="53"/>
    </x:row>
    <x:row r="1048">
      <x:c r="A1048" s="53"/>
      <x:c r="B1048" s="53"/>
      <x:c r="C1048" s="53"/>
      <x:c r="D1048" s="53"/>
      <x:c r="E1048" s="53"/>
      <x:c r="F1048" s="53"/>
      <x:c r="G1048" s="53"/>
      <x:c r="H1048" s="53"/>
      <x:c r="I1048" s="53"/>
      <x:c r="J1048" s="53"/>
      <x:c r="K1048" s="53"/>
      <x:c r="L1048" s="53"/>
      <x:c r="M1048" s="53"/>
      <x:c r="N1048" s="53"/>
      <x:c r="O1048" s="53"/>
      <x:c r="P1048" s="53"/>
      <x:c r="Q1048" s="53"/>
      <x:c r="R1048" s="53"/>
      <x:c r="S1048" s="53"/>
      <x:c r="T1048" s="53"/>
      <x:c r="U1048" s="53"/>
      <x:c r="V1048" s="53"/>
      <x:c r="W1048" s="53"/>
      <x:c r="X1048" s="53"/>
      <x:c r="Y1048" s="53"/>
      <x:c r="Z1048" s="53"/>
      <x:c r="AA1048" s="53"/>
      <x:c r="AB1048" s="53"/>
      <x:c r="AC1048" s="53"/>
      <x:c r="AD1048" s="53"/>
      <x:c r="AE1048" s="53"/>
      <x:c r="AF1048" s="53"/>
    </x:row>
    <x:row r="1049">
      <x:c r="A1049" s="53"/>
      <x:c r="B1049" s="53"/>
      <x:c r="C1049" s="53"/>
      <x:c r="D1049" s="53"/>
      <x:c r="E1049" s="53"/>
      <x:c r="F1049" s="53"/>
      <x:c r="G1049" s="53"/>
      <x:c r="H1049" s="53"/>
      <x:c r="I1049" s="53"/>
      <x:c r="J1049" s="53"/>
      <x:c r="K1049" s="53"/>
      <x:c r="L1049" s="53"/>
      <x:c r="M1049" s="53"/>
      <x:c r="N1049" s="53"/>
      <x:c r="O1049" s="53"/>
      <x:c r="P1049" s="53"/>
      <x:c r="Q1049" s="53"/>
      <x:c r="R1049" s="53"/>
      <x:c r="S1049" s="53"/>
      <x:c r="T1049" s="53"/>
      <x:c r="U1049" s="53"/>
      <x:c r="V1049" s="53"/>
      <x:c r="W1049" s="53"/>
      <x:c r="X1049" s="53"/>
      <x:c r="Y1049" s="53"/>
      <x:c r="Z1049" s="53"/>
      <x:c r="AA1049" s="53"/>
      <x:c r="AB1049" s="53"/>
      <x:c r="AC1049" s="53"/>
      <x:c r="AD1049" s="53"/>
      <x:c r="AE1049" s="53"/>
      <x:c r="AF1049" s="53"/>
    </x:row>
    <x:row r="1050">
      <x:c r="A1050" s="53"/>
      <x:c r="B1050" s="53"/>
      <x:c r="C1050" s="53"/>
      <x:c r="D1050" s="53"/>
      <x:c r="E1050" s="53"/>
      <x:c r="F1050" s="53"/>
      <x:c r="G1050" s="53"/>
      <x:c r="H1050" s="53"/>
      <x:c r="I1050" s="53"/>
      <x:c r="J1050" s="53"/>
      <x:c r="K1050" s="53"/>
      <x:c r="L1050" s="53"/>
      <x:c r="M1050" s="53"/>
      <x:c r="N1050" s="53"/>
      <x:c r="O1050" s="53"/>
      <x:c r="P1050" s="53"/>
      <x:c r="Q1050" s="53"/>
      <x:c r="R1050" s="53"/>
      <x:c r="S1050" s="53"/>
      <x:c r="T1050" s="53"/>
      <x:c r="U1050" s="53"/>
      <x:c r="V1050" s="53"/>
      <x:c r="W1050" s="53"/>
      <x:c r="X1050" s="53"/>
      <x:c r="Y1050" s="53"/>
      <x:c r="Z1050" s="53"/>
      <x:c r="AA1050" s="53"/>
      <x:c r="AB1050" s="53"/>
      <x:c r="AC1050" s="53"/>
      <x:c r="AD1050" s="53"/>
      <x:c r="AE1050" s="53"/>
      <x:c r="AF1050" s="53"/>
    </x:row>
    <x:row r="1051">
      <x:c r="A1051" s="53"/>
      <x:c r="B1051" s="53"/>
      <x:c r="C1051" s="53"/>
      <x:c r="D1051" s="53"/>
      <x:c r="E1051" s="53"/>
      <x:c r="F1051" s="53"/>
      <x:c r="G1051" s="53"/>
      <x:c r="H1051" s="53"/>
      <x:c r="I1051" s="53"/>
      <x:c r="J1051" s="53"/>
      <x:c r="K1051" s="53"/>
      <x:c r="L1051" s="53"/>
      <x:c r="M1051" s="53"/>
      <x:c r="N1051" s="53"/>
      <x:c r="O1051" s="53"/>
      <x:c r="P1051" s="53"/>
      <x:c r="Q1051" s="53"/>
      <x:c r="R1051" s="53"/>
      <x:c r="S1051" s="53"/>
      <x:c r="T1051" s="53"/>
      <x:c r="U1051" s="53"/>
      <x:c r="V1051" s="53"/>
      <x:c r="W1051" s="53"/>
      <x:c r="X1051" s="53"/>
      <x:c r="Y1051" s="53"/>
      <x:c r="Z1051" s="53"/>
      <x:c r="AA1051" s="53"/>
      <x:c r="AB1051" s="53"/>
      <x:c r="AC1051" s="53"/>
      <x:c r="AD1051" s="53"/>
      <x:c r="AE1051" s="53"/>
      <x:c r="AF1051" s="53"/>
    </x:row>
    <x:row r="1052">
      <x:c r="A1052" s="53"/>
      <x:c r="B1052" s="53"/>
      <x:c r="C1052" s="53"/>
      <x:c r="D1052" s="53"/>
      <x:c r="E1052" s="53"/>
      <x:c r="F1052" s="53"/>
      <x:c r="G1052" s="53"/>
      <x:c r="H1052" s="53"/>
      <x:c r="I1052" s="53"/>
      <x:c r="J1052" s="53"/>
      <x:c r="K1052" s="53"/>
      <x:c r="L1052" s="53"/>
      <x:c r="M1052" s="53"/>
      <x:c r="N1052" s="53"/>
      <x:c r="O1052" s="53"/>
      <x:c r="P1052" s="53"/>
      <x:c r="Q1052" s="53"/>
      <x:c r="R1052" s="53"/>
      <x:c r="S1052" s="53"/>
      <x:c r="T1052" s="53"/>
      <x:c r="U1052" s="53"/>
      <x:c r="V1052" s="53"/>
      <x:c r="W1052" s="53"/>
      <x:c r="X1052" s="53"/>
      <x:c r="Y1052" s="53"/>
      <x:c r="Z1052" s="53"/>
      <x:c r="AA1052" s="53"/>
      <x:c r="AB1052" s="53"/>
      <x:c r="AC1052" s="53"/>
      <x:c r="AD1052" s="53"/>
      <x:c r="AE1052" s="53"/>
      <x:c r="AF1052" s="53"/>
    </x:row>
    <x:row r="1053">
      <x:c r="A1053" s="53"/>
      <x:c r="B1053" s="53"/>
      <x:c r="C1053" s="53"/>
      <x:c r="D1053" s="53"/>
      <x:c r="E1053" s="53"/>
      <x:c r="F1053" s="53"/>
      <x:c r="G1053" s="53"/>
      <x:c r="H1053" s="53"/>
      <x:c r="I1053" s="53"/>
      <x:c r="J1053" s="53"/>
      <x:c r="K1053" s="53"/>
      <x:c r="L1053" s="53"/>
      <x:c r="M1053" s="53"/>
      <x:c r="N1053" s="53"/>
      <x:c r="O1053" s="53"/>
      <x:c r="P1053" s="53"/>
      <x:c r="Q1053" s="53"/>
      <x:c r="R1053" s="53"/>
      <x:c r="S1053" s="53"/>
      <x:c r="T1053" s="53"/>
      <x:c r="U1053" s="53"/>
      <x:c r="V1053" s="53"/>
      <x:c r="W1053" s="53"/>
      <x:c r="X1053" s="53"/>
      <x:c r="Y1053" s="53"/>
      <x:c r="Z1053" s="53"/>
      <x:c r="AA1053" s="53"/>
      <x:c r="AB1053" s="53"/>
      <x:c r="AC1053" s="53"/>
      <x:c r="AD1053" s="53"/>
      <x:c r="AE1053" s="53"/>
      <x:c r="AF1053" s="53"/>
    </x:row>
    <x:row r="1054">
      <x:c r="A1054" s="53"/>
      <x:c r="B1054" s="53"/>
      <x:c r="C1054" s="53"/>
      <x:c r="D1054" s="53"/>
      <x:c r="E1054" s="53"/>
      <x:c r="F1054" s="53"/>
      <x:c r="G1054" s="53"/>
      <x:c r="H1054" s="53"/>
      <x:c r="I1054" s="53"/>
      <x:c r="J1054" s="53"/>
      <x:c r="K1054" s="53"/>
      <x:c r="L1054" s="53"/>
      <x:c r="M1054" s="53"/>
      <x:c r="N1054" s="53"/>
      <x:c r="O1054" s="53"/>
      <x:c r="P1054" s="53"/>
      <x:c r="Q1054" s="53"/>
      <x:c r="R1054" s="53"/>
      <x:c r="S1054" s="53"/>
      <x:c r="T1054" s="53"/>
      <x:c r="U1054" s="53"/>
      <x:c r="V1054" s="53"/>
      <x:c r="W1054" s="53"/>
      <x:c r="X1054" s="53"/>
      <x:c r="Y1054" s="53"/>
      <x:c r="Z1054" s="53"/>
      <x:c r="AA1054" s="53"/>
      <x:c r="AB1054" s="53"/>
      <x:c r="AC1054" s="53"/>
      <x:c r="AD1054" s="53"/>
      <x:c r="AE1054" s="53"/>
      <x:c r="AF1054" s="53"/>
    </x:row>
    <x:row r="1055">
      <x:c r="A1055" s="53"/>
      <x:c r="B1055" s="53"/>
      <x:c r="C1055" s="53"/>
      <x:c r="D1055" s="53"/>
      <x:c r="E1055" s="53"/>
      <x:c r="F1055" s="53"/>
      <x:c r="G1055" s="53"/>
      <x:c r="H1055" s="53"/>
      <x:c r="I1055" s="53"/>
      <x:c r="J1055" s="53"/>
      <x:c r="K1055" s="53"/>
      <x:c r="L1055" s="53"/>
      <x:c r="M1055" s="53"/>
      <x:c r="N1055" s="53"/>
      <x:c r="O1055" s="53"/>
      <x:c r="P1055" s="53"/>
      <x:c r="Q1055" s="53"/>
      <x:c r="R1055" s="53"/>
      <x:c r="S1055" s="53"/>
      <x:c r="T1055" s="53"/>
      <x:c r="U1055" s="53"/>
      <x:c r="V1055" s="53"/>
      <x:c r="W1055" s="53"/>
      <x:c r="X1055" s="53"/>
      <x:c r="Y1055" s="53"/>
      <x:c r="Z1055" s="53"/>
      <x:c r="AA1055" s="53"/>
      <x:c r="AB1055" s="53"/>
      <x:c r="AC1055" s="53"/>
      <x:c r="AD1055" s="53"/>
      <x:c r="AE1055" s="53"/>
      <x:c r="AF1055" s="53"/>
    </x:row>
    <x:row r="1056">
      <x:c r="A1056" s="53"/>
      <x:c r="B1056" s="53"/>
      <x:c r="C1056" s="53"/>
      <x:c r="D1056" s="53"/>
      <x:c r="E1056" s="53"/>
      <x:c r="F1056" s="53"/>
      <x:c r="G1056" s="53"/>
      <x:c r="H1056" s="53"/>
      <x:c r="I1056" s="53"/>
      <x:c r="J1056" s="53"/>
      <x:c r="K1056" s="53"/>
      <x:c r="L1056" s="53"/>
      <x:c r="M1056" s="53"/>
      <x:c r="N1056" s="53"/>
      <x:c r="O1056" s="53"/>
      <x:c r="P1056" s="53"/>
      <x:c r="Q1056" s="53"/>
      <x:c r="R1056" s="53"/>
      <x:c r="S1056" s="53"/>
      <x:c r="T1056" s="53"/>
      <x:c r="U1056" s="53"/>
      <x:c r="V1056" s="53"/>
      <x:c r="W1056" s="53"/>
      <x:c r="X1056" s="53"/>
      <x:c r="Y1056" s="53"/>
      <x:c r="Z1056" s="53"/>
      <x:c r="AA1056" s="53"/>
      <x:c r="AB1056" s="53"/>
      <x:c r="AC1056" s="53"/>
      <x:c r="AD1056" s="53"/>
      <x:c r="AE1056" s="53"/>
      <x:c r="AF1056" s="53"/>
    </x:row>
    <x:row r="1057">
      <x:c r="A1057" s="53"/>
      <x:c r="B1057" s="53"/>
      <x:c r="C1057" s="53"/>
      <x:c r="D1057" s="53"/>
      <x:c r="E1057" s="53"/>
      <x:c r="F1057" s="53"/>
      <x:c r="G1057" s="53"/>
      <x:c r="H1057" s="53"/>
      <x:c r="I1057" s="53"/>
      <x:c r="J1057" s="53"/>
      <x:c r="K1057" s="53"/>
      <x:c r="L1057" s="53"/>
      <x:c r="M1057" s="53"/>
      <x:c r="N1057" s="53"/>
      <x:c r="O1057" s="53"/>
      <x:c r="P1057" s="53"/>
      <x:c r="Q1057" s="53"/>
      <x:c r="R1057" s="53"/>
      <x:c r="S1057" s="53"/>
      <x:c r="T1057" s="53"/>
      <x:c r="U1057" s="53"/>
      <x:c r="V1057" s="53"/>
      <x:c r="W1057" s="53"/>
      <x:c r="X1057" s="53"/>
      <x:c r="Y1057" s="53"/>
      <x:c r="Z1057" s="53"/>
      <x:c r="AA1057" s="53"/>
      <x:c r="AB1057" s="53"/>
      <x:c r="AC1057" s="53"/>
      <x:c r="AD1057" s="53"/>
      <x:c r="AE1057" s="53"/>
      <x:c r="AF1057" s="53"/>
    </x:row>
    <x:row r="1058">
      <x:c r="A1058" s="53"/>
      <x:c r="B1058" s="53"/>
      <x:c r="C1058" s="53"/>
      <x:c r="D1058" s="53"/>
      <x:c r="E1058" s="53"/>
      <x:c r="F1058" s="53"/>
      <x:c r="G1058" s="53"/>
      <x:c r="H1058" s="53"/>
      <x:c r="I1058" s="53"/>
      <x:c r="J1058" s="53"/>
      <x:c r="K1058" s="53"/>
      <x:c r="L1058" s="53"/>
      <x:c r="M1058" s="53"/>
      <x:c r="N1058" s="53"/>
      <x:c r="O1058" s="53"/>
      <x:c r="P1058" s="53"/>
      <x:c r="Q1058" s="53"/>
      <x:c r="R1058" s="53"/>
      <x:c r="S1058" s="53"/>
      <x:c r="T1058" s="53"/>
      <x:c r="U1058" s="53"/>
      <x:c r="V1058" s="53"/>
      <x:c r="W1058" s="53"/>
      <x:c r="X1058" s="53"/>
      <x:c r="Y1058" s="53"/>
      <x:c r="Z1058" s="53"/>
      <x:c r="AA1058" s="53"/>
      <x:c r="AB1058" s="53"/>
      <x:c r="AC1058" s="53"/>
      <x:c r="AD1058" s="53"/>
      <x:c r="AE1058" s="53"/>
      <x:c r="AF1058" s="53"/>
    </x:row>
    <x:row r="1059">
      <x:c r="A1059" s="53"/>
      <x:c r="B1059" s="53"/>
      <x:c r="C1059" s="53"/>
      <x:c r="D1059" s="53"/>
      <x:c r="E1059" s="53"/>
      <x:c r="F1059" s="53"/>
      <x:c r="G1059" s="53"/>
      <x:c r="H1059" s="53"/>
      <x:c r="I1059" s="53"/>
      <x:c r="J1059" s="53"/>
      <x:c r="K1059" s="53"/>
      <x:c r="L1059" s="53"/>
      <x:c r="M1059" s="53"/>
      <x:c r="N1059" s="53"/>
      <x:c r="O1059" s="53"/>
      <x:c r="P1059" s="53"/>
      <x:c r="Q1059" s="53"/>
      <x:c r="R1059" s="53"/>
      <x:c r="S1059" s="53"/>
      <x:c r="T1059" s="53"/>
      <x:c r="U1059" s="53"/>
      <x:c r="V1059" s="53"/>
      <x:c r="W1059" s="53"/>
      <x:c r="X1059" s="53"/>
      <x:c r="Y1059" s="53"/>
      <x:c r="Z1059" s="53"/>
      <x:c r="AA1059" s="53"/>
      <x:c r="AB1059" s="53"/>
      <x:c r="AC1059" s="53"/>
      <x:c r="AD1059" s="53"/>
      <x:c r="AE1059" s="53"/>
      <x:c r="AF1059" s="53"/>
    </x:row>
    <x:row r="1060">
      <x:c r="A1060" s="53"/>
      <x:c r="B1060" s="53"/>
      <x:c r="C1060" s="53"/>
      <x:c r="D1060" s="53"/>
      <x:c r="E1060" s="53"/>
      <x:c r="F1060" s="53"/>
      <x:c r="G1060" s="53"/>
      <x:c r="H1060" s="53"/>
      <x:c r="I1060" s="53"/>
      <x:c r="J1060" s="53"/>
      <x:c r="K1060" s="53"/>
      <x:c r="L1060" s="53"/>
      <x:c r="M1060" s="53"/>
      <x:c r="N1060" s="53"/>
      <x:c r="O1060" s="53"/>
      <x:c r="P1060" s="53"/>
      <x:c r="Q1060" s="53"/>
      <x:c r="R1060" s="53"/>
      <x:c r="S1060" s="53"/>
      <x:c r="T1060" s="53"/>
      <x:c r="U1060" s="53"/>
      <x:c r="V1060" s="53"/>
      <x:c r="W1060" s="53"/>
      <x:c r="X1060" s="53"/>
      <x:c r="Y1060" s="53"/>
      <x:c r="Z1060" s="53"/>
      <x:c r="AA1060" s="53"/>
      <x:c r="AB1060" s="53"/>
      <x:c r="AC1060" s="53"/>
      <x:c r="AD1060" s="53"/>
      <x:c r="AE1060" s="53"/>
      <x:c r="AF1060" s="53"/>
    </x:row>
    <x:row r="1061">
      <x:c r="A1061" s="53"/>
      <x:c r="B1061" s="53"/>
      <x:c r="C1061" s="53"/>
      <x:c r="D1061" s="53"/>
      <x:c r="E1061" s="53"/>
      <x:c r="F1061" s="53"/>
      <x:c r="G1061" s="53"/>
      <x:c r="H1061" s="53"/>
      <x:c r="I1061" s="53"/>
      <x:c r="J1061" s="53"/>
      <x:c r="K1061" s="53"/>
      <x:c r="L1061" s="53"/>
      <x:c r="M1061" s="53"/>
      <x:c r="N1061" s="53"/>
      <x:c r="O1061" s="53"/>
      <x:c r="P1061" s="53"/>
      <x:c r="Q1061" s="53"/>
      <x:c r="R1061" s="53"/>
      <x:c r="S1061" s="53"/>
      <x:c r="T1061" s="53"/>
      <x:c r="U1061" s="53"/>
      <x:c r="V1061" s="53"/>
      <x:c r="W1061" s="53"/>
      <x:c r="X1061" s="53"/>
      <x:c r="Y1061" s="53"/>
      <x:c r="Z1061" s="53"/>
      <x:c r="AA1061" s="53"/>
      <x:c r="AB1061" s="53"/>
      <x:c r="AC1061" s="53"/>
      <x:c r="AD1061" s="53"/>
      <x:c r="AE1061" s="53"/>
      <x:c r="AF1061" s="53"/>
    </x:row>
    <x:row r="1062">
      <x:c r="A1062" s="53"/>
      <x:c r="B1062" s="53"/>
      <x:c r="C1062" s="53"/>
      <x:c r="D1062" s="53"/>
      <x:c r="E1062" s="53"/>
      <x:c r="F1062" s="53"/>
      <x:c r="G1062" s="53"/>
      <x:c r="H1062" s="53"/>
      <x:c r="I1062" s="53"/>
      <x:c r="J1062" s="53"/>
      <x:c r="K1062" s="53"/>
      <x:c r="L1062" s="53"/>
      <x:c r="M1062" s="53"/>
      <x:c r="N1062" s="53"/>
      <x:c r="O1062" s="53"/>
      <x:c r="P1062" s="53"/>
      <x:c r="Q1062" s="53"/>
      <x:c r="R1062" s="53"/>
      <x:c r="S1062" s="53"/>
      <x:c r="T1062" s="53"/>
      <x:c r="U1062" s="53"/>
      <x:c r="V1062" s="53"/>
      <x:c r="W1062" s="53"/>
      <x:c r="X1062" s="53"/>
      <x:c r="Y1062" s="53"/>
      <x:c r="Z1062" s="53"/>
      <x:c r="AA1062" s="53"/>
      <x:c r="AB1062" s="53"/>
      <x:c r="AC1062" s="53"/>
      <x:c r="AD1062" s="53"/>
      <x:c r="AE1062" s="53"/>
      <x:c r="AF1062" s="53"/>
    </x:row>
    <x:row r="1063">
      <x:c r="A1063" s="53"/>
      <x:c r="B1063" s="53"/>
      <x:c r="C1063" s="53"/>
      <x:c r="D1063" s="53"/>
      <x:c r="E1063" s="53"/>
      <x:c r="F1063" s="53"/>
      <x:c r="G1063" s="53"/>
      <x:c r="H1063" s="53"/>
      <x:c r="I1063" s="53"/>
      <x:c r="J1063" s="53"/>
      <x:c r="K1063" s="53"/>
      <x:c r="L1063" s="53"/>
      <x:c r="M1063" s="53"/>
      <x:c r="N1063" s="53"/>
      <x:c r="O1063" s="53"/>
      <x:c r="P1063" s="53"/>
      <x:c r="Q1063" s="53"/>
      <x:c r="R1063" s="53"/>
      <x:c r="S1063" s="53"/>
      <x:c r="T1063" s="53"/>
      <x:c r="U1063" s="53"/>
      <x:c r="V1063" s="53"/>
      <x:c r="W1063" s="53"/>
      <x:c r="X1063" s="53"/>
      <x:c r="Y1063" s="53"/>
      <x:c r="Z1063" s="53"/>
      <x:c r="AA1063" s="53"/>
      <x:c r="AB1063" s="53"/>
      <x:c r="AC1063" s="53"/>
      <x:c r="AD1063" s="53"/>
      <x:c r="AE1063" s="53"/>
      <x:c r="AF1063" s="53"/>
    </x:row>
    <x:row r="1064">
      <x:c r="A1064" s="53"/>
      <x:c r="B1064" s="53"/>
      <x:c r="C1064" s="53"/>
      <x:c r="D1064" s="53"/>
      <x:c r="E1064" s="53"/>
      <x:c r="F1064" s="53"/>
      <x:c r="G1064" s="53"/>
      <x:c r="H1064" s="53"/>
      <x:c r="I1064" s="53"/>
      <x:c r="J1064" s="53"/>
      <x:c r="K1064" s="53"/>
      <x:c r="L1064" s="53"/>
      <x:c r="M1064" s="53"/>
      <x:c r="N1064" s="53"/>
      <x:c r="O1064" s="53"/>
      <x:c r="P1064" s="53"/>
      <x:c r="Q1064" s="53"/>
      <x:c r="R1064" s="53"/>
      <x:c r="S1064" s="53"/>
      <x:c r="T1064" s="53"/>
      <x:c r="U1064" s="53"/>
      <x:c r="V1064" s="53"/>
      <x:c r="W1064" s="53"/>
      <x:c r="X1064" s="53"/>
      <x:c r="Y1064" s="53"/>
      <x:c r="Z1064" s="53"/>
      <x:c r="AA1064" s="53"/>
      <x:c r="AB1064" s="53"/>
      <x:c r="AC1064" s="53"/>
      <x:c r="AD1064" s="53"/>
      <x:c r="AE1064" s="53"/>
      <x:c r="AF1064" s="53"/>
    </x:row>
    <x:row r="1065">
      <x:c r="A1065" s="53"/>
      <x:c r="B1065" s="53"/>
      <x:c r="C1065" s="53"/>
      <x:c r="D1065" s="53"/>
      <x:c r="E1065" s="53"/>
      <x:c r="F1065" s="53"/>
      <x:c r="G1065" s="53"/>
      <x:c r="H1065" s="53"/>
      <x:c r="I1065" s="53"/>
      <x:c r="J1065" s="53"/>
      <x:c r="K1065" s="53"/>
      <x:c r="L1065" s="53"/>
      <x:c r="M1065" s="53"/>
      <x:c r="N1065" s="53"/>
      <x:c r="O1065" s="53"/>
      <x:c r="P1065" s="53"/>
      <x:c r="Q1065" s="53"/>
      <x:c r="R1065" s="53"/>
      <x:c r="S1065" s="53"/>
      <x:c r="T1065" s="53"/>
      <x:c r="U1065" s="53"/>
      <x:c r="V1065" s="53"/>
      <x:c r="W1065" s="53"/>
      <x:c r="X1065" s="53"/>
      <x:c r="Y1065" s="53"/>
      <x:c r="Z1065" s="53"/>
      <x:c r="AA1065" s="53"/>
      <x:c r="AB1065" s="53"/>
      <x:c r="AC1065" s="53"/>
      <x:c r="AD1065" s="53"/>
      <x:c r="AE1065" s="53"/>
      <x:c r="AF1065" s="53"/>
    </x:row>
    <x:row r="1066">
      <x:c r="A1066" s="53"/>
      <x:c r="B1066" s="53"/>
      <x:c r="C1066" s="53"/>
      <x:c r="D1066" s="53"/>
      <x:c r="E1066" s="53"/>
      <x:c r="F1066" s="53"/>
      <x:c r="G1066" s="53"/>
      <x:c r="H1066" s="53"/>
      <x:c r="I1066" s="53"/>
      <x:c r="J1066" s="53"/>
      <x:c r="K1066" s="53"/>
      <x:c r="L1066" s="53"/>
      <x:c r="M1066" s="53"/>
      <x:c r="N1066" s="53"/>
      <x:c r="O1066" s="53"/>
      <x:c r="P1066" s="53"/>
      <x:c r="Q1066" s="53"/>
      <x:c r="R1066" s="53"/>
      <x:c r="S1066" s="53"/>
      <x:c r="T1066" s="53"/>
      <x:c r="U1066" s="53"/>
      <x:c r="V1066" s="53"/>
      <x:c r="W1066" s="53"/>
      <x:c r="X1066" s="53"/>
      <x:c r="Y1066" s="53"/>
      <x:c r="Z1066" s="53"/>
      <x:c r="AA1066" s="53"/>
      <x:c r="AB1066" s="53"/>
      <x:c r="AC1066" s="53"/>
      <x:c r="AD1066" s="53"/>
      <x:c r="AE1066" s="53"/>
      <x:c r="AF1066" s="53"/>
    </x:row>
    <x:row r="1067">
      <x:c r="A1067" s="53"/>
      <x:c r="B1067" s="53"/>
      <x:c r="C1067" s="53"/>
      <x:c r="D1067" s="53"/>
      <x:c r="E1067" s="53"/>
      <x:c r="F1067" s="53"/>
      <x:c r="G1067" s="53"/>
      <x:c r="H1067" s="53"/>
      <x:c r="I1067" s="53"/>
      <x:c r="J1067" s="53"/>
      <x:c r="K1067" s="53"/>
      <x:c r="L1067" s="53"/>
      <x:c r="M1067" s="53"/>
      <x:c r="N1067" s="53"/>
      <x:c r="O1067" s="53"/>
      <x:c r="P1067" s="53"/>
      <x:c r="Q1067" s="53"/>
      <x:c r="R1067" s="53"/>
      <x:c r="S1067" s="53"/>
      <x:c r="T1067" s="53"/>
      <x:c r="U1067" s="53"/>
      <x:c r="V1067" s="53"/>
      <x:c r="W1067" s="53"/>
      <x:c r="X1067" s="53"/>
      <x:c r="Y1067" s="53"/>
      <x:c r="Z1067" s="53"/>
      <x:c r="AA1067" s="53"/>
      <x:c r="AB1067" s="53"/>
      <x:c r="AC1067" s="53"/>
      <x:c r="AD1067" s="53"/>
      <x:c r="AE1067" s="53"/>
      <x:c r="AF1067" s="53"/>
    </x:row>
    <x:row r="1068">
      <x:c r="A1068" s="53"/>
      <x:c r="B1068" s="53"/>
      <x:c r="C1068" s="53"/>
      <x:c r="D1068" s="53"/>
      <x:c r="E1068" s="53"/>
      <x:c r="F1068" s="53"/>
      <x:c r="G1068" s="53"/>
      <x:c r="H1068" s="53"/>
      <x:c r="I1068" s="53"/>
      <x:c r="J1068" s="53"/>
      <x:c r="K1068" s="53"/>
      <x:c r="L1068" s="53"/>
      <x:c r="M1068" s="53"/>
      <x:c r="N1068" s="53"/>
      <x:c r="O1068" s="53"/>
      <x:c r="P1068" s="53"/>
      <x:c r="Q1068" s="53"/>
      <x:c r="R1068" s="53"/>
      <x:c r="S1068" s="53"/>
      <x:c r="T1068" s="53"/>
      <x:c r="U1068" s="53"/>
      <x:c r="V1068" s="53"/>
      <x:c r="W1068" s="53"/>
      <x:c r="X1068" s="53"/>
      <x:c r="Y1068" s="53"/>
      <x:c r="Z1068" s="53"/>
      <x:c r="AA1068" s="53"/>
      <x:c r="AB1068" s="53"/>
      <x:c r="AC1068" s="53"/>
      <x:c r="AD1068" s="53"/>
      <x:c r="AE1068" s="53"/>
      <x:c r="AF1068" s="53"/>
    </x:row>
    <x:row r="1069">
      <x:c r="A1069" s="53"/>
      <x:c r="B1069" s="53"/>
      <x:c r="C1069" s="53"/>
      <x:c r="D1069" s="53"/>
      <x:c r="E1069" s="53"/>
      <x:c r="F1069" s="53"/>
      <x:c r="G1069" s="53"/>
      <x:c r="H1069" s="53"/>
      <x:c r="I1069" s="53"/>
      <x:c r="J1069" s="53"/>
      <x:c r="K1069" s="53"/>
      <x:c r="L1069" s="53"/>
      <x:c r="M1069" s="53"/>
      <x:c r="N1069" s="53"/>
      <x:c r="O1069" s="53"/>
      <x:c r="P1069" s="53"/>
      <x:c r="Q1069" s="53"/>
      <x:c r="R1069" s="53"/>
      <x:c r="S1069" s="53"/>
      <x:c r="T1069" s="53"/>
      <x:c r="U1069" s="53"/>
      <x:c r="V1069" s="53"/>
      <x:c r="W1069" s="53"/>
      <x:c r="X1069" s="53"/>
      <x:c r="Y1069" s="53"/>
      <x:c r="Z1069" s="53"/>
      <x:c r="AA1069" s="53"/>
      <x:c r="AB1069" s="53"/>
      <x:c r="AC1069" s="53"/>
      <x:c r="AD1069" s="53"/>
      <x:c r="AE1069" s="53"/>
      <x:c r="AF1069" s="53"/>
    </x:row>
    <x:row r="1070">
      <x:c r="A1070" s="53"/>
      <x:c r="B1070" s="53"/>
      <x:c r="C1070" s="53"/>
      <x:c r="D1070" s="53"/>
      <x:c r="E1070" s="53"/>
      <x:c r="F1070" s="53"/>
      <x:c r="G1070" s="53"/>
      <x:c r="H1070" s="53"/>
      <x:c r="I1070" s="53"/>
      <x:c r="J1070" s="53"/>
      <x:c r="K1070" s="53"/>
      <x:c r="L1070" s="53"/>
      <x:c r="M1070" s="53"/>
      <x:c r="N1070" s="53"/>
      <x:c r="O1070" s="53"/>
      <x:c r="P1070" s="53"/>
      <x:c r="Q1070" s="53"/>
      <x:c r="R1070" s="53"/>
      <x:c r="S1070" s="53"/>
      <x:c r="T1070" s="53"/>
      <x:c r="U1070" s="53"/>
      <x:c r="V1070" s="53"/>
      <x:c r="W1070" s="53"/>
      <x:c r="X1070" s="53"/>
      <x:c r="Y1070" s="53"/>
      <x:c r="Z1070" s="53"/>
      <x:c r="AA1070" s="53"/>
      <x:c r="AB1070" s="53"/>
      <x:c r="AC1070" s="53"/>
      <x:c r="AD1070" s="53"/>
      <x:c r="AE1070" s="53"/>
      <x:c r="AF1070" s="53"/>
    </x:row>
    <x:row r="1071">
      <x:c r="A1071" s="53"/>
      <x:c r="B1071" s="53"/>
      <x:c r="C1071" s="53"/>
      <x:c r="D1071" s="53"/>
      <x:c r="E1071" s="53"/>
      <x:c r="F1071" s="53"/>
      <x:c r="G1071" s="53"/>
      <x:c r="H1071" s="53"/>
      <x:c r="I1071" s="53"/>
      <x:c r="J1071" s="53"/>
      <x:c r="K1071" s="53"/>
      <x:c r="L1071" s="53"/>
      <x:c r="M1071" s="53"/>
      <x:c r="N1071" s="53"/>
      <x:c r="O1071" s="53"/>
      <x:c r="P1071" s="53"/>
      <x:c r="Q1071" s="53"/>
      <x:c r="R1071" s="53"/>
      <x:c r="S1071" s="53"/>
      <x:c r="T1071" s="53"/>
      <x:c r="U1071" s="53"/>
      <x:c r="V1071" s="53"/>
      <x:c r="W1071" s="53"/>
      <x:c r="X1071" s="53"/>
      <x:c r="Y1071" s="53"/>
      <x:c r="Z1071" s="53"/>
      <x:c r="AA1071" s="53"/>
      <x:c r="AB1071" s="53"/>
      <x:c r="AC1071" s="53"/>
      <x:c r="AD1071" s="53"/>
      <x:c r="AE1071" s="53"/>
      <x:c r="AF1071" s="53"/>
    </x:row>
    <x:row r="1072">
      <x:c r="A1072" s="53"/>
      <x:c r="B1072" s="53"/>
      <x:c r="C1072" s="53"/>
      <x:c r="D1072" s="53"/>
      <x:c r="E1072" s="53"/>
      <x:c r="F1072" s="53"/>
      <x:c r="G1072" s="53"/>
      <x:c r="H1072" s="53"/>
      <x:c r="I1072" s="53"/>
      <x:c r="J1072" s="53"/>
      <x:c r="K1072" s="53"/>
      <x:c r="L1072" s="53"/>
      <x:c r="M1072" s="53"/>
      <x:c r="N1072" s="53"/>
      <x:c r="O1072" s="53"/>
      <x:c r="P1072" s="53"/>
      <x:c r="Q1072" s="53"/>
      <x:c r="R1072" s="53"/>
      <x:c r="S1072" s="53"/>
      <x:c r="T1072" s="53"/>
      <x:c r="U1072" s="53"/>
      <x:c r="V1072" s="53"/>
      <x:c r="W1072" s="53"/>
      <x:c r="X1072" s="53"/>
      <x:c r="Y1072" s="53"/>
      <x:c r="Z1072" s="53"/>
      <x:c r="AA1072" s="53"/>
      <x:c r="AB1072" s="53"/>
      <x:c r="AC1072" s="53"/>
      <x:c r="AD1072" s="53"/>
      <x:c r="AE1072" s="53"/>
      <x:c r="AF1072" s="53"/>
    </x:row>
    <x:row r="1073">
      <x:c r="A1073" s="53"/>
      <x:c r="B1073" s="53"/>
      <x:c r="C1073" s="53"/>
      <x:c r="D1073" s="53"/>
      <x:c r="E1073" s="53"/>
      <x:c r="F1073" s="53"/>
      <x:c r="G1073" s="53"/>
      <x:c r="H1073" s="53"/>
      <x:c r="I1073" s="53"/>
      <x:c r="J1073" s="53"/>
      <x:c r="K1073" s="53"/>
      <x:c r="L1073" s="53"/>
      <x:c r="M1073" s="53"/>
      <x:c r="N1073" s="53"/>
      <x:c r="O1073" s="53"/>
      <x:c r="P1073" s="53"/>
      <x:c r="Q1073" s="53"/>
      <x:c r="R1073" s="53"/>
      <x:c r="S1073" s="53"/>
      <x:c r="T1073" s="53"/>
      <x:c r="U1073" s="53"/>
      <x:c r="V1073" s="53"/>
      <x:c r="W1073" s="53"/>
      <x:c r="X1073" s="53"/>
      <x:c r="Y1073" s="53"/>
      <x:c r="Z1073" s="53"/>
      <x:c r="AA1073" s="53"/>
      <x:c r="AB1073" s="53"/>
      <x:c r="AC1073" s="53"/>
      <x:c r="AD1073" s="53"/>
      <x:c r="AE1073" s="53"/>
      <x:c r="AF1073" s="53"/>
    </x:row>
    <x:row r="1074">
      <x:c r="A1074" s="53"/>
      <x:c r="B1074" s="53"/>
      <x:c r="C1074" s="53"/>
      <x:c r="D1074" s="53"/>
      <x:c r="E1074" s="53"/>
      <x:c r="F1074" s="53"/>
      <x:c r="G1074" s="53"/>
      <x:c r="H1074" s="53"/>
      <x:c r="I1074" s="53"/>
      <x:c r="J1074" s="53"/>
      <x:c r="K1074" s="53"/>
      <x:c r="L1074" s="53"/>
      <x:c r="M1074" s="53"/>
      <x:c r="N1074" s="53"/>
      <x:c r="O1074" s="53"/>
      <x:c r="P1074" s="53"/>
      <x:c r="Q1074" s="53"/>
      <x:c r="R1074" s="53"/>
      <x:c r="S1074" s="53"/>
      <x:c r="T1074" s="53"/>
      <x:c r="U1074" s="53"/>
      <x:c r="V1074" s="53"/>
      <x:c r="W1074" s="53"/>
      <x:c r="X1074" s="53"/>
      <x:c r="Y1074" s="53"/>
      <x:c r="Z1074" s="53"/>
      <x:c r="AA1074" s="53"/>
      <x:c r="AB1074" s="53"/>
      <x:c r="AC1074" s="53"/>
      <x:c r="AD1074" s="53"/>
      <x:c r="AE1074" s="53"/>
      <x:c r="AF1074" s="53"/>
    </x:row>
    <x:row r="1075">
      <x:c r="A1075" s="53"/>
      <x:c r="B1075" s="53"/>
      <x:c r="C1075" s="53"/>
      <x:c r="D1075" s="53"/>
      <x:c r="E1075" s="53"/>
      <x:c r="F1075" s="53"/>
      <x:c r="G1075" s="53"/>
      <x:c r="H1075" s="53"/>
      <x:c r="I1075" s="53"/>
      <x:c r="J1075" s="53"/>
      <x:c r="K1075" s="53"/>
      <x:c r="L1075" s="53"/>
      <x:c r="M1075" s="53"/>
      <x:c r="N1075" s="53"/>
      <x:c r="O1075" s="53"/>
      <x:c r="P1075" s="53"/>
      <x:c r="Q1075" s="53"/>
      <x:c r="R1075" s="53"/>
      <x:c r="S1075" s="53"/>
      <x:c r="T1075" s="53"/>
      <x:c r="U1075" s="53"/>
      <x:c r="V1075" s="53"/>
      <x:c r="W1075" s="53"/>
      <x:c r="X1075" s="53"/>
      <x:c r="Y1075" s="53"/>
      <x:c r="Z1075" s="53"/>
      <x:c r="AA1075" s="53"/>
      <x:c r="AB1075" s="53"/>
      <x:c r="AC1075" s="53"/>
      <x:c r="AD1075" s="53"/>
      <x:c r="AE1075" s="53"/>
      <x:c r="AF1075" s="53"/>
    </x:row>
    <x:row r="1076">
      <x:c r="A1076" s="53"/>
      <x:c r="B1076" s="53"/>
      <x:c r="C1076" s="53"/>
      <x:c r="D1076" s="53"/>
      <x:c r="E1076" s="53"/>
      <x:c r="F1076" s="53"/>
      <x:c r="G1076" s="53"/>
      <x:c r="H1076" s="53"/>
      <x:c r="I1076" s="53"/>
      <x:c r="J1076" s="53"/>
      <x:c r="K1076" s="53"/>
      <x:c r="L1076" s="53"/>
      <x:c r="M1076" s="53"/>
      <x:c r="N1076" s="53"/>
      <x:c r="O1076" s="53"/>
      <x:c r="P1076" s="53"/>
      <x:c r="Q1076" s="53"/>
      <x:c r="R1076" s="53"/>
      <x:c r="S1076" s="53"/>
      <x:c r="T1076" s="53"/>
      <x:c r="U1076" s="53"/>
      <x:c r="V1076" s="53"/>
      <x:c r="W1076" s="53"/>
      <x:c r="X1076" s="53"/>
      <x:c r="Y1076" s="53"/>
      <x:c r="Z1076" s="53"/>
      <x:c r="AA1076" s="53"/>
      <x:c r="AB1076" s="53"/>
      <x:c r="AC1076" s="53"/>
      <x:c r="AD1076" s="53"/>
      <x:c r="AE1076" s="53"/>
      <x:c r="AF1076" s="53"/>
    </x:row>
    <x:row r="1077">
      <x:c r="A1077" s="53"/>
      <x:c r="B1077" s="53"/>
      <x:c r="C1077" s="53"/>
      <x:c r="D1077" s="53"/>
      <x:c r="E1077" s="53"/>
      <x:c r="F1077" s="53"/>
      <x:c r="G1077" s="53"/>
      <x:c r="H1077" s="53"/>
      <x:c r="I1077" s="53"/>
      <x:c r="J1077" s="53"/>
      <x:c r="K1077" s="53"/>
      <x:c r="L1077" s="53"/>
      <x:c r="M1077" s="53"/>
      <x:c r="N1077" s="53"/>
      <x:c r="O1077" s="53"/>
      <x:c r="P1077" s="53"/>
      <x:c r="Q1077" s="53"/>
      <x:c r="R1077" s="53"/>
      <x:c r="S1077" s="53"/>
      <x:c r="T1077" s="53"/>
      <x:c r="U1077" s="53"/>
      <x:c r="V1077" s="53"/>
      <x:c r="W1077" s="53"/>
      <x:c r="X1077" s="53"/>
      <x:c r="Y1077" s="53"/>
      <x:c r="Z1077" s="53"/>
      <x:c r="AA1077" s="53"/>
      <x:c r="AB1077" s="53"/>
      <x:c r="AC1077" s="53"/>
      <x:c r="AD1077" s="53"/>
      <x:c r="AE1077" s="53"/>
      <x:c r="AF1077" s="53"/>
    </x:row>
    <x:row r="1078">
      <x:c r="A1078" s="53"/>
      <x:c r="B1078" s="53"/>
      <x:c r="C1078" s="53"/>
      <x:c r="D1078" s="53"/>
      <x:c r="E1078" s="53"/>
      <x:c r="F1078" s="53"/>
      <x:c r="G1078" s="53"/>
      <x:c r="H1078" s="53"/>
      <x:c r="I1078" s="53"/>
      <x:c r="J1078" s="53"/>
      <x:c r="K1078" s="53"/>
      <x:c r="L1078" s="53"/>
      <x:c r="M1078" s="53"/>
      <x:c r="N1078" s="53"/>
      <x:c r="O1078" s="53"/>
      <x:c r="P1078" s="53"/>
      <x:c r="Q1078" s="53"/>
      <x:c r="R1078" s="53"/>
      <x:c r="S1078" s="53"/>
      <x:c r="T1078" s="53"/>
      <x:c r="U1078" s="53"/>
      <x:c r="V1078" s="53"/>
      <x:c r="W1078" s="53"/>
      <x:c r="X1078" s="53"/>
      <x:c r="Y1078" s="53"/>
      <x:c r="Z1078" s="53"/>
      <x:c r="AA1078" s="53"/>
      <x:c r="AB1078" s="53"/>
      <x:c r="AC1078" s="53"/>
      <x:c r="AD1078" s="53"/>
      <x:c r="AE1078" s="53"/>
      <x:c r="AF1078" s="53"/>
    </x:row>
    <x:row r="1079">
      <x:c r="A1079" s="53"/>
      <x:c r="B1079" s="53"/>
      <x:c r="C1079" s="53"/>
      <x:c r="D1079" s="53"/>
      <x:c r="E1079" s="53"/>
      <x:c r="F1079" s="53"/>
      <x:c r="G1079" s="53"/>
      <x:c r="H1079" s="53"/>
      <x:c r="I1079" s="53"/>
      <x:c r="J1079" s="53"/>
      <x:c r="K1079" s="53"/>
      <x:c r="L1079" s="53"/>
      <x:c r="M1079" s="53"/>
      <x:c r="N1079" s="53"/>
      <x:c r="O1079" s="53"/>
      <x:c r="P1079" s="53"/>
      <x:c r="Q1079" s="53"/>
      <x:c r="R1079" s="53"/>
      <x:c r="S1079" s="53"/>
      <x:c r="T1079" s="53"/>
      <x:c r="U1079" s="53"/>
      <x:c r="V1079" s="53"/>
      <x:c r="W1079" s="53"/>
      <x:c r="X1079" s="53"/>
      <x:c r="Y1079" s="53"/>
      <x:c r="Z1079" s="53"/>
      <x:c r="AA1079" s="53"/>
      <x:c r="AB1079" s="53"/>
      <x:c r="AC1079" s="53"/>
      <x:c r="AD1079" s="53"/>
      <x:c r="AE1079" s="53"/>
      <x:c r="AF1079" s="53"/>
    </x:row>
    <x:row r="1080">
      <x:c r="A1080" s="53"/>
      <x:c r="B1080" s="53"/>
      <x:c r="C1080" s="53"/>
      <x:c r="D1080" s="53"/>
      <x:c r="E1080" s="53"/>
      <x:c r="F1080" s="53"/>
      <x:c r="G1080" s="53"/>
      <x:c r="H1080" s="53"/>
      <x:c r="I1080" s="53"/>
      <x:c r="J1080" s="53"/>
      <x:c r="K1080" s="53"/>
      <x:c r="L1080" s="53"/>
      <x:c r="M1080" s="53"/>
      <x:c r="N1080" s="53"/>
      <x:c r="O1080" s="53"/>
      <x:c r="P1080" s="53"/>
      <x:c r="Q1080" s="53"/>
      <x:c r="R1080" s="53"/>
      <x:c r="S1080" s="53"/>
      <x:c r="T1080" s="53"/>
      <x:c r="U1080" s="53"/>
      <x:c r="V1080" s="53"/>
      <x:c r="W1080" s="53"/>
      <x:c r="X1080" s="53"/>
      <x:c r="Y1080" s="53"/>
      <x:c r="Z1080" s="53"/>
      <x:c r="AA1080" s="53"/>
      <x:c r="AB1080" s="53"/>
      <x:c r="AC1080" s="53"/>
      <x:c r="AD1080" s="53"/>
      <x:c r="AE1080" s="53"/>
      <x:c r="AF1080" s="53"/>
    </x:row>
    <x:row r="1081">
      <x:c r="A1081" s="53"/>
      <x:c r="B1081" s="53"/>
      <x:c r="C1081" s="53"/>
      <x:c r="D1081" s="53"/>
      <x:c r="E1081" s="53"/>
      <x:c r="F1081" s="53"/>
      <x:c r="G1081" s="53"/>
      <x:c r="H1081" s="53"/>
      <x:c r="I1081" s="53"/>
      <x:c r="J1081" s="53"/>
      <x:c r="K1081" s="53"/>
      <x:c r="L1081" s="53"/>
      <x:c r="M1081" s="53"/>
      <x:c r="N1081" s="53"/>
      <x:c r="O1081" s="53"/>
      <x:c r="P1081" s="53"/>
      <x:c r="Q1081" s="53"/>
      <x:c r="R1081" s="53"/>
      <x:c r="S1081" s="53"/>
      <x:c r="T1081" s="53"/>
      <x:c r="U1081" s="53"/>
      <x:c r="V1081" s="53"/>
      <x:c r="W1081" s="53"/>
      <x:c r="X1081" s="53"/>
      <x:c r="Y1081" s="53"/>
      <x:c r="Z1081" s="53"/>
      <x:c r="AA1081" s="53"/>
      <x:c r="AB1081" s="53"/>
      <x:c r="AC1081" s="53"/>
      <x:c r="AD1081" s="53"/>
      <x:c r="AE1081" s="53"/>
      <x:c r="AF1081" s="53"/>
    </x:row>
    <x:row r="1082">
      <x:c r="A1082" s="53"/>
      <x:c r="B1082" s="53"/>
      <x:c r="C1082" s="53"/>
      <x:c r="D1082" s="53"/>
      <x:c r="E1082" s="53"/>
      <x:c r="F1082" s="53"/>
      <x:c r="G1082" s="53"/>
      <x:c r="H1082" s="53"/>
      <x:c r="I1082" s="53"/>
      <x:c r="J1082" s="53"/>
      <x:c r="K1082" s="53"/>
      <x:c r="L1082" s="53"/>
      <x:c r="M1082" s="53"/>
      <x:c r="N1082" s="53"/>
      <x:c r="O1082" s="53"/>
      <x:c r="P1082" s="53"/>
      <x:c r="Q1082" s="53"/>
      <x:c r="R1082" s="53"/>
      <x:c r="S1082" s="53"/>
      <x:c r="T1082" s="53"/>
      <x:c r="U1082" s="53"/>
      <x:c r="V1082" s="53"/>
      <x:c r="W1082" s="53"/>
      <x:c r="X1082" s="53"/>
      <x:c r="Y1082" s="53"/>
      <x:c r="Z1082" s="53"/>
      <x:c r="AA1082" s="53"/>
      <x:c r="AB1082" s="53"/>
      <x:c r="AC1082" s="53"/>
      <x:c r="AD1082" s="53"/>
      <x:c r="AE1082" s="53"/>
      <x:c r="AF1082" s="53"/>
    </x:row>
    <x:row r="1083">
      <x:c r="A1083" s="53"/>
      <x:c r="B1083" s="53"/>
      <x:c r="C1083" s="53"/>
      <x:c r="D1083" s="53"/>
      <x:c r="E1083" s="53"/>
      <x:c r="F1083" s="53"/>
      <x:c r="G1083" s="53"/>
      <x:c r="H1083" s="53"/>
      <x:c r="I1083" s="53"/>
      <x:c r="J1083" s="53"/>
      <x:c r="K1083" s="53"/>
      <x:c r="L1083" s="53"/>
      <x:c r="M1083" s="53"/>
      <x:c r="N1083" s="53"/>
      <x:c r="O1083" s="53"/>
      <x:c r="P1083" s="53"/>
      <x:c r="Q1083" s="53"/>
      <x:c r="R1083" s="53"/>
      <x:c r="S1083" s="53"/>
      <x:c r="T1083" s="53"/>
      <x:c r="U1083" s="53"/>
      <x:c r="V1083" s="53"/>
      <x:c r="W1083" s="53"/>
      <x:c r="X1083" s="53"/>
      <x:c r="Y1083" s="53"/>
      <x:c r="Z1083" s="53"/>
      <x:c r="AA1083" s="53"/>
      <x:c r="AB1083" s="53"/>
      <x:c r="AC1083" s="53"/>
      <x:c r="AD1083" s="53"/>
      <x:c r="AE1083" s="53"/>
      <x:c r="AF1083" s="53"/>
    </x:row>
    <x:row r="1084">
      <x:c r="A1084" s="53"/>
      <x:c r="B1084" s="53"/>
      <x:c r="C1084" s="53"/>
      <x:c r="D1084" s="53"/>
      <x:c r="E1084" s="53"/>
      <x:c r="F1084" s="53"/>
      <x:c r="G1084" s="53"/>
      <x:c r="H1084" s="53"/>
      <x:c r="I1084" s="53"/>
      <x:c r="J1084" s="53"/>
      <x:c r="K1084" s="53"/>
      <x:c r="L1084" s="53"/>
      <x:c r="M1084" s="53"/>
      <x:c r="N1084" s="53"/>
      <x:c r="O1084" s="53"/>
      <x:c r="P1084" s="53"/>
      <x:c r="Q1084" s="53"/>
      <x:c r="R1084" s="53"/>
      <x:c r="S1084" s="53"/>
      <x:c r="T1084" s="53"/>
      <x:c r="U1084" s="53"/>
      <x:c r="V1084" s="53"/>
      <x:c r="W1084" s="53"/>
      <x:c r="X1084" s="53"/>
      <x:c r="Y1084" s="53"/>
      <x:c r="Z1084" s="53"/>
      <x:c r="AA1084" s="53"/>
      <x:c r="AB1084" s="53"/>
      <x:c r="AC1084" s="53"/>
      <x:c r="AD1084" s="53"/>
      <x:c r="AE1084" s="53"/>
      <x:c r="AF1084" s="53"/>
    </x:row>
    <x:row r="1085">
      <x:c r="A1085" s="53"/>
      <x:c r="B1085" s="53"/>
      <x:c r="C1085" s="53"/>
      <x:c r="D1085" s="53"/>
      <x:c r="E1085" s="53"/>
      <x:c r="F1085" s="53"/>
      <x:c r="G1085" s="53"/>
      <x:c r="H1085" s="53"/>
      <x:c r="I1085" s="53"/>
      <x:c r="J1085" s="53"/>
      <x:c r="K1085" s="53"/>
      <x:c r="L1085" s="53"/>
      <x:c r="M1085" s="53"/>
      <x:c r="N1085" s="53"/>
      <x:c r="O1085" s="53"/>
      <x:c r="P1085" s="53"/>
      <x:c r="Q1085" s="53"/>
      <x:c r="R1085" s="53"/>
      <x:c r="S1085" s="53"/>
      <x:c r="T1085" s="53"/>
      <x:c r="U1085" s="53"/>
      <x:c r="V1085" s="53"/>
      <x:c r="W1085" s="53"/>
      <x:c r="X1085" s="53"/>
      <x:c r="Y1085" s="53"/>
      <x:c r="Z1085" s="53"/>
      <x:c r="AA1085" s="53"/>
      <x:c r="AB1085" s="53"/>
      <x:c r="AC1085" s="53"/>
      <x:c r="AD1085" s="53"/>
      <x:c r="AE1085" s="53"/>
      <x:c r="AF1085" s="53"/>
    </x:row>
    <x:row r="1086">
      <x:c r="A1086" s="53"/>
      <x:c r="B1086" s="53"/>
      <x:c r="C1086" s="53"/>
      <x:c r="D1086" s="53"/>
      <x:c r="E1086" s="53"/>
      <x:c r="F1086" s="53"/>
      <x:c r="G1086" s="53"/>
      <x:c r="H1086" s="53"/>
      <x:c r="I1086" s="53"/>
      <x:c r="J1086" s="53"/>
      <x:c r="K1086" s="53"/>
      <x:c r="L1086" s="53"/>
      <x:c r="M1086" s="53"/>
      <x:c r="N1086" s="53"/>
      <x:c r="O1086" s="53"/>
      <x:c r="P1086" s="53"/>
      <x:c r="Q1086" s="53"/>
      <x:c r="R1086" s="53"/>
      <x:c r="S1086" s="53"/>
      <x:c r="T1086" s="53"/>
      <x:c r="U1086" s="53"/>
      <x:c r="V1086" s="53"/>
      <x:c r="W1086" s="53"/>
      <x:c r="X1086" s="53"/>
      <x:c r="Y1086" s="53"/>
      <x:c r="Z1086" s="53"/>
      <x:c r="AA1086" s="53"/>
      <x:c r="AB1086" s="53"/>
      <x:c r="AC1086" s="53"/>
      <x:c r="AD1086" s="53"/>
      <x:c r="AE1086" s="53"/>
      <x:c r="AF1086" s="53"/>
    </x:row>
    <x:row r="1087">
      <x:c r="A1087" s="53"/>
      <x:c r="B1087" s="53"/>
      <x:c r="C1087" s="53"/>
      <x:c r="D1087" s="53"/>
      <x:c r="E1087" s="53"/>
      <x:c r="F1087" s="53"/>
      <x:c r="G1087" s="53"/>
      <x:c r="H1087" s="53"/>
      <x:c r="I1087" s="53"/>
      <x:c r="J1087" s="53"/>
      <x:c r="K1087" s="53"/>
      <x:c r="L1087" s="53"/>
      <x:c r="M1087" s="53"/>
      <x:c r="N1087" s="53"/>
      <x:c r="O1087" s="53"/>
      <x:c r="P1087" s="53"/>
      <x:c r="Q1087" s="53"/>
      <x:c r="R1087" s="53"/>
      <x:c r="S1087" s="53"/>
      <x:c r="T1087" s="53"/>
      <x:c r="U1087" s="53"/>
      <x:c r="V1087" s="53"/>
      <x:c r="W1087" s="53"/>
      <x:c r="X1087" s="53"/>
      <x:c r="Y1087" s="53"/>
      <x:c r="Z1087" s="53"/>
      <x:c r="AA1087" s="53"/>
      <x:c r="AB1087" s="53"/>
      <x:c r="AC1087" s="53"/>
      <x:c r="AD1087" s="53"/>
      <x:c r="AE1087" s="53"/>
      <x:c r="AF1087" s="53"/>
    </x:row>
    <x:row r="1088">
      <x:c r="A1088" s="53"/>
      <x:c r="B1088" s="53"/>
      <x:c r="C1088" s="53"/>
      <x:c r="D1088" s="53"/>
      <x:c r="E1088" s="53"/>
      <x:c r="F1088" s="53"/>
      <x:c r="G1088" s="53"/>
      <x:c r="H1088" s="53"/>
      <x:c r="I1088" s="53"/>
      <x:c r="J1088" s="53"/>
      <x:c r="K1088" s="53"/>
      <x:c r="L1088" s="53"/>
      <x:c r="M1088" s="53"/>
      <x:c r="N1088" s="53"/>
      <x:c r="O1088" s="53"/>
      <x:c r="P1088" s="53"/>
      <x:c r="Q1088" s="53"/>
      <x:c r="R1088" s="53"/>
      <x:c r="S1088" s="53"/>
      <x:c r="T1088" s="53"/>
      <x:c r="U1088" s="53"/>
      <x:c r="V1088" s="53"/>
      <x:c r="W1088" s="53"/>
      <x:c r="X1088" s="53"/>
      <x:c r="Y1088" s="53"/>
      <x:c r="Z1088" s="53"/>
      <x:c r="AA1088" s="53"/>
      <x:c r="AB1088" s="53"/>
      <x:c r="AC1088" s="53"/>
      <x:c r="AD1088" s="53"/>
      <x:c r="AE1088" s="53"/>
      <x:c r="AF1088" s="53"/>
    </x:row>
    <x:row r="1089">
      <x:c r="A1089" s="53"/>
      <x:c r="B1089" s="53"/>
      <x:c r="C1089" s="53"/>
      <x:c r="D1089" s="53"/>
      <x:c r="E1089" s="53"/>
      <x:c r="F1089" s="53"/>
      <x:c r="G1089" s="53"/>
      <x:c r="H1089" s="53"/>
      <x:c r="I1089" s="53"/>
      <x:c r="J1089" s="53"/>
      <x:c r="K1089" s="53"/>
      <x:c r="L1089" s="53"/>
      <x:c r="M1089" s="53"/>
      <x:c r="N1089" s="53"/>
      <x:c r="O1089" s="53"/>
      <x:c r="P1089" s="53"/>
      <x:c r="Q1089" s="53"/>
      <x:c r="R1089" s="53"/>
      <x:c r="S1089" s="53"/>
      <x:c r="T1089" s="53"/>
      <x:c r="U1089" s="53"/>
      <x:c r="V1089" s="53"/>
      <x:c r="W1089" s="53"/>
      <x:c r="X1089" s="53"/>
      <x:c r="Y1089" s="53"/>
      <x:c r="Z1089" s="53"/>
      <x:c r="AA1089" s="53"/>
      <x:c r="AB1089" s="53"/>
      <x:c r="AC1089" s="53"/>
      <x:c r="AD1089" s="53"/>
      <x:c r="AE1089" s="53"/>
      <x:c r="AF1089" s="53"/>
    </x:row>
    <x:row r="1090">
      <x:c r="A1090" s="53"/>
      <x:c r="B1090" s="53"/>
      <x:c r="C1090" s="53"/>
      <x:c r="D1090" s="53"/>
      <x:c r="E1090" s="53"/>
      <x:c r="F1090" s="53"/>
      <x:c r="G1090" s="53"/>
      <x:c r="H1090" s="53"/>
      <x:c r="I1090" s="53"/>
      <x:c r="J1090" s="53"/>
      <x:c r="K1090" s="53"/>
      <x:c r="L1090" s="53"/>
      <x:c r="M1090" s="53"/>
      <x:c r="N1090" s="53"/>
      <x:c r="O1090" s="53"/>
      <x:c r="P1090" s="53"/>
      <x:c r="Q1090" s="53"/>
      <x:c r="R1090" s="53"/>
      <x:c r="S1090" s="53"/>
      <x:c r="T1090" s="53"/>
      <x:c r="U1090" s="53"/>
      <x:c r="V1090" s="53"/>
      <x:c r="W1090" s="53"/>
      <x:c r="X1090" s="53"/>
      <x:c r="Y1090" s="53"/>
      <x:c r="Z1090" s="53"/>
      <x:c r="AA1090" s="53"/>
      <x:c r="AB1090" s="53"/>
      <x:c r="AC1090" s="53"/>
      <x:c r="AD1090" s="53"/>
      <x:c r="AE1090" s="53"/>
      <x:c r="AF1090" s="53"/>
    </x:row>
    <x:row r="1091">
      <x:c r="A1091" s="53"/>
      <x:c r="B1091" s="53"/>
      <x:c r="C1091" s="53"/>
      <x:c r="D1091" s="53"/>
      <x:c r="E1091" s="53"/>
      <x:c r="F1091" s="53"/>
      <x:c r="G1091" s="53"/>
      <x:c r="H1091" s="53"/>
      <x:c r="I1091" s="53"/>
      <x:c r="J1091" s="53"/>
      <x:c r="K1091" s="53"/>
      <x:c r="L1091" s="53"/>
      <x:c r="M1091" s="53"/>
      <x:c r="N1091" s="53"/>
      <x:c r="O1091" s="53"/>
      <x:c r="P1091" s="53"/>
      <x:c r="Q1091" s="53"/>
      <x:c r="R1091" s="53"/>
      <x:c r="S1091" s="53"/>
      <x:c r="T1091" s="53"/>
      <x:c r="U1091" s="53"/>
      <x:c r="V1091" s="53"/>
      <x:c r="W1091" s="53"/>
      <x:c r="X1091" s="53"/>
      <x:c r="Y1091" s="53"/>
      <x:c r="Z1091" s="53"/>
      <x:c r="AA1091" s="53"/>
      <x:c r="AB1091" s="53"/>
      <x:c r="AC1091" s="53"/>
      <x:c r="AD1091" s="53"/>
      <x:c r="AE1091" s="53"/>
      <x:c r="AF1091" s="53"/>
    </x:row>
    <x:row r="1092">
      <x:c r="A1092" s="53"/>
      <x:c r="B1092" s="53"/>
      <x:c r="C1092" s="53"/>
      <x:c r="D1092" s="53"/>
      <x:c r="E1092" s="53"/>
      <x:c r="F1092" s="53"/>
      <x:c r="G1092" s="53"/>
      <x:c r="H1092" s="53"/>
      <x:c r="I1092" s="53"/>
      <x:c r="J1092" s="53"/>
      <x:c r="K1092" s="53"/>
      <x:c r="L1092" s="53"/>
      <x:c r="M1092" s="53"/>
      <x:c r="N1092" s="53"/>
      <x:c r="O1092" s="53"/>
      <x:c r="P1092" s="53"/>
      <x:c r="Q1092" s="53"/>
      <x:c r="R1092" s="53"/>
      <x:c r="S1092" s="53"/>
      <x:c r="T1092" s="53"/>
      <x:c r="U1092" s="53"/>
      <x:c r="V1092" s="53"/>
      <x:c r="W1092" s="53"/>
      <x:c r="X1092" s="53"/>
      <x:c r="Y1092" s="53"/>
      <x:c r="Z1092" s="53"/>
      <x:c r="AA1092" s="53"/>
      <x:c r="AB1092" s="53"/>
      <x:c r="AC1092" s="53"/>
      <x:c r="AD1092" s="53"/>
      <x:c r="AE1092" s="53"/>
      <x:c r="AF1092" s="53"/>
    </x:row>
    <x:row r="1093">
      <x:c r="A1093" s="53"/>
      <x:c r="B1093" s="53"/>
      <x:c r="C1093" s="53"/>
      <x:c r="D1093" s="53"/>
      <x:c r="E1093" s="53"/>
      <x:c r="F1093" s="53"/>
      <x:c r="G1093" s="53"/>
      <x:c r="H1093" s="53"/>
      <x:c r="I1093" s="53"/>
      <x:c r="J1093" s="53"/>
      <x:c r="K1093" s="53"/>
      <x:c r="L1093" s="53"/>
      <x:c r="M1093" s="53"/>
      <x:c r="N1093" s="53"/>
      <x:c r="O1093" s="53"/>
      <x:c r="P1093" s="53"/>
      <x:c r="Q1093" s="53"/>
      <x:c r="R1093" s="53"/>
      <x:c r="S1093" s="53"/>
      <x:c r="T1093" s="53"/>
      <x:c r="U1093" s="53"/>
      <x:c r="V1093" s="53"/>
      <x:c r="W1093" s="53"/>
      <x:c r="X1093" s="53"/>
      <x:c r="Y1093" s="53"/>
      <x:c r="Z1093" s="53"/>
      <x:c r="AA1093" s="53"/>
      <x:c r="AB1093" s="53"/>
      <x:c r="AC1093" s="53"/>
      <x:c r="AD1093" s="53"/>
      <x:c r="AE1093" s="53"/>
      <x:c r="AF1093" s="53"/>
    </x:row>
    <x:row r="1094">
      <x:c r="A1094" s="53"/>
      <x:c r="B1094" s="53"/>
      <x:c r="C1094" s="53"/>
      <x:c r="D1094" s="53"/>
      <x:c r="E1094" s="53"/>
      <x:c r="F1094" s="53"/>
      <x:c r="G1094" s="53"/>
      <x:c r="H1094" s="53"/>
      <x:c r="I1094" s="53"/>
      <x:c r="J1094" s="53"/>
      <x:c r="K1094" s="53"/>
      <x:c r="L1094" s="53"/>
      <x:c r="M1094" s="53"/>
      <x:c r="N1094" s="53"/>
      <x:c r="O1094" s="53"/>
      <x:c r="P1094" s="53"/>
      <x:c r="Q1094" s="53"/>
      <x:c r="R1094" s="53"/>
      <x:c r="S1094" s="53"/>
      <x:c r="T1094" s="53"/>
      <x:c r="U1094" s="53"/>
      <x:c r="V1094" s="53"/>
      <x:c r="W1094" s="53"/>
      <x:c r="X1094" s="53"/>
      <x:c r="Y1094" s="53"/>
      <x:c r="Z1094" s="53"/>
      <x:c r="AA1094" s="53"/>
      <x:c r="AB1094" s="53"/>
      <x:c r="AC1094" s="53"/>
      <x:c r="AD1094" s="53"/>
      <x:c r="AE1094" s="53"/>
      <x:c r="AF1094" s="53"/>
    </x:row>
    <x:row r="1095">
      <x:c r="A1095" s="53"/>
      <x:c r="B1095" s="53"/>
      <x:c r="C1095" s="53"/>
      <x:c r="D1095" s="53"/>
      <x:c r="E1095" s="53"/>
      <x:c r="F1095" s="53"/>
      <x:c r="G1095" s="53"/>
      <x:c r="H1095" s="53"/>
      <x:c r="I1095" s="53"/>
      <x:c r="J1095" s="53"/>
      <x:c r="K1095" s="53"/>
      <x:c r="L1095" s="53"/>
      <x:c r="M1095" s="53"/>
      <x:c r="N1095" s="53"/>
      <x:c r="O1095" s="53"/>
      <x:c r="P1095" s="53"/>
      <x:c r="Q1095" s="53"/>
      <x:c r="R1095" s="53"/>
      <x:c r="S1095" s="53"/>
      <x:c r="T1095" s="53"/>
      <x:c r="U1095" s="53"/>
      <x:c r="V1095" s="53"/>
      <x:c r="W1095" s="53"/>
      <x:c r="X1095" s="53"/>
      <x:c r="Y1095" s="53"/>
      <x:c r="Z1095" s="53"/>
      <x:c r="AA1095" s="53"/>
      <x:c r="AB1095" s="53"/>
      <x:c r="AC1095" s="53"/>
      <x:c r="AD1095" s="53"/>
      <x:c r="AE1095" s="53"/>
      <x:c r="AF1095" s="53"/>
    </x:row>
    <x:row r="1096">
      <x:c r="A1096" s="53"/>
      <x:c r="B1096" s="53"/>
      <x:c r="C1096" s="53"/>
      <x:c r="D1096" s="53"/>
      <x:c r="E1096" s="53"/>
      <x:c r="F1096" s="53"/>
      <x:c r="G1096" s="53"/>
      <x:c r="H1096" s="53"/>
      <x:c r="I1096" s="53"/>
      <x:c r="J1096" s="53"/>
      <x:c r="K1096" s="53"/>
      <x:c r="L1096" s="53"/>
      <x:c r="M1096" s="53"/>
      <x:c r="N1096" s="53"/>
      <x:c r="O1096" s="53"/>
      <x:c r="P1096" s="53"/>
      <x:c r="Q1096" s="53"/>
      <x:c r="R1096" s="53"/>
      <x:c r="S1096" s="53"/>
      <x:c r="T1096" s="53"/>
      <x:c r="U1096" s="53"/>
      <x:c r="V1096" s="53"/>
      <x:c r="W1096" s="53"/>
      <x:c r="X1096" s="53"/>
      <x:c r="Y1096" s="53"/>
      <x:c r="Z1096" s="53"/>
      <x:c r="AA1096" s="53"/>
      <x:c r="AB1096" s="53"/>
      <x:c r="AC1096" s="53"/>
      <x:c r="AD1096" s="53"/>
      <x:c r="AE1096" s="53"/>
      <x:c r="AF1096" s="53"/>
    </x:row>
    <x:row r="1097">
      <x:c r="A1097" s="53"/>
      <x:c r="B1097" s="53"/>
      <x:c r="C1097" s="53"/>
      <x:c r="D1097" s="53"/>
      <x:c r="E1097" s="53"/>
      <x:c r="F1097" s="53"/>
      <x:c r="G1097" s="53"/>
      <x:c r="H1097" s="53"/>
      <x:c r="I1097" s="53"/>
      <x:c r="J1097" s="53"/>
      <x:c r="K1097" s="53"/>
      <x:c r="L1097" s="53"/>
      <x:c r="M1097" s="53"/>
      <x:c r="N1097" s="53"/>
      <x:c r="O1097" s="53"/>
      <x:c r="P1097" s="53"/>
      <x:c r="Q1097" s="53"/>
      <x:c r="R1097" s="53"/>
      <x:c r="S1097" s="53"/>
      <x:c r="T1097" s="53"/>
      <x:c r="U1097" s="53"/>
      <x:c r="V1097" s="53"/>
      <x:c r="W1097" s="53"/>
      <x:c r="X1097" s="53"/>
      <x:c r="Y1097" s="53"/>
      <x:c r="Z1097" s="53"/>
      <x:c r="AA1097" s="53"/>
      <x:c r="AB1097" s="53"/>
      <x:c r="AC1097" s="53"/>
      <x:c r="AD1097" s="53"/>
      <x:c r="AE1097" s="53"/>
      <x:c r="AF1097" s="53"/>
    </x:row>
    <x:row r="1098">
      <x:c r="A1098" s="53"/>
      <x:c r="B1098" s="53"/>
      <x:c r="C1098" s="53"/>
      <x:c r="D1098" s="53"/>
      <x:c r="E1098" s="53"/>
      <x:c r="F1098" s="53"/>
      <x:c r="G1098" s="53"/>
      <x:c r="H1098" s="53"/>
      <x:c r="I1098" s="53"/>
      <x:c r="J1098" s="53"/>
      <x:c r="K1098" s="53"/>
      <x:c r="L1098" s="53"/>
      <x:c r="M1098" s="53"/>
      <x:c r="N1098" s="53"/>
      <x:c r="O1098" s="53"/>
      <x:c r="P1098" s="53"/>
      <x:c r="Q1098" s="53"/>
      <x:c r="R1098" s="53"/>
      <x:c r="S1098" s="53"/>
      <x:c r="T1098" s="53"/>
      <x:c r="U1098" s="53"/>
      <x:c r="V1098" s="53"/>
      <x:c r="W1098" s="53"/>
      <x:c r="X1098" s="53"/>
      <x:c r="Y1098" s="53"/>
      <x:c r="Z1098" s="53"/>
      <x:c r="AA1098" s="53"/>
      <x:c r="AB1098" s="53"/>
      <x:c r="AC1098" s="53"/>
      <x:c r="AD1098" s="53"/>
      <x:c r="AE1098" s="53"/>
      <x:c r="AF1098" s="53"/>
    </x:row>
    <x:row r="1099">
      <x:c r="A1099" s="53"/>
      <x:c r="B1099" s="53"/>
      <x:c r="C1099" s="53"/>
      <x:c r="D1099" s="53"/>
      <x:c r="E1099" s="53"/>
      <x:c r="F1099" s="53"/>
      <x:c r="G1099" s="53"/>
      <x:c r="H1099" s="53"/>
      <x:c r="I1099" s="53"/>
      <x:c r="J1099" s="53"/>
      <x:c r="K1099" s="53"/>
      <x:c r="L1099" s="53"/>
      <x:c r="M1099" s="53"/>
      <x:c r="N1099" s="53"/>
      <x:c r="O1099" s="53"/>
      <x:c r="P1099" s="53"/>
      <x:c r="Q1099" s="53"/>
      <x:c r="R1099" s="53"/>
      <x:c r="S1099" s="53"/>
      <x:c r="T1099" s="53"/>
      <x:c r="U1099" s="53"/>
      <x:c r="V1099" s="53"/>
      <x:c r="W1099" s="53"/>
      <x:c r="X1099" s="53"/>
      <x:c r="Y1099" s="53"/>
      <x:c r="Z1099" s="53"/>
      <x:c r="AA1099" s="53"/>
      <x:c r="AB1099" s="53"/>
      <x:c r="AC1099" s="53"/>
      <x:c r="AD1099" s="53"/>
      <x:c r="AE1099" s="53"/>
      <x:c r="AF1099" s="53"/>
    </x:row>
    <x:row r="1100">
      <x:c r="A1100" s="53"/>
      <x:c r="B1100" s="53"/>
      <x:c r="C1100" s="53"/>
      <x:c r="D1100" s="53"/>
      <x:c r="E1100" s="53"/>
      <x:c r="F1100" s="53"/>
      <x:c r="G1100" s="53"/>
      <x:c r="H1100" s="53"/>
      <x:c r="I1100" s="53"/>
      <x:c r="J1100" s="53"/>
      <x:c r="K1100" s="53"/>
      <x:c r="L1100" s="53"/>
      <x:c r="M1100" s="53"/>
      <x:c r="N1100" s="53"/>
      <x:c r="O1100" s="53"/>
      <x:c r="P1100" s="53"/>
      <x:c r="Q1100" s="53"/>
      <x:c r="R1100" s="53"/>
      <x:c r="S1100" s="53"/>
      <x:c r="T1100" s="53"/>
      <x:c r="U1100" s="53"/>
      <x:c r="V1100" s="53"/>
      <x:c r="W1100" s="53"/>
      <x:c r="X1100" s="53"/>
      <x:c r="Y1100" s="53"/>
      <x:c r="Z1100" s="53"/>
      <x:c r="AA1100" s="53"/>
      <x:c r="AB1100" s="53"/>
      <x:c r="AC1100" s="53"/>
      <x:c r="AD1100" s="53"/>
      <x:c r="AE1100" s="53"/>
      <x:c r="AF1100" s="53"/>
    </x:row>
    <x:row r="1101">
      <x:c r="A1101" s="53"/>
      <x:c r="B1101" s="53"/>
      <x:c r="C1101" s="53"/>
      <x:c r="D1101" s="53"/>
      <x:c r="E1101" s="53"/>
      <x:c r="F1101" s="53"/>
      <x:c r="G1101" s="53"/>
      <x:c r="H1101" s="53"/>
      <x:c r="I1101" s="53"/>
      <x:c r="J1101" s="53"/>
      <x:c r="K1101" s="53"/>
      <x:c r="L1101" s="53"/>
      <x:c r="M1101" s="53"/>
      <x:c r="N1101" s="53"/>
      <x:c r="O1101" s="53"/>
      <x:c r="P1101" s="53"/>
      <x:c r="Q1101" s="53"/>
      <x:c r="R1101" s="53"/>
      <x:c r="S1101" s="53"/>
      <x:c r="T1101" s="53"/>
      <x:c r="U1101" s="53"/>
      <x:c r="V1101" s="53"/>
      <x:c r="W1101" s="53"/>
      <x:c r="X1101" s="53"/>
      <x:c r="Y1101" s="53"/>
      <x:c r="Z1101" s="53"/>
      <x:c r="AA1101" s="53"/>
      <x:c r="AB1101" s="53"/>
      <x:c r="AC1101" s="53"/>
      <x:c r="AD1101" s="53"/>
      <x:c r="AE1101" s="53"/>
      <x:c r="AF1101" s="53"/>
    </x:row>
    <x:row r="1102">
      <x:c r="A1102" s="53"/>
      <x:c r="B1102" s="53"/>
      <x:c r="C1102" s="53"/>
      <x:c r="D1102" s="53"/>
      <x:c r="E1102" s="53"/>
      <x:c r="F1102" s="53"/>
      <x:c r="G1102" s="53"/>
      <x:c r="H1102" s="53"/>
      <x:c r="I1102" s="53"/>
      <x:c r="J1102" s="53"/>
      <x:c r="K1102" s="53"/>
      <x:c r="L1102" s="53"/>
      <x:c r="M1102" s="53"/>
      <x:c r="N1102" s="53"/>
      <x:c r="O1102" s="53"/>
      <x:c r="P1102" s="53"/>
      <x:c r="Q1102" s="53"/>
      <x:c r="R1102" s="53"/>
      <x:c r="S1102" s="53"/>
      <x:c r="T1102" s="53"/>
      <x:c r="U1102" s="53"/>
      <x:c r="V1102" s="53"/>
      <x:c r="W1102" s="53"/>
      <x:c r="X1102" s="53"/>
      <x:c r="Y1102" s="53"/>
      <x:c r="Z1102" s="53"/>
      <x:c r="AA1102" s="53"/>
      <x:c r="AB1102" s="53"/>
      <x:c r="AC1102" s="53"/>
      <x:c r="AD1102" s="53"/>
      <x:c r="AE1102" s="53"/>
      <x:c r="AF1102" s="53"/>
    </x:row>
    <x:row r="1103">
      <x:c r="A1103" s="53"/>
      <x:c r="B1103" s="53"/>
      <x:c r="C1103" s="53"/>
      <x:c r="D1103" s="53"/>
      <x:c r="E1103" s="53"/>
      <x:c r="F1103" s="53"/>
      <x:c r="G1103" s="53"/>
      <x:c r="H1103" s="53"/>
      <x:c r="I1103" s="53"/>
      <x:c r="J1103" s="53"/>
      <x:c r="K1103" s="53"/>
      <x:c r="L1103" s="53"/>
      <x:c r="M1103" s="53"/>
      <x:c r="N1103" s="53"/>
      <x:c r="O1103" s="53"/>
      <x:c r="P1103" s="53"/>
      <x:c r="Q1103" s="53"/>
      <x:c r="R1103" s="53"/>
      <x:c r="S1103" s="53"/>
      <x:c r="T1103" s="53"/>
      <x:c r="U1103" s="53"/>
      <x:c r="V1103" s="53"/>
      <x:c r="W1103" s="53"/>
      <x:c r="X1103" s="53"/>
      <x:c r="Y1103" s="53"/>
      <x:c r="Z1103" s="53"/>
      <x:c r="AA1103" s="53"/>
      <x:c r="AB1103" s="53"/>
      <x:c r="AC1103" s="53"/>
      <x:c r="AD1103" s="53"/>
      <x:c r="AE1103" s="53"/>
      <x:c r="AF1103" s="53"/>
    </x:row>
    <x:row r="1104">
      <x:c r="A1104" s="53"/>
      <x:c r="B1104" s="53"/>
      <x:c r="C1104" s="53"/>
      <x:c r="D1104" s="53"/>
      <x:c r="E1104" s="53"/>
      <x:c r="F1104" s="53"/>
      <x:c r="G1104" s="53"/>
      <x:c r="H1104" s="53"/>
      <x:c r="I1104" s="53"/>
      <x:c r="J1104" s="53"/>
      <x:c r="K1104" s="53"/>
      <x:c r="L1104" s="53"/>
      <x:c r="M1104" s="53"/>
      <x:c r="N1104" s="53"/>
      <x:c r="O1104" s="53"/>
      <x:c r="P1104" s="53"/>
      <x:c r="Q1104" s="53"/>
      <x:c r="R1104" s="53"/>
      <x:c r="S1104" s="53"/>
      <x:c r="T1104" s="53"/>
      <x:c r="U1104" s="53"/>
      <x:c r="V1104" s="53"/>
      <x:c r="W1104" s="53"/>
      <x:c r="X1104" s="53"/>
      <x:c r="Y1104" s="53"/>
      <x:c r="Z1104" s="53"/>
      <x:c r="AA1104" s="53"/>
      <x:c r="AB1104" s="53"/>
      <x:c r="AC1104" s="53"/>
      <x:c r="AD1104" s="53"/>
      <x:c r="AE1104" s="53"/>
      <x:c r="AF1104" s="53"/>
    </x:row>
    <x:row r="1105">
      <x:c r="A1105" s="53"/>
      <x:c r="B1105" s="53"/>
      <x:c r="C1105" s="53"/>
      <x:c r="D1105" s="53"/>
      <x:c r="E1105" s="53"/>
      <x:c r="F1105" s="53"/>
      <x:c r="G1105" s="53"/>
      <x:c r="H1105" s="53"/>
      <x:c r="I1105" s="53"/>
      <x:c r="J1105" s="53"/>
      <x:c r="K1105" s="53"/>
      <x:c r="L1105" s="53"/>
      <x:c r="M1105" s="53"/>
      <x:c r="N1105" s="53"/>
      <x:c r="O1105" s="53"/>
      <x:c r="P1105" s="53"/>
      <x:c r="Q1105" s="53"/>
      <x:c r="R1105" s="53"/>
      <x:c r="S1105" s="53"/>
      <x:c r="T1105" s="53"/>
      <x:c r="U1105" s="53"/>
      <x:c r="V1105" s="53"/>
      <x:c r="W1105" s="53"/>
      <x:c r="X1105" s="53"/>
      <x:c r="Y1105" s="53"/>
      <x:c r="Z1105" s="53"/>
      <x:c r="AA1105" s="53"/>
      <x:c r="AB1105" s="53"/>
      <x:c r="AC1105" s="53"/>
      <x:c r="AD1105" s="53"/>
      <x:c r="AE1105" s="53"/>
      <x:c r="AF1105" s="53"/>
    </x:row>
    <x:row r="1106">
      <x:c r="A1106" s="53"/>
      <x:c r="B1106" s="53"/>
      <x:c r="C1106" s="53"/>
      <x:c r="D1106" s="53"/>
      <x:c r="E1106" s="53"/>
      <x:c r="F1106" s="53"/>
      <x:c r="G1106" s="53"/>
      <x:c r="H1106" s="53"/>
      <x:c r="I1106" s="53"/>
      <x:c r="J1106" s="53"/>
      <x:c r="K1106" s="53"/>
      <x:c r="L1106" s="53"/>
      <x:c r="M1106" s="53"/>
      <x:c r="N1106" s="53"/>
      <x:c r="O1106" s="53"/>
      <x:c r="P1106" s="53"/>
      <x:c r="Q1106" s="53"/>
      <x:c r="R1106" s="53"/>
      <x:c r="S1106" s="53"/>
      <x:c r="T1106" s="53"/>
      <x:c r="U1106" s="53"/>
      <x:c r="V1106" s="53"/>
      <x:c r="W1106" s="53"/>
      <x:c r="X1106" s="53"/>
      <x:c r="Y1106" s="53"/>
      <x:c r="Z1106" s="53"/>
      <x:c r="AA1106" s="53"/>
      <x:c r="AB1106" s="53"/>
      <x:c r="AC1106" s="53"/>
      <x:c r="AD1106" s="53"/>
      <x:c r="AE1106" s="53"/>
      <x:c r="AF1106" s="53"/>
    </x:row>
    <x:row r="1107">
      <x:c r="A1107" s="53"/>
      <x:c r="B1107" s="53"/>
      <x:c r="C1107" s="53"/>
      <x:c r="D1107" s="53"/>
      <x:c r="E1107" s="53"/>
      <x:c r="F1107" s="53"/>
      <x:c r="G1107" s="53"/>
      <x:c r="H1107" s="53"/>
      <x:c r="I1107" s="53"/>
      <x:c r="J1107" s="53"/>
      <x:c r="K1107" s="53"/>
      <x:c r="L1107" s="53"/>
      <x:c r="M1107" s="53"/>
      <x:c r="N1107" s="53"/>
      <x:c r="O1107" s="53"/>
      <x:c r="P1107" s="53"/>
      <x:c r="Q1107" s="53"/>
      <x:c r="R1107" s="53"/>
      <x:c r="S1107" s="53"/>
      <x:c r="T1107" s="53"/>
      <x:c r="U1107" s="53"/>
      <x:c r="V1107" s="53"/>
      <x:c r="W1107" s="53"/>
      <x:c r="X1107" s="53"/>
      <x:c r="Y1107" s="53"/>
      <x:c r="Z1107" s="53"/>
      <x:c r="AA1107" s="53"/>
      <x:c r="AB1107" s="53"/>
      <x:c r="AC1107" s="53"/>
      <x:c r="AD1107" s="53"/>
      <x:c r="AE1107" s="53"/>
      <x:c r="AF1107" s="53"/>
    </x:row>
    <x:row r="1108">
      <x:c r="A1108" s="53"/>
      <x:c r="B1108" s="53"/>
      <x:c r="C1108" s="53"/>
      <x:c r="D1108" s="53"/>
      <x:c r="E1108" s="53"/>
      <x:c r="F1108" s="53"/>
      <x:c r="G1108" s="53"/>
      <x:c r="H1108" s="53"/>
      <x:c r="I1108" s="53"/>
      <x:c r="J1108" s="53"/>
      <x:c r="K1108" s="53"/>
      <x:c r="L1108" s="53"/>
      <x:c r="M1108" s="53"/>
      <x:c r="N1108" s="53"/>
      <x:c r="O1108" s="53"/>
      <x:c r="P1108" s="53"/>
      <x:c r="Q1108" s="53"/>
      <x:c r="R1108" s="53"/>
      <x:c r="S1108" s="53"/>
      <x:c r="T1108" s="53"/>
      <x:c r="U1108" s="53"/>
      <x:c r="V1108" s="53"/>
      <x:c r="W1108" s="53"/>
      <x:c r="X1108" s="53"/>
      <x:c r="Y1108" s="53"/>
      <x:c r="Z1108" s="53"/>
      <x:c r="AA1108" s="53"/>
      <x:c r="AB1108" s="53"/>
      <x:c r="AC1108" s="53"/>
      <x:c r="AD1108" s="53"/>
      <x:c r="AE1108" s="53"/>
      <x:c r="AF1108" s="53"/>
    </x:row>
    <x:row r="1109">
      <x:c r="A1109" s="53"/>
      <x:c r="B1109" s="53"/>
      <x:c r="C1109" s="53"/>
      <x:c r="D1109" s="53"/>
      <x:c r="E1109" s="53"/>
      <x:c r="F1109" s="53"/>
      <x:c r="G1109" s="53"/>
      <x:c r="H1109" s="53"/>
      <x:c r="I1109" s="53"/>
      <x:c r="J1109" s="53"/>
      <x:c r="K1109" s="53"/>
      <x:c r="L1109" s="53"/>
      <x:c r="M1109" s="53"/>
      <x:c r="N1109" s="53"/>
      <x:c r="O1109" s="53"/>
      <x:c r="P1109" s="53"/>
      <x:c r="Q1109" s="53"/>
      <x:c r="R1109" s="53"/>
      <x:c r="S1109" s="53"/>
      <x:c r="T1109" s="53"/>
      <x:c r="U1109" s="53"/>
      <x:c r="V1109" s="53"/>
      <x:c r="W1109" s="53"/>
      <x:c r="X1109" s="53"/>
      <x:c r="Y1109" s="53"/>
      <x:c r="Z1109" s="53"/>
      <x:c r="AA1109" s="53"/>
      <x:c r="AB1109" s="53"/>
      <x:c r="AC1109" s="53"/>
      <x:c r="AD1109" s="53"/>
      <x:c r="AE1109" s="53"/>
      <x:c r="AF1109" s="53"/>
    </x:row>
    <x:row r="1110">
      <x:c r="A1110" s="53"/>
      <x:c r="B1110" s="53"/>
      <x:c r="C1110" s="53"/>
      <x:c r="D1110" s="53"/>
      <x:c r="E1110" s="53"/>
      <x:c r="F1110" s="53"/>
      <x:c r="G1110" s="53"/>
      <x:c r="H1110" s="53"/>
      <x:c r="I1110" s="53"/>
      <x:c r="J1110" s="53"/>
      <x:c r="K1110" s="53"/>
      <x:c r="L1110" s="53"/>
      <x:c r="M1110" s="53"/>
      <x:c r="N1110" s="53"/>
      <x:c r="O1110" s="53"/>
      <x:c r="P1110" s="53"/>
      <x:c r="Q1110" s="53"/>
      <x:c r="R1110" s="53"/>
      <x:c r="S1110" s="53"/>
      <x:c r="T1110" s="53"/>
      <x:c r="U1110" s="53"/>
      <x:c r="V1110" s="53"/>
      <x:c r="W1110" s="53"/>
      <x:c r="X1110" s="53"/>
      <x:c r="Y1110" s="53"/>
      <x:c r="Z1110" s="53"/>
      <x:c r="AA1110" s="53"/>
      <x:c r="AB1110" s="53"/>
      <x:c r="AC1110" s="53"/>
      <x:c r="AD1110" s="53"/>
      <x:c r="AE1110" s="53"/>
      <x:c r="AF1110" s="53"/>
    </x:row>
    <x:row r="1111">
      <x:c r="A1111" s="53"/>
      <x:c r="B1111" s="53"/>
      <x:c r="C1111" s="53"/>
      <x:c r="D1111" s="53"/>
      <x:c r="E1111" s="53"/>
      <x:c r="F1111" s="53"/>
      <x:c r="G1111" s="53"/>
      <x:c r="H1111" s="53"/>
      <x:c r="I1111" s="53"/>
      <x:c r="J1111" s="53"/>
      <x:c r="K1111" s="53"/>
      <x:c r="L1111" s="53"/>
      <x:c r="M1111" s="53"/>
      <x:c r="N1111" s="53"/>
      <x:c r="O1111" s="53"/>
      <x:c r="P1111" s="53"/>
      <x:c r="Q1111" s="53"/>
      <x:c r="R1111" s="53"/>
      <x:c r="S1111" s="53"/>
      <x:c r="T1111" s="53"/>
      <x:c r="U1111" s="53"/>
      <x:c r="V1111" s="53"/>
      <x:c r="W1111" s="53"/>
      <x:c r="X1111" s="53"/>
      <x:c r="Y1111" s="53"/>
      <x:c r="Z1111" s="53"/>
      <x:c r="AA1111" s="53"/>
      <x:c r="AB1111" s="53"/>
      <x:c r="AC1111" s="53"/>
      <x:c r="AD1111" s="53"/>
      <x:c r="AE1111" s="53"/>
      <x:c r="AF1111" s="53"/>
    </x:row>
    <x:row r="1112">
      <x:c r="A1112" s="53"/>
      <x:c r="B1112" s="53"/>
      <x:c r="C1112" s="53"/>
      <x:c r="D1112" s="53"/>
      <x:c r="E1112" s="53"/>
      <x:c r="F1112" s="53"/>
      <x:c r="G1112" s="53"/>
      <x:c r="H1112" s="53"/>
      <x:c r="I1112" s="53"/>
      <x:c r="J1112" s="53"/>
      <x:c r="K1112" s="53"/>
      <x:c r="L1112" s="53"/>
      <x:c r="M1112" s="53"/>
      <x:c r="N1112" s="53"/>
      <x:c r="O1112" s="53"/>
      <x:c r="P1112" s="53"/>
      <x:c r="Q1112" s="53"/>
      <x:c r="R1112" s="53"/>
      <x:c r="S1112" s="53"/>
      <x:c r="T1112" s="53"/>
      <x:c r="U1112" s="53"/>
      <x:c r="V1112" s="53"/>
      <x:c r="W1112" s="53"/>
      <x:c r="X1112" s="53"/>
      <x:c r="Y1112" s="53"/>
      <x:c r="Z1112" s="53"/>
      <x:c r="AA1112" s="53"/>
      <x:c r="AB1112" s="53"/>
      <x:c r="AC1112" s="53"/>
      <x:c r="AD1112" s="53"/>
      <x:c r="AE1112" s="53"/>
      <x:c r="AF1112" s="53"/>
    </x:row>
    <x:row r="1113">
      <x:c r="A1113" s="53"/>
      <x:c r="B1113" s="53"/>
      <x:c r="C1113" s="53"/>
      <x:c r="D1113" s="53"/>
      <x:c r="E1113" s="53"/>
      <x:c r="F1113" s="53"/>
      <x:c r="G1113" s="53"/>
      <x:c r="H1113" s="53"/>
      <x:c r="I1113" s="53"/>
      <x:c r="J1113" s="53"/>
      <x:c r="K1113" s="53"/>
      <x:c r="L1113" s="53"/>
      <x:c r="M1113" s="53"/>
      <x:c r="N1113" s="53"/>
      <x:c r="O1113" s="53"/>
      <x:c r="P1113" s="53"/>
      <x:c r="Q1113" s="53"/>
      <x:c r="R1113" s="53"/>
      <x:c r="S1113" s="53"/>
      <x:c r="T1113" s="53"/>
      <x:c r="U1113" s="53"/>
      <x:c r="V1113" s="53"/>
      <x:c r="W1113" s="53"/>
      <x:c r="X1113" s="53"/>
      <x:c r="Y1113" s="53"/>
      <x:c r="Z1113" s="53"/>
      <x:c r="AA1113" s="53"/>
      <x:c r="AB1113" s="53"/>
      <x:c r="AC1113" s="53"/>
      <x:c r="AD1113" s="53"/>
      <x:c r="AE1113" s="53"/>
      <x:c r="AF1113" s="53"/>
    </x:row>
    <x:row r="1114">
      <x:c r="A1114" s="53"/>
      <x:c r="B1114" s="53"/>
      <x:c r="C1114" s="53"/>
      <x:c r="D1114" s="53"/>
      <x:c r="E1114" s="53"/>
      <x:c r="F1114" s="53"/>
      <x:c r="G1114" s="53"/>
      <x:c r="H1114" s="53"/>
      <x:c r="I1114" s="53"/>
      <x:c r="J1114" s="53"/>
      <x:c r="K1114" s="53"/>
      <x:c r="L1114" s="53"/>
      <x:c r="M1114" s="53"/>
      <x:c r="N1114" s="53"/>
      <x:c r="O1114" s="53"/>
      <x:c r="P1114" s="53"/>
      <x:c r="Q1114" s="53"/>
      <x:c r="R1114" s="53"/>
      <x:c r="S1114" s="53"/>
      <x:c r="T1114" s="53"/>
      <x:c r="U1114" s="53"/>
      <x:c r="V1114" s="53"/>
      <x:c r="W1114" s="53"/>
      <x:c r="X1114" s="53"/>
      <x:c r="Y1114" s="53"/>
      <x:c r="Z1114" s="53"/>
      <x:c r="AA1114" s="53"/>
      <x:c r="AB1114" s="53"/>
      <x:c r="AC1114" s="53"/>
      <x:c r="AD1114" s="53"/>
      <x:c r="AE1114" s="53"/>
      <x:c r="AF1114" s="53"/>
    </x:row>
    <x:row r="1115">
      <x:c r="A1115" s="53"/>
      <x:c r="B1115" s="53"/>
      <x:c r="C1115" s="53"/>
      <x:c r="D1115" s="53"/>
      <x:c r="E1115" s="53"/>
      <x:c r="F1115" s="53"/>
      <x:c r="G1115" s="53"/>
      <x:c r="H1115" s="53"/>
      <x:c r="I1115" s="53"/>
      <x:c r="J1115" s="53"/>
      <x:c r="K1115" s="53"/>
      <x:c r="L1115" s="53"/>
      <x:c r="M1115" s="53"/>
      <x:c r="N1115" s="53"/>
      <x:c r="O1115" s="53"/>
      <x:c r="P1115" s="53"/>
      <x:c r="Q1115" s="53"/>
      <x:c r="R1115" s="53"/>
      <x:c r="S1115" s="53"/>
      <x:c r="T1115" s="53"/>
      <x:c r="U1115" s="53"/>
      <x:c r="V1115" s="53"/>
      <x:c r="W1115" s="53"/>
      <x:c r="X1115" s="53"/>
      <x:c r="Y1115" s="53"/>
      <x:c r="Z1115" s="53"/>
      <x:c r="AA1115" s="53"/>
      <x:c r="AB1115" s="53"/>
      <x:c r="AC1115" s="53"/>
      <x:c r="AD1115" s="53"/>
      <x:c r="AE1115" s="53"/>
      <x:c r="AF1115" s="53"/>
    </x:row>
    <x:row r="1116">
      <x:c r="A1116" s="53"/>
      <x:c r="B1116" s="53"/>
      <x:c r="C1116" s="53"/>
      <x:c r="D1116" s="53"/>
      <x:c r="E1116" s="53"/>
      <x:c r="F1116" s="53"/>
      <x:c r="G1116" s="53"/>
      <x:c r="H1116" s="53"/>
      <x:c r="I1116" s="53"/>
      <x:c r="J1116" s="53"/>
      <x:c r="K1116" s="53"/>
      <x:c r="L1116" s="53"/>
      <x:c r="M1116" s="53"/>
      <x:c r="N1116" s="53"/>
      <x:c r="O1116" s="53"/>
      <x:c r="P1116" s="53"/>
      <x:c r="Q1116" s="53"/>
      <x:c r="R1116" s="53"/>
      <x:c r="S1116" s="53"/>
      <x:c r="T1116" s="53"/>
      <x:c r="U1116" s="53"/>
      <x:c r="V1116" s="53"/>
      <x:c r="W1116" s="53"/>
      <x:c r="X1116" s="53"/>
      <x:c r="Y1116" s="53"/>
      <x:c r="Z1116" s="53"/>
      <x:c r="AA1116" s="53"/>
      <x:c r="AB1116" s="53"/>
      <x:c r="AC1116" s="53"/>
      <x:c r="AD1116" s="53"/>
      <x:c r="AE1116" s="53"/>
      <x:c r="AF1116" s="53"/>
    </x:row>
    <x:row r="1117">
      <x:c r="A1117" s="53"/>
      <x:c r="B1117" s="53"/>
      <x:c r="C1117" s="53"/>
      <x:c r="D1117" s="53"/>
      <x:c r="E1117" s="53"/>
      <x:c r="F1117" s="53"/>
      <x:c r="G1117" s="53"/>
      <x:c r="H1117" s="53"/>
      <x:c r="I1117" s="53"/>
      <x:c r="J1117" s="53"/>
      <x:c r="K1117" s="53"/>
      <x:c r="L1117" s="53"/>
      <x:c r="M1117" s="53"/>
      <x:c r="N1117" s="53"/>
      <x:c r="O1117" s="53"/>
      <x:c r="P1117" s="53"/>
      <x:c r="Q1117" s="53"/>
      <x:c r="R1117" s="53"/>
      <x:c r="S1117" s="53"/>
      <x:c r="T1117" s="53"/>
      <x:c r="U1117" s="53"/>
      <x:c r="V1117" s="53"/>
      <x:c r="W1117" s="53"/>
      <x:c r="X1117" s="53"/>
      <x:c r="Y1117" s="53"/>
      <x:c r="Z1117" s="53"/>
      <x:c r="AA1117" s="53"/>
      <x:c r="AB1117" s="53"/>
      <x:c r="AC1117" s="53"/>
      <x:c r="AD1117" s="53"/>
      <x:c r="AE1117" s="53"/>
      <x:c r="AF1117" s="53"/>
    </x:row>
    <x:row r="1118">
      <x:c r="A1118" s="53"/>
      <x:c r="B1118" s="53"/>
      <x:c r="C1118" s="53"/>
      <x:c r="D1118" s="53"/>
      <x:c r="E1118" s="53"/>
      <x:c r="F1118" s="53"/>
      <x:c r="G1118" s="53"/>
      <x:c r="H1118" s="53"/>
      <x:c r="I1118" s="53"/>
      <x:c r="J1118" s="53"/>
      <x:c r="K1118" s="53"/>
      <x:c r="L1118" s="53"/>
      <x:c r="M1118" s="53"/>
      <x:c r="N1118" s="53"/>
      <x:c r="O1118" s="53"/>
      <x:c r="P1118" s="53"/>
      <x:c r="Q1118" s="53"/>
      <x:c r="R1118" s="53"/>
      <x:c r="S1118" s="53"/>
      <x:c r="T1118" s="53"/>
      <x:c r="U1118" s="53"/>
      <x:c r="V1118" s="53"/>
      <x:c r="W1118" s="53"/>
      <x:c r="X1118" s="53"/>
      <x:c r="Y1118" s="53"/>
      <x:c r="Z1118" s="53"/>
      <x:c r="AA1118" s="53"/>
      <x:c r="AB1118" s="53"/>
      <x:c r="AC1118" s="53"/>
      <x:c r="AD1118" s="53"/>
      <x:c r="AE1118" s="53"/>
      <x:c r="AF1118" s="53"/>
    </x:row>
    <x:row r="1119">
      <x:c r="A1119" s="53"/>
      <x:c r="B1119" s="53"/>
      <x:c r="C1119" s="53"/>
      <x:c r="D1119" s="53"/>
      <x:c r="E1119" s="53"/>
      <x:c r="F1119" s="53"/>
      <x:c r="G1119" s="53"/>
      <x:c r="H1119" s="53"/>
      <x:c r="I1119" s="53"/>
      <x:c r="J1119" s="53"/>
      <x:c r="K1119" s="53"/>
      <x:c r="L1119" s="53"/>
      <x:c r="M1119" s="53"/>
      <x:c r="N1119" s="53"/>
      <x:c r="O1119" s="53"/>
      <x:c r="P1119" s="53"/>
      <x:c r="Q1119" s="53"/>
      <x:c r="R1119" s="53"/>
      <x:c r="S1119" s="53"/>
      <x:c r="T1119" s="53"/>
      <x:c r="U1119" s="53"/>
      <x:c r="V1119" s="53"/>
      <x:c r="W1119" s="53"/>
      <x:c r="X1119" s="53"/>
      <x:c r="Y1119" s="53"/>
      <x:c r="Z1119" s="53"/>
      <x:c r="AA1119" s="53"/>
      <x:c r="AB1119" s="53"/>
      <x:c r="AC1119" s="53"/>
      <x:c r="AD1119" s="53"/>
      <x:c r="AE1119" s="53"/>
      <x:c r="AF1119" s="53"/>
    </x:row>
    <x:row r="1120">
      <x:c r="A1120" s="53"/>
      <x:c r="B1120" s="53"/>
      <x:c r="C1120" s="53"/>
      <x:c r="D1120" s="53"/>
      <x:c r="E1120" s="53"/>
      <x:c r="F1120" s="53"/>
      <x:c r="G1120" s="53"/>
      <x:c r="H1120" s="53"/>
      <x:c r="I1120" s="53"/>
      <x:c r="J1120" s="53"/>
      <x:c r="K1120" s="53"/>
      <x:c r="L1120" s="53"/>
      <x:c r="M1120" s="53"/>
      <x:c r="N1120" s="53"/>
      <x:c r="O1120" s="53"/>
      <x:c r="P1120" s="53"/>
      <x:c r="Q1120" s="53"/>
      <x:c r="R1120" s="53"/>
      <x:c r="S1120" s="53"/>
      <x:c r="T1120" s="53"/>
      <x:c r="U1120" s="53"/>
      <x:c r="V1120" s="53"/>
      <x:c r="W1120" s="53"/>
      <x:c r="X1120" s="53"/>
      <x:c r="Y1120" s="53"/>
      <x:c r="Z1120" s="53"/>
      <x:c r="AA1120" s="53"/>
      <x:c r="AB1120" s="53"/>
      <x:c r="AC1120" s="53"/>
      <x:c r="AD1120" s="53"/>
      <x:c r="AE1120" s="53"/>
      <x:c r="AF1120" s="53"/>
    </x:row>
    <x:row r="1121">
      <x:c r="A1121" s="53"/>
      <x:c r="B1121" s="53"/>
      <x:c r="C1121" s="53"/>
      <x:c r="D1121" s="53"/>
      <x:c r="E1121" s="53"/>
      <x:c r="F1121" s="53"/>
      <x:c r="G1121" s="53"/>
      <x:c r="H1121" s="53"/>
      <x:c r="I1121" s="53"/>
      <x:c r="J1121" s="53"/>
      <x:c r="K1121" s="53"/>
      <x:c r="L1121" s="53"/>
      <x:c r="M1121" s="53"/>
      <x:c r="N1121" s="53"/>
      <x:c r="O1121" s="53"/>
      <x:c r="P1121" s="53"/>
      <x:c r="Q1121" s="53"/>
      <x:c r="R1121" s="53"/>
      <x:c r="S1121" s="53"/>
      <x:c r="T1121" s="53"/>
      <x:c r="U1121" s="53"/>
      <x:c r="V1121" s="53"/>
      <x:c r="W1121" s="53"/>
      <x:c r="X1121" s="53"/>
      <x:c r="Y1121" s="53"/>
      <x:c r="Z1121" s="53"/>
      <x:c r="AA1121" s="53"/>
      <x:c r="AB1121" s="53"/>
      <x:c r="AC1121" s="53"/>
      <x:c r="AD1121" s="53"/>
      <x:c r="AE1121" s="53"/>
      <x:c r="AF1121" s="53"/>
    </x:row>
    <x:row r="1122">
      <x:c r="A1122" s="53"/>
      <x:c r="B1122" s="53"/>
      <x:c r="C1122" s="53"/>
      <x:c r="D1122" s="53"/>
      <x:c r="E1122" s="53"/>
      <x:c r="F1122" s="53"/>
      <x:c r="G1122" s="53"/>
      <x:c r="H1122" s="53"/>
      <x:c r="I1122" s="53"/>
      <x:c r="J1122" s="53"/>
      <x:c r="K1122" s="53"/>
      <x:c r="L1122" s="53"/>
      <x:c r="M1122" s="53"/>
      <x:c r="N1122" s="53"/>
      <x:c r="O1122" s="53"/>
      <x:c r="P1122" s="53"/>
      <x:c r="Q1122" s="53"/>
      <x:c r="R1122" s="53"/>
      <x:c r="S1122" s="53"/>
      <x:c r="T1122" s="53"/>
      <x:c r="U1122" s="53"/>
      <x:c r="V1122" s="53"/>
      <x:c r="W1122" s="53"/>
      <x:c r="X1122" s="53"/>
      <x:c r="Y1122" s="53"/>
      <x:c r="Z1122" s="53"/>
      <x:c r="AA1122" s="53"/>
      <x:c r="AB1122" s="53"/>
      <x:c r="AC1122" s="53"/>
      <x:c r="AD1122" s="53"/>
      <x:c r="AE1122" s="53"/>
      <x:c r="AF1122" s="53"/>
    </x:row>
    <x:row r="1123">
      <x:c r="A1123" s="53"/>
      <x:c r="B1123" s="53"/>
      <x:c r="C1123" s="53"/>
      <x:c r="D1123" s="53"/>
      <x:c r="E1123" s="53"/>
      <x:c r="F1123" s="53"/>
      <x:c r="G1123" s="53"/>
      <x:c r="H1123" s="53"/>
      <x:c r="I1123" s="53"/>
      <x:c r="J1123" s="53"/>
      <x:c r="K1123" s="53"/>
      <x:c r="L1123" s="53"/>
      <x:c r="M1123" s="53"/>
      <x:c r="N1123" s="53"/>
      <x:c r="O1123" s="53"/>
      <x:c r="P1123" s="53"/>
      <x:c r="Q1123" s="53"/>
      <x:c r="R1123" s="53"/>
      <x:c r="S1123" s="53"/>
      <x:c r="T1123" s="53"/>
      <x:c r="U1123" s="53"/>
      <x:c r="V1123" s="53"/>
      <x:c r="W1123" s="53"/>
      <x:c r="X1123" s="53"/>
      <x:c r="Y1123" s="53"/>
      <x:c r="Z1123" s="53"/>
      <x:c r="AA1123" s="53"/>
      <x:c r="AB1123" s="53"/>
      <x:c r="AC1123" s="53"/>
      <x:c r="AD1123" s="53"/>
      <x:c r="AE1123" s="53"/>
      <x:c r="AF1123" s="53"/>
    </x:row>
    <x:row r="1124">
      <x:c r="A1124" s="53"/>
      <x:c r="B1124" s="53"/>
      <x:c r="C1124" s="53"/>
      <x:c r="D1124" s="53"/>
      <x:c r="E1124" s="53"/>
      <x:c r="F1124" s="53"/>
      <x:c r="G1124" s="53"/>
      <x:c r="H1124" s="53"/>
      <x:c r="I1124" s="53"/>
      <x:c r="J1124" s="53"/>
      <x:c r="K1124" s="53"/>
      <x:c r="L1124" s="53"/>
      <x:c r="M1124" s="53"/>
      <x:c r="N1124" s="53"/>
      <x:c r="O1124" s="53"/>
      <x:c r="P1124" s="53"/>
      <x:c r="Q1124" s="53"/>
      <x:c r="R1124" s="53"/>
      <x:c r="S1124" s="53"/>
      <x:c r="T1124" s="53"/>
      <x:c r="U1124" s="53"/>
      <x:c r="V1124" s="53"/>
      <x:c r="W1124" s="53"/>
      <x:c r="X1124" s="53"/>
      <x:c r="Y1124" s="53"/>
      <x:c r="Z1124" s="53"/>
      <x:c r="AA1124" s="53"/>
      <x:c r="AB1124" s="53"/>
      <x:c r="AC1124" s="53"/>
      <x:c r="AD1124" s="53"/>
      <x:c r="AE1124" s="53"/>
      <x:c r="AF1124" s="53"/>
    </x:row>
    <x:row r="1125">
      <x:c r="A1125" s="53"/>
      <x:c r="B1125" s="53"/>
      <x:c r="C1125" s="53"/>
      <x:c r="D1125" s="53"/>
      <x:c r="E1125" s="53"/>
      <x:c r="F1125" s="53"/>
      <x:c r="G1125" s="53"/>
      <x:c r="H1125" s="53"/>
      <x:c r="I1125" s="53"/>
      <x:c r="J1125" s="53"/>
      <x:c r="K1125" s="53"/>
      <x:c r="L1125" s="53"/>
      <x:c r="M1125" s="53"/>
      <x:c r="N1125" s="53"/>
      <x:c r="O1125" s="53"/>
      <x:c r="P1125" s="53"/>
      <x:c r="Q1125" s="53"/>
      <x:c r="R1125" s="53"/>
      <x:c r="S1125" s="53"/>
      <x:c r="T1125" s="53"/>
      <x:c r="U1125" s="53"/>
      <x:c r="V1125" s="53"/>
      <x:c r="W1125" s="53"/>
      <x:c r="X1125" s="53"/>
      <x:c r="Y1125" s="53"/>
      <x:c r="Z1125" s="53"/>
      <x:c r="AA1125" s="53"/>
      <x:c r="AB1125" s="53"/>
      <x:c r="AC1125" s="53"/>
      <x:c r="AD1125" s="53"/>
      <x:c r="AE1125" s="53"/>
      <x:c r="AF1125" s="53"/>
    </x:row>
    <x:row r="1126">
      <x:c r="A1126" s="53"/>
      <x:c r="B1126" s="53"/>
      <x:c r="C1126" s="53"/>
      <x:c r="D1126" s="53"/>
      <x:c r="E1126" s="53"/>
      <x:c r="F1126" s="53"/>
      <x:c r="G1126" s="53"/>
      <x:c r="H1126" s="53"/>
      <x:c r="I1126" s="53"/>
      <x:c r="J1126" s="53"/>
      <x:c r="K1126" s="53"/>
      <x:c r="L1126" s="53"/>
      <x:c r="M1126" s="53"/>
      <x:c r="N1126" s="53"/>
      <x:c r="O1126" s="53"/>
      <x:c r="P1126" s="53"/>
      <x:c r="Q1126" s="53"/>
      <x:c r="R1126" s="53"/>
      <x:c r="S1126" s="53"/>
      <x:c r="T1126" s="53"/>
      <x:c r="U1126" s="53"/>
      <x:c r="V1126" s="53"/>
      <x:c r="W1126" s="53"/>
      <x:c r="X1126" s="53"/>
      <x:c r="Y1126" s="53"/>
      <x:c r="Z1126" s="53"/>
      <x:c r="AA1126" s="53"/>
      <x:c r="AB1126" s="53"/>
      <x:c r="AC1126" s="53"/>
      <x:c r="AD1126" s="53"/>
      <x:c r="AE1126" s="53"/>
      <x:c r="AF1126" s="53"/>
    </x:row>
    <x:row r="1127">
      <x:c r="A1127" s="53"/>
      <x:c r="B1127" s="53"/>
      <x:c r="C1127" s="53"/>
      <x:c r="D1127" s="53"/>
      <x:c r="E1127" s="53"/>
      <x:c r="F1127" s="53"/>
      <x:c r="G1127" s="53"/>
      <x:c r="H1127" s="53"/>
      <x:c r="I1127" s="53"/>
      <x:c r="J1127" s="53"/>
      <x:c r="K1127" s="53"/>
      <x:c r="L1127" s="53"/>
      <x:c r="M1127" s="53"/>
      <x:c r="N1127" s="53"/>
      <x:c r="O1127" s="53"/>
      <x:c r="P1127" s="53"/>
      <x:c r="Q1127" s="53"/>
      <x:c r="R1127" s="53"/>
      <x:c r="S1127" s="53"/>
      <x:c r="T1127" s="53"/>
      <x:c r="U1127" s="53"/>
      <x:c r="V1127" s="53"/>
      <x:c r="W1127" s="53"/>
      <x:c r="X1127" s="53"/>
      <x:c r="Y1127" s="53"/>
      <x:c r="Z1127" s="53"/>
      <x:c r="AA1127" s="53"/>
      <x:c r="AB1127" s="53"/>
      <x:c r="AC1127" s="53"/>
      <x:c r="AD1127" s="53"/>
      <x:c r="AE1127" s="53"/>
      <x:c r="AF1127" s="53"/>
    </x:row>
    <x:row r="1128">
      <x:c r="A1128" s="53"/>
      <x:c r="B1128" s="53"/>
      <x:c r="C1128" s="53"/>
      <x:c r="D1128" s="53"/>
      <x:c r="E1128" s="53"/>
      <x:c r="F1128" s="53"/>
      <x:c r="G1128" s="53"/>
      <x:c r="H1128" s="53"/>
      <x:c r="I1128" s="53"/>
      <x:c r="J1128" s="53"/>
      <x:c r="K1128" s="53"/>
      <x:c r="L1128" s="53"/>
      <x:c r="M1128" s="53"/>
      <x:c r="N1128" s="53"/>
      <x:c r="O1128" s="53"/>
      <x:c r="P1128" s="53"/>
      <x:c r="Q1128" s="53"/>
      <x:c r="R1128" s="53"/>
      <x:c r="S1128" s="53"/>
      <x:c r="T1128" s="53"/>
      <x:c r="U1128" s="53"/>
      <x:c r="V1128" s="53"/>
      <x:c r="W1128" s="53"/>
      <x:c r="X1128" s="53"/>
      <x:c r="Y1128" s="53"/>
      <x:c r="Z1128" s="53"/>
      <x:c r="AA1128" s="53"/>
      <x:c r="AB1128" s="53"/>
      <x:c r="AC1128" s="53"/>
      <x:c r="AD1128" s="53"/>
      <x:c r="AE1128" s="53"/>
      <x:c r="AF1128" s="53"/>
    </x:row>
    <x:row r="1129">
      <x:c r="A1129" s="53"/>
      <x:c r="B1129" s="53"/>
      <x:c r="C1129" s="53"/>
      <x:c r="D1129" s="53"/>
      <x:c r="E1129" s="53"/>
      <x:c r="F1129" s="53"/>
      <x:c r="G1129" s="53"/>
      <x:c r="H1129" s="53"/>
      <x:c r="I1129" s="53"/>
      <x:c r="J1129" s="53"/>
      <x:c r="K1129" s="53"/>
      <x:c r="L1129" s="53"/>
      <x:c r="M1129" s="53"/>
      <x:c r="N1129" s="53"/>
      <x:c r="O1129" s="53"/>
      <x:c r="P1129" s="53"/>
      <x:c r="Q1129" s="53"/>
      <x:c r="R1129" s="53"/>
      <x:c r="S1129" s="53"/>
      <x:c r="T1129" s="53"/>
      <x:c r="U1129" s="53"/>
      <x:c r="V1129" s="53"/>
      <x:c r="W1129" s="53"/>
      <x:c r="X1129" s="53"/>
      <x:c r="Y1129" s="53"/>
      <x:c r="Z1129" s="53"/>
      <x:c r="AA1129" s="53"/>
      <x:c r="AB1129" s="53"/>
      <x:c r="AC1129" s="53"/>
      <x:c r="AD1129" s="53"/>
      <x:c r="AE1129" s="53"/>
      <x:c r="AF1129" s="53"/>
    </x:row>
    <x:row r="1130">
      <x:c r="A1130" s="53"/>
      <x:c r="B1130" s="53"/>
      <x:c r="C1130" s="53"/>
      <x:c r="D1130" s="53"/>
      <x:c r="E1130" s="53"/>
      <x:c r="F1130" s="53"/>
      <x:c r="G1130" s="53"/>
      <x:c r="H1130" s="53"/>
      <x:c r="I1130" s="53"/>
      <x:c r="J1130" s="53"/>
      <x:c r="K1130" s="53"/>
      <x:c r="L1130" s="53"/>
      <x:c r="M1130" s="53"/>
      <x:c r="N1130" s="53"/>
      <x:c r="O1130" s="53"/>
      <x:c r="P1130" s="53"/>
      <x:c r="Q1130" s="53"/>
      <x:c r="R1130" s="53"/>
      <x:c r="S1130" s="53"/>
      <x:c r="T1130" s="53"/>
      <x:c r="U1130" s="53"/>
      <x:c r="V1130" s="53"/>
      <x:c r="W1130" s="53"/>
      <x:c r="X1130" s="53"/>
      <x:c r="Y1130" s="53"/>
      <x:c r="Z1130" s="53"/>
      <x:c r="AA1130" s="53"/>
      <x:c r="AB1130" s="53"/>
      <x:c r="AC1130" s="53"/>
      <x:c r="AD1130" s="53"/>
      <x:c r="AE1130" s="53"/>
      <x:c r="AF1130" s="53"/>
    </x:row>
    <x:row r="1131">
      <x:c r="A1131" s="53"/>
      <x:c r="B1131" s="53"/>
      <x:c r="C1131" s="53"/>
      <x:c r="D1131" s="53"/>
      <x:c r="E1131" s="53"/>
      <x:c r="F1131" s="53"/>
      <x:c r="G1131" s="53"/>
      <x:c r="H1131" s="53"/>
      <x:c r="I1131" s="53"/>
      <x:c r="J1131" s="53"/>
      <x:c r="K1131" s="53"/>
      <x:c r="L1131" s="53"/>
      <x:c r="M1131" s="53"/>
      <x:c r="N1131" s="53"/>
      <x:c r="O1131" s="53"/>
      <x:c r="P1131" s="53"/>
      <x:c r="Q1131" s="53"/>
      <x:c r="R1131" s="53"/>
      <x:c r="S1131" s="53"/>
      <x:c r="T1131" s="53"/>
      <x:c r="U1131" s="53"/>
      <x:c r="V1131" s="53"/>
      <x:c r="W1131" s="53"/>
      <x:c r="X1131" s="53"/>
      <x:c r="Y1131" s="53"/>
      <x:c r="Z1131" s="53"/>
      <x:c r="AA1131" s="53"/>
      <x:c r="AB1131" s="53"/>
      <x:c r="AC1131" s="53"/>
      <x:c r="AD1131" s="53"/>
      <x:c r="AE1131" s="53"/>
      <x:c r="AF1131" s="53"/>
    </x:row>
    <x:row r="1132">
      <x:c r="A1132" s="53"/>
      <x:c r="B1132" s="53"/>
      <x:c r="C1132" s="53"/>
      <x:c r="D1132" s="53"/>
      <x:c r="E1132" s="53"/>
      <x:c r="F1132" s="53"/>
      <x:c r="G1132" s="53"/>
      <x:c r="H1132" s="53"/>
      <x:c r="I1132" s="53"/>
      <x:c r="J1132" s="53"/>
      <x:c r="K1132" s="53"/>
      <x:c r="L1132" s="53"/>
      <x:c r="M1132" s="53"/>
      <x:c r="N1132" s="53"/>
      <x:c r="O1132" s="53"/>
      <x:c r="P1132" s="53"/>
      <x:c r="Q1132" s="53"/>
      <x:c r="R1132" s="53"/>
      <x:c r="S1132" s="53"/>
      <x:c r="T1132" s="53"/>
      <x:c r="U1132" s="53"/>
      <x:c r="V1132" s="53"/>
      <x:c r="W1132" s="53"/>
      <x:c r="X1132" s="53"/>
      <x:c r="Y1132" s="53"/>
      <x:c r="Z1132" s="53"/>
      <x:c r="AA1132" s="53"/>
      <x:c r="AB1132" s="53"/>
      <x:c r="AC1132" s="53"/>
      <x:c r="AD1132" s="53"/>
      <x:c r="AE1132" s="53"/>
      <x:c r="AF1132" s="53"/>
    </x:row>
    <x:row r="1133">
      <x:c r="A1133" s="53"/>
      <x:c r="B1133" s="53"/>
      <x:c r="C1133" s="53"/>
      <x:c r="D1133" s="53"/>
      <x:c r="E1133" s="53"/>
      <x:c r="F1133" s="53"/>
      <x:c r="G1133" s="53"/>
      <x:c r="H1133" s="53"/>
      <x:c r="I1133" s="53"/>
      <x:c r="J1133" s="53"/>
      <x:c r="K1133" s="53"/>
      <x:c r="L1133" s="53"/>
      <x:c r="M1133" s="53"/>
      <x:c r="N1133" s="53"/>
      <x:c r="O1133" s="53"/>
      <x:c r="P1133" s="53"/>
      <x:c r="Q1133" s="53"/>
      <x:c r="R1133" s="53"/>
      <x:c r="S1133" s="53"/>
      <x:c r="T1133" s="53"/>
      <x:c r="U1133" s="53"/>
      <x:c r="V1133" s="53"/>
      <x:c r="W1133" s="53"/>
      <x:c r="X1133" s="53"/>
      <x:c r="Y1133" s="53"/>
      <x:c r="Z1133" s="53"/>
      <x:c r="AA1133" s="53"/>
      <x:c r="AB1133" s="53"/>
      <x:c r="AC1133" s="53"/>
      <x:c r="AD1133" s="53"/>
      <x:c r="AE1133" s="53"/>
      <x:c r="AF1133" s="53"/>
    </x:row>
    <x:row r="1134">
      <x:c r="A1134" s="53"/>
      <x:c r="B1134" s="53"/>
      <x:c r="C1134" s="53"/>
      <x:c r="D1134" s="53"/>
      <x:c r="E1134" s="53"/>
      <x:c r="F1134" s="53"/>
      <x:c r="G1134" s="53"/>
      <x:c r="H1134" s="53"/>
      <x:c r="I1134" s="53"/>
      <x:c r="J1134" s="53"/>
      <x:c r="K1134" s="53"/>
      <x:c r="L1134" s="53"/>
      <x:c r="M1134" s="53"/>
      <x:c r="N1134" s="53"/>
      <x:c r="O1134" s="53"/>
      <x:c r="P1134" s="53"/>
      <x:c r="Q1134" s="53"/>
      <x:c r="R1134" s="53"/>
      <x:c r="S1134" s="53"/>
      <x:c r="T1134" s="53"/>
      <x:c r="U1134" s="53"/>
      <x:c r="V1134" s="53"/>
      <x:c r="W1134" s="53"/>
      <x:c r="X1134" s="53"/>
      <x:c r="Y1134" s="53"/>
      <x:c r="Z1134" s="53"/>
      <x:c r="AA1134" s="53"/>
      <x:c r="AB1134" s="53"/>
      <x:c r="AC1134" s="53"/>
      <x:c r="AD1134" s="53"/>
      <x:c r="AE1134" s="53"/>
      <x:c r="AF1134" s="53"/>
    </x:row>
    <x:row r="1135">
      <x:c r="A1135" s="53"/>
      <x:c r="B1135" s="53"/>
      <x:c r="C1135" s="53"/>
      <x:c r="D1135" s="53"/>
      <x:c r="E1135" s="53"/>
      <x:c r="F1135" s="53"/>
      <x:c r="G1135" s="53"/>
      <x:c r="H1135" s="53"/>
      <x:c r="I1135" s="53"/>
      <x:c r="J1135" s="53"/>
      <x:c r="K1135" s="53"/>
      <x:c r="L1135" s="53"/>
      <x:c r="M1135" s="53"/>
      <x:c r="N1135" s="53"/>
      <x:c r="O1135" s="53"/>
      <x:c r="P1135" s="53"/>
      <x:c r="Q1135" s="53"/>
      <x:c r="R1135" s="53"/>
      <x:c r="S1135" s="53"/>
      <x:c r="T1135" s="53"/>
      <x:c r="U1135" s="53"/>
      <x:c r="V1135" s="53"/>
      <x:c r="W1135" s="53"/>
      <x:c r="X1135" s="53"/>
      <x:c r="Y1135" s="53"/>
      <x:c r="Z1135" s="53"/>
      <x:c r="AA1135" s="53"/>
      <x:c r="AB1135" s="53"/>
      <x:c r="AC1135" s="53"/>
      <x:c r="AD1135" s="53"/>
      <x:c r="AE1135" s="53"/>
      <x:c r="AF1135" s="53"/>
    </x:row>
    <x:row r="1136">
      <x:c r="A1136" s="53"/>
      <x:c r="B1136" s="53"/>
      <x:c r="C1136" s="53"/>
      <x:c r="D1136" s="53"/>
      <x:c r="E1136" s="53"/>
      <x:c r="F1136" s="53"/>
      <x:c r="G1136" s="53"/>
      <x:c r="H1136" s="53"/>
      <x:c r="I1136" s="53"/>
      <x:c r="J1136" s="53"/>
      <x:c r="K1136" s="53"/>
      <x:c r="L1136" s="53"/>
      <x:c r="M1136" s="53"/>
      <x:c r="N1136" s="53"/>
      <x:c r="O1136" s="53"/>
      <x:c r="P1136" s="53"/>
      <x:c r="Q1136" s="53"/>
      <x:c r="R1136" s="53"/>
      <x:c r="S1136" s="53"/>
      <x:c r="T1136" s="53"/>
      <x:c r="U1136" s="53"/>
      <x:c r="V1136" s="53"/>
      <x:c r="W1136" s="53"/>
      <x:c r="X1136" s="53"/>
      <x:c r="Y1136" s="53"/>
      <x:c r="Z1136" s="53"/>
      <x:c r="AA1136" s="53"/>
      <x:c r="AB1136" s="53"/>
      <x:c r="AC1136" s="53"/>
      <x:c r="AD1136" s="53"/>
      <x:c r="AE1136" s="53"/>
      <x:c r="AF1136" s="53"/>
    </x:row>
    <x:row r="1137">
      <x:c r="A1137" s="53"/>
      <x:c r="B1137" s="53"/>
      <x:c r="C1137" s="53"/>
      <x:c r="D1137" s="53"/>
      <x:c r="E1137" s="53"/>
      <x:c r="F1137" s="53"/>
      <x:c r="G1137" s="53"/>
      <x:c r="H1137" s="53"/>
      <x:c r="I1137" s="53"/>
      <x:c r="J1137" s="53"/>
      <x:c r="K1137" s="53"/>
      <x:c r="L1137" s="53"/>
      <x:c r="M1137" s="53"/>
      <x:c r="N1137" s="53"/>
      <x:c r="O1137" s="53"/>
      <x:c r="P1137" s="53"/>
      <x:c r="Q1137" s="53"/>
      <x:c r="R1137" s="53"/>
      <x:c r="S1137" s="53"/>
      <x:c r="T1137" s="53"/>
      <x:c r="U1137" s="53"/>
      <x:c r="V1137" s="53"/>
      <x:c r="W1137" s="53"/>
      <x:c r="X1137" s="53"/>
      <x:c r="Y1137" s="53"/>
      <x:c r="Z1137" s="53"/>
      <x:c r="AA1137" s="53"/>
      <x:c r="AB1137" s="53"/>
      <x:c r="AC1137" s="53"/>
      <x:c r="AD1137" s="53"/>
      <x:c r="AE1137" s="53"/>
      <x:c r="AF1137" s="53"/>
    </x:row>
    <x:row r="1138">
      <x:c r="A1138" s="53"/>
      <x:c r="B1138" s="53"/>
      <x:c r="C1138" s="53"/>
      <x:c r="D1138" s="53"/>
      <x:c r="E1138" s="53"/>
      <x:c r="F1138" s="53"/>
      <x:c r="G1138" s="53"/>
      <x:c r="H1138" s="53"/>
      <x:c r="I1138" s="53"/>
      <x:c r="J1138" s="53"/>
      <x:c r="K1138" s="53"/>
      <x:c r="L1138" s="53"/>
      <x:c r="M1138" s="53"/>
      <x:c r="N1138" s="53"/>
      <x:c r="O1138" s="53"/>
      <x:c r="P1138" s="53"/>
      <x:c r="Q1138" s="53"/>
      <x:c r="R1138" s="53"/>
      <x:c r="S1138" s="53"/>
      <x:c r="T1138" s="53"/>
      <x:c r="U1138" s="53"/>
      <x:c r="V1138" s="53"/>
      <x:c r="W1138" s="53"/>
      <x:c r="X1138" s="53"/>
      <x:c r="Y1138" s="53"/>
      <x:c r="Z1138" s="53"/>
      <x:c r="AA1138" s="53"/>
      <x:c r="AB1138" s="53"/>
      <x:c r="AC1138" s="53"/>
      <x:c r="AD1138" s="53"/>
      <x:c r="AE1138" s="53"/>
      <x:c r="AF1138" s="53"/>
    </x:row>
    <x:row r="1139">
      <x:c r="A1139" s="53"/>
      <x:c r="B1139" s="53"/>
      <x:c r="C1139" s="53"/>
      <x:c r="D1139" s="53"/>
      <x:c r="E1139" s="53"/>
      <x:c r="F1139" s="53"/>
      <x:c r="G1139" s="53"/>
      <x:c r="H1139" s="53"/>
      <x:c r="I1139" s="53"/>
      <x:c r="J1139" s="53"/>
      <x:c r="K1139" s="53"/>
      <x:c r="L1139" s="53"/>
      <x:c r="M1139" s="53"/>
      <x:c r="N1139" s="53"/>
      <x:c r="O1139" s="53"/>
      <x:c r="P1139" s="53"/>
      <x:c r="Q1139" s="53"/>
      <x:c r="R1139" s="53"/>
      <x:c r="S1139" s="53"/>
      <x:c r="T1139" s="53"/>
      <x:c r="U1139" s="53"/>
      <x:c r="V1139" s="53"/>
      <x:c r="W1139" s="53"/>
      <x:c r="X1139" s="53"/>
      <x:c r="Y1139" s="53"/>
      <x:c r="Z1139" s="53"/>
      <x:c r="AA1139" s="53"/>
      <x:c r="AB1139" s="53"/>
      <x:c r="AC1139" s="53"/>
      <x:c r="AD1139" s="53"/>
      <x:c r="AE1139" s="53"/>
      <x:c r="AF1139" s="53"/>
    </x:row>
    <x:row r="1140">
      <x:c r="A1140" s="53"/>
      <x:c r="B1140" s="53"/>
      <x:c r="C1140" s="53"/>
      <x:c r="D1140" s="53"/>
      <x:c r="E1140" s="53"/>
      <x:c r="F1140" s="53"/>
      <x:c r="G1140" s="53"/>
      <x:c r="H1140" s="53"/>
      <x:c r="I1140" s="53"/>
      <x:c r="J1140" s="53"/>
      <x:c r="K1140" s="53"/>
      <x:c r="L1140" s="53"/>
      <x:c r="M1140" s="53"/>
      <x:c r="N1140" s="53"/>
      <x:c r="O1140" s="53"/>
      <x:c r="P1140" s="53"/>
      <x:c r="Q1140" s="53"/>
      <x:c r="R1140" s="53"/>
      <x:c r="S1140" s="53"/>
      <x:c r="T1140" s="53"/>
      <x:c r="U1140" s="53"/>
      <x:c r="V1140" s="53"/>
      <x:c r="W1140" s="53"/>
      <x:c r="X1140" s="53"/>
      <x:c r="Y1140" s="53"/>
      <x:c r="Z1140" s="53"/>
      <x:c r="AA1140" s="53"/>
      <x:c r="AB1140" s="53"/>
      <x:c r="AC1140" s="53"/>
      <x:c r="AD1140" s="53"/>
      <x:c r="AE1140" s="53"/>
      <x:c r="AF1140" s="53"/>
    </x:row>
    <x:row r="1141">
      <x:c r="A1141" s="53"/>
      <x:c r="B1141" s="53"/>
      <x:c r="C1141" s="53"/>
      <x:c r="D1141" s="53"/>
      <x:c r="E1141" s="53"/>
      <x:c r="F1141" s="53"/>
      <x:c r="G1141" s="53"/>
      <x:c r="H1141" s="53"/>
      <x:c r="I1141" s="53"/>
      <x:c r="J1141" s="53"/>
      <x:c r="K1141" s="53"/>
      <x:c r="L1141" s="53"/>
      <x:c r="M1141" s="53"/>
      <x:c r="N1141" s="53"/>
      <x:c r="O1141" s="53"/>
      <x:c r="P1141" s="53"/>
      <x:c r="Q1141" s="53"/>
      <x:c r="R1141" s="53"/>
      <x:c r="S1141" s="53"/>
      <x:c r="T1141" s="53"/>
      <x:c r="U1141" s="53"/>
      <x:c r="V1141" s="53"/>
      <x:c r="W1141" s="53"/>
      <x:c r="X1141" s="53"/>
      <x:c r="Y1141" s="53"/>
      <x:c r="Z1141" s="53"/>
      <x:c r="AA1141" s="53"/>
      <x:c r="AB1141" s="53"/>
      <x:c r="AC1141" s="53"/>
      <x:c r="AD1141" s="53"/>
      <x:c r="AE1141" s="53"/>
      <x:c r="AF1141" s="53"/>
    </x:row>
    <x:row r="1142">
      <x:c r="A1142" s="53"/>
      <x:c r="B1142" s="53"/>
      <x:c r="C1142" s="53"/>
      <x:c r="D1142" s="53"/>
      <x:c r="E1142" s="53"/>
      <x:c r="F1142" s="53"/>
      <x:c r="G1142" s="53"/>
      <x:c r="H1142" s="53"/>
      <x:c r="I1142" s="53"/>
      <x:c r="J1142" s="53"/>
      <x:c r="K1142" s="53"/>
      <x:c r="L1142" s="53"/>
      <x:c r="M1142" s="53"/>
      <x:c r="N1142" s="53"/>
      <x:c r="O1142" s="53"/>
      <x:c r="P1142" s="53"/>
      <x:c r="Q1142" s="53"/>
      <x:c r="R1142" s="53"/>
      <x:c r="S1142" s="53"/>
      <x:c r="T1142" s="53"/>
      <x:c r="U1142" s="53"/>
      <x:c r="V1142" s="53"/>
      <x:c r="W1142" s="53"/>
      <x:c r="X1142" s="53"/>
      <x:c r="Y1142" s="53"/>
      <x:c r="Z1142" s="53"/>
      <x:c r="AA1142" s="53"/>
      <x:c r="AB1142" s="53"/>
      <x:c r="AC1142" s="53"/>
      <x:c r="AD1142" s="53"/>
      <x:c r="AE1142" s="53"/>
      <x:c r="AF1142" s="53"/>
    </x:row>
    <x:row r="1143">
      <x:c r="A1143" s="53"/>
      <x:c r="B1143" s="53"/>
      <x:c r="C1143" s="53"/>
      <x:c r="D1143" s="53"/>
      <x:c r="E1143" s="53"/>
      <x:c r="F1143" s="53"/>
      <x:c r="G1143" s="53"/>
      <x:c r="H1143" s="53"/>
      <x:c r="I1143" s="53"/>
      <x:c r="J1143" s="53"/>
      <x:c r="K1143" s="53"/>
      <x:c r="L1143" s="53"/>
      <x:c r="M1143" s="53"/>
      <x:c r="N1143" s="53"/>
      <x:c r="O1143" s="53"/>
      <x:c r="P1143" s="53"/>
      <x:c r="Q1143" s="53"/>
      <x:c r="R1143" s="53"/>
      <x:c r="S1143" s="53"/>
      <x:c r="T1143" s="53"/>
      <x:c r="U1143" s="53"/>
      <x:c r="V1143" s="53"/>
      <x:c r="W1143" s="53"/>
      <x:c r="X1143" s="53"/>
      <x:c r="Y1143" s="53"/>
      <x:c r="Z1143" s="53"/>
      <x:c r="AA1143" s="53"/>
      <x:c r="AB1143" s="53"/>
      <x:c r="AC1143" s="53"/>
      <x:c r="AD1143" s="53"/>
      <x:c r="AE1143" s="53"/>
      <x:c r="AF1143" s="53"/>
    </x:row>
    <x:row r="1144">
      <x:c r="A1144" s="53"/>
      <x:c r="B1144" s="53"/>
      <x:c r="C1144" s="53"/>
      <x:c r="D1144" s="53"/>
      <x:c r="E1144" s="53"/>
      <x:c r="F1144" s="53"/>
      <x:c r="G1144" s="53"/>
      <x:c r="H1144" s="53"/>
      <x:c r="I1144" s="53"/>
      <x:c r="J1144" s="53"/>
      <x:c r="K1144" s="53"/>
      <x:c r="L1144" s="53"/>
      <x:c r="M1144" s="53"/>
      <x:c r="N1144" s="53"/>
      <x:c r="O1144" s="53"/>
      <x:c r="P1144" s="53"/>
      <x:c r="Q1144" s="53"/>
      <x:c r="R1144" s="53"/>
      <x:c r="S1144" s="53"/>
      <x:c r="T1144" s="53"/>
      <x:c r="U1144" s="53"/>
      <x:c r="V1144" s="53"/>
      <x:c r="W1144" s="53"/>
      <x:c r="X1144" s="53"/>
      <x:c r="Y1144" s="53"/>
      <x:c r="Z1144" s="53"/>
      <x:c r="AA1144" s="53"/>
      <x:c r="AB1144" s="53"/>
      <x:c r="AC1144" s="53"/>
      <x:c r="AD1144" s="53"/>
      <x:c r="AE1144" s="53"/>
      <x:c r="AF1144" s="53"/>
    </x:row>
    <x:row r="1145">
      <x:c r="A1145" s="53"/>
      <x:c r="B1145" s="53"/>
      <x:c r="C1145" s="53"/>
      <x:c r="D1145" s="53"/>
      <x:c r="E1145" s="53"/>
      <x:c r="F1145" s="53"/>
      <x:c r="G1145" s="53"/>
      <x:c r="H1145" s="53"/>
      <x:c r="I1145" s="53"/>
      <x:c r="J1145" s="53"/>
      <x:c r="K1145" s="53"/>
      <x:c r="L1145" s="53"/>
      <x:c r="M1145" s="53"/>
      <x:c r="N1145" s="53"/>
      <x:c r="O1145" s="53"/>
      <x:c r="P1145" s="53"/>
      <x:c r="Q1145" s="53"/>
      <x:c r="R1145" s="53"/>
      <x:c r="S1145" s="53"/>
      <x:c r="T1145" s="53"/>
      <x:c r="U1145" s="53"/>
      <x:c r="V1145" s="53"/>
      <x:c r="W1145" s="53"/>
      <x:c r="X1145" s="53"/>
      <x:c r="Y1145" s="53"/>
      <x:c r="Z1145" s="53"/>
      <x:c r="AA1145" s="53"/>
      <x:c r="AB1145" s="53"/>
      <x:c r="AC1145" s="53"/>
      <x:c r="AD1145" s="53"/>
      <x:c r="AE1145" s="53"/>
      <x:c r="AF1145" s="53"/>
    </x:row>
    <x:row r="1146">
      <x:c r="A1146" s="53"/>
      <x:c r="B1146" s="53"/>
      <x:c r="C1146" s="53"/>
      <x:c r="D1146" s="53"/>
      <x:c r="E1146" s="53"/>
      <x:c r="F1146" s="53"/>
      <x:c r="G1146" s="53"/>
      <x:c r="H1146" s="53"/>
      <x:c r="I1146" s="53"/>
      <x:c r="J1146" s="53"/>
      <x:c r="K1146" s="53"/>
      <x:c r="L1146" s="53"/>
      <x:c r="M1146" s="53"/>
      <x:c r="N1146" s="53"/>
      <x:c r="O1146" s="53"/>
      <x:c r="P1146" s="53"/>
      <x:c r="Q1146" s="53"/>
      <x:c r="R1146" s="53"/>
      <x:c r="S1146" s="53"/>
      <x:c r="T1146" s="53"/>
      <x:c r="U1146" s="53"/>
      <x:c r="V1146" s="53"/>
      <x:c r="W1146" s="53"/>
      <x:c r="X1146" s="53"/>
      <x:c r="Y1146" s="53"/>
      <x:c r="Z1146" s="53"/>
      <x:c r="AA1146" s="53"/>
      <x:c r="AB1146" s="53"/>
      <x:c r="AC1146" s="53"/>
      <x:c r="AD1146" s="53"/>
      <x:c r="AE1146" s="53"/>
      <x:c r="AF1146" s="53"/>
    </x:row>
    <x:row r="1147">
      <x:c r="A1147" s="53"/>
      <x:c r="B1147" s="53"/>
      <x:c r="C1147" s="53"/>
      <x:c r="D1147" s="53"/>
      <x:c r="E1147" s="53"/>
      <x:c r="F1147" s="53"/>
      <x:c r="G1147" s="53"/>
      <x:c r="H1147" s="53"/>
      <x:c r="I1147" s="53"/>
      <x:c r="J1147" s="53"/>
      <x:c r="K1147" s="53"/>
      <x:c r="L1147" s="53"/>
      <x:c r="M1147" s="53"/>
      <x:c r="N1147" s="53"/>
      <x:c r="O1147" s="53"/>
      <x:c r="P1147" s="53"/>
      <x:c r="Q1147" s="53"/>
      <x:c r="R1147" s="53"/>
      <x:c r="S1147" s="53"/>
      <x:c r="T1147" s="53"/>
      <x:c r="U1147" s="53"/>
      <x:c r="V1147" s="53"/>
      <x:c r="W1147" s="53"/>
      <x:c r="X1147" s="53"/>
      <x:c r="Y1147" s="53"/>
      <x:c r="Z1147" s="53"/>
      <x:c r="AA1147" s="53"/>
      <x:c r="AB1147" s="53"/>
      <x:c r="AC1147" s="53"/>
      <x:c r="AD1147" s="53"/>
      <x:c r="AE1147" s="53"/>
      <x:c r="AF1147" s="53"/>
    </x:row>
    <x:row r="1148">
      <x:c r="A1148" s="53"/>
      <x:c r="B1148" s="53"/>
      <x:c r="C1148" s="53"/>
      <x:c r="D1148" s="53"/>
      <x:c r="E1148" s="53"/>
      <x:c r="F1148" s="53"/>
      <x:c r="G1148" s="53"/>
      <x:c r="H1148" s="53"/>
      <x:c r="I1148" s="53"/>
      <x:c r="J1148" s="53"/>
      <x:c r="K1148" s="53"/>
      <x:c r="L1148" s="53"/>
      <x:c r="M1148" s="53"/>
      <x:c r="N1148" s="53"/>
      <x:c r="O1148" s="53"/>
      <x:c r="P1148" s="53"/>
      <x:c r="Q1148" s="53"/>
      <x:c r="R1148" s="53"/>
      <x:c r="S1148" s="53"/>
      <x:c r="T1148" s="53"/>
      <x:c r="U1148" s="53"/>
      <x:c r="V1148" s="53"/>
      <x:c r="W1148" s="53"/>
      <x:c r="X1148" s="53"/>
      <x:c r="Y1148" s="53"/>
      <x:c r="Z1148" s="53"/>
      <x:c r="AA1148" s="53"/>
      <x:c r="AB1148" s="53"/>
      <x:c r="AC1148" s="53"/>
      <x:c r="AD1148" s="53"/>
      <x:c r="AE1148" s="53"/>
      <x:c r="AF1148" s="53"/>
    </x:row>
    <x:row r="1149">
      <x:c r="A1149" s="53"/>
      <x:c r="B1149" s="53"/>
      <x:c r="C1149" s="53"/>
      <x:c r="D1149" s="53"/>
      <x:c r="E1149" s="53"/>
      <x:c r="F1149" s="53"/>
      <x:c r="G1149" s="53"/>
      <x:c r="H1149" s="53"/>
      <x:c r="I1149" s="53"/>
      <x:c r="J1149" s="53"/>
      <x:c r="K1149" s="53"/>
      <x:c r="L1149" s="53"/>
      <x:c r="M1149" s="53"/>
      <x:c r="N1149" s="53"/>
      <x:c r="O1149" s="53"/>
      <x:c r="P1149" s="53"/>
      <x:c r="Q1149" s="53"/>
      <x:c r="R1149" s="53"/>
      <x:c r="S1149" s="53"/>
      <x:c r="T1149" s="53"/>
      <x:c r="U1149" s="53"/>
      <x:c r="V1149" s="53"/>
      <x:c r="W1149" s="53"/>
      <x:c r="X1149" s="53"/>
      <x:c r="Y1149" s="53"/>
      <x:c r="Z1149" s="53"/>
      <x:c r="AA1149" s="53"/>
      <x:c r="AB1149" s="53"/>
      <x:c r="AC1149" s="53"/>
      <x:c r="AD1149" s="53"/>
      <x:c r="AE1149" s="53"/>
      <x:c r="AF1149" s="53"/>
    </x:row>
    <x:row r="1150">
      <x:c r="A1150" s="53"/>
      <x:c r="B1150" s="53"/>
      <x:c r="C1150" s="53"/>
      <x:c r="D1150" s="53"/>
      <x:c r="E1150" s="53"/>
      <x:c r="F1150" s="53"/>
      <x:c r="G1150" s="53"/>
      <x:c r="H1150" s="53"/>
      <x:c r="I1150" s="53"/>
      <x:c r="J1150" s="53"/>
      <x:c r="K1150" s="53"/>
      <x:c r="L1150" s="53"/>
      <x:c r="M1150" s="53"/>
      <x:c r="N1150" s="53"/>
      <x:c r="O1150" s="53"/>
      <x:c r="P1150" s="53"/>
      <x:c r="Q1150" s="53"/>
      <x:c r="R1150" s="53"/>
      <x:c r="S1150" s="53"/>
      <x:c r="T1150" s="53"/>
      <x:c r="U1150" s="53"/>
      <x:c r="V1150" s="53"/>
      <x:c r="W1150" s="53"/>
      <x:c r="X1150" s="53"/>
      <x:c r="Y1150" s="53"/>
      <x:c r="Z1150" s="53"/>
      <x:c r="AA1150" s="53"/>
      <x:c r="AB1150" s="53"/>
      <x:c r="AC1150" s="53"/>
      <x:c r="AD1150" s="53"/>
      <x:c r="AE1150" s="53"/>
      <x:c r="AF1150" s="53"/>
    </x:row>
    <x:row r="1151">
      <x:c r="A1151" s="53"/>
      <x:c r="B1151" s="53"/>
      <x:c r="C1151" s="53"/>
      <x:c r="D1151" s="53"/>
      <x:c r="E1151" s="53"/>
      <x:c r="F1151" s="53"/>
      <x:c r="G1151" s="53"/>
      <x:c r="H1151" s="53"/>
      <x:c r="I1151" s="53"/>
      <x:c r="J1151" s="53"/>
      <x:c r="K1151" s="53"/>
      <x:c r="L1151" s="53"/>
      <x:c r="M1151" s="53"/>
      <x:c r="N1151" s="53"/>
      <x:c r="O1151" s="53"/>
      <x:c r="P1151" s="53"/>
      <x:c r="Q1151" s="53"/>
      <x:c r="R1151" s="53"/>
      <x:c r="S1151" s="53"/>
      <x:c r="T1151" s="53"/>
      <x:c r="U1151" s="53"/>
      <x:c r="V1151" s="53"/>
      <x:c r="W1151" s="53"/>
      <x:c r="X1151" s="53"/>
      <x:c r="Y1151" s="53"/>
      <x:c r="Z1151" s="53"/>
      <x:c r="AA1151" s="53"/>
      <x:c r="AB1151" s="53"/>
      <x:c r="AC1151" s="53"/>
      <x:c r="AD1151" s="53"/>
      <x:c r="AE1151" s="53"/>
      <x:c r="AF1151" s="53"/>
    </x:row>
    <x:row r="1152">
      <x:c r="A1152" s="53"/>
      <x:c r="B1152" s="53"/>
      <x:c r="C1152" s="53"/>
      <x:c r="D1152" s="53"/>
      <x:c r="E1152" s="53"/>
      <x:c r="F1152" s="53"/>
      <x:c r="G1152" s="53"/>
      <x:c r="H1152" s="53"/>
      <x:c r="I1152" s="53"/>
      <x:c r="J1152" s="53"/>
      <x:c r="K1152" s="53"/>
      <x:c r="L1152" s="53"/>
      <x:c r="M1152" s="53"/>
      <x:c r="N1152" s="53"/>
      <x:c r="O1152" s="53"/>
      <x:c r="P1152" s="53"/>
      <x:c r="Q1152" s="53"/>
      <x:c r="R1152" s="53"/>
      <x:c r="S1152" s="53"/>
      <x:c r="T1152" s="53"/>
      <x:c r="U1152" s="53"/>
      <x:c r="V1152" s="53"/>
      <x:c r="W1152" s="53"/>
      <x:c r="X1152" s="53"/>
      <x:c r="Y1152" s="53"/>
      <x:c r="Z1152" s="53"/>
      <x:c r="AA1152" s="53"/>
      <x:c r="AB1152" s="53"/>
      <x:c r="AC1152" s="53"/>
      <x:c r="AD1152" s="53"/>
      <x:c r="AE1152" s="53"/>
      <x:c r="AF1152" s="53"/>
    </x:row>
    <x:row r="1153">
      <x:c r="A1153" s="53"/>
      <x:c r="B1153" s="53"/>
      <x:c r="C1153" s="53"/>
      <x:c r="D1153" s="53"/>
      <x:c r="E1153" s="53"/>
      <x:c r="F1153" s="53"/>
      <x:c r="G1153" s="53"/>
      <x:c r="H1153" s="53"/>
      <x:c r="I1153" s="53"/>
      <x:c r="J1153" s="53"/>
      <x:c r="K1153" s="53"/>
      <x:c r="L1153" s="53"/>
      <x:c r="M1153" s="53"/>
      <x:c r="N1153" s="53"/>
      <x:c r="O1153" s="53"/>
      <x:c r="P1153" s="53"/>
      <x:c r="Q1153" s="53"/>
      <x:c r="R1153" s="53"/>
      <x:c r="S1153" s="53"/>
      <x:c r="T1153" s="53"/>
      <x:c r="U1153" s="53"/>
      <x:c r="V1153" s="53"/>
      <x:c r="W1153" s="53"/>
      <x:c r="X1153" s="53"/>
      <x:c r="Y1153" s="53"/>
      <x:c r="Z1153" s="53"/>
      <x:c r="AA1153" s="53"/>
      <x:c r="AB1153" s="53"/>
      <x:c r="AC1153" s="53"/>
      <x:c r="AD1153" s="53"/>
      <x:c r="AE1153" s="53"/>
      <x:c r="AF1153" s="53"/>
    </x:row>
    <x:row r="1154">
      <x:c r="A1154" s="53"/>
      <x:c r="B1154" s="53"/>
      <x:c r="C1154" s="53"/>
      <x:c r="D1154" s="53"/>
      <x:c r="E1154" s="53"/>
      <x:c r="F1154" s="53"/>
      <x:c r="G1154" s="53"/>
      <x:c r="H1154" s="53"/>
      <x:c r="I1154" s="53"/>
      <x:c r="J1154" s="53"/>
      <x:c r="K1154" s="53"/>
      <x:c r="L1154" s="53"/>
      <x:c r="M1154" s="53"/>
      <x:c r="N1154" s="53"/>
      <x:c r="O1154" s="53"/>
      <x:c r="P1154" s="53"/>
      <x:c r="Q1154" s="53"/>
      <x:c r="R1154" s="53"/>
      <x:c r="S1154" s="53"/>
      <x:c r="T1154" s="53"/>
      <x:c r="U1154" s="53"/>
      <x:c r="V1154" s="53"/>
      <x:c r="W1154" s="53"/>
      <x:c r="X1154" s="53"/>
      <x:c r="Y1154" s="53"/>
      <x:c r="Z1154" s="53"/>
      <x:c r="AA1154" s="53"/>
      <x:c r="AB1154" s="53"/>
      <x:c r="AC1154" s="53"/>
      <x:c r="AD1154" s="53"/>
      <x:c r="AE1154" s="53"/>
      <x:c r="AF1154" s="53"/>
    </x:row>
    <x:row r="1155">
      <x:c r="A1155" s="53"/>
      <x:c r="B1155" s="53"/>
      <x:c r="C1155" s="53"/>
      <x:c r="D1155" s="53"/>
      <x:c r="E1155" s="53"/>
      <x:c r="F1155" s="53"/>
      <x:c r="G1155" s="53"/>
      <x:c r="H1155" s="53"/>
      <x:c r="I1155" s="53"/>
      <x:c r="J1155" s="53"/>
      <x:c r="K1155" s="53"/>
      <x:c r="L1155" s="53"/>
      <x:c r="M1155" s="53"/>
      <x:c r="N1155" s="53"/>
      <x:c r="O1155" s="53"/>
      <x:c r="P1155" s="53"/>
      <x:c r="Q1155" s="53"/>
      <x:c r="R1155" s="53"/>
      <x:c r="S1155" s="53"/>
      <x:c r="T1155" s="53"/>
      <x:c r="U1155" s="53"/>
      <x:c r="V1155" s="53"/>
      <x:c r="W1155" s="53"/>
      <x:c r="X1155" s="53"/>
      <x:c r="Y1155" s="53"/>
      <x:c r="Z1155" s="53"/>
      <x:c r="AA1155" s="53"/>
      <x:c r="AB1155" s="53"/>
      <x:c r="AC1155" s="53"/>
      <x:c r="AD1155" s="53"/>
      <x:c r="AE1155" s="53"/>
      <x:c r="AF1155" s="53"/>
    </x:row>
    <x:row r="1156">
      <x:c r="A1156" s="53"/>
      <x:c r="B1156" s="53"/>
      <x:c r="C1156" s="53"/>
      <x:c r="D1156" s="53"/>
      <x:c r="E1156" s="53"/>
      <x:c r="F1156" s="53"/>
      <x:c r="G1156" s="53"/>
      <x:c r="H1156" s="53"/>
      <x:c r="I1156" s="53"/>
      <x:c r="J1156" s="53"/>
      <x:c r="K1156" s="53"/>
      <x:c r="L1156" s="53"/>
      <x:c r="M1156" s="53"/>
      <x:c r="N1156" s="53"/>
      <x:c r="O1156" s="53"/>
      <x:c r="P1156" s="53"/>
      <x:c r="Q1156" s="53"/>
      <x:c r="R1156" s="53"/>
      <x:c r="S1156" s="53"/>
      <x:c r="T1156" s="53"/>
      <x:c r="U1156" s="53"/>
      <x:c r="V1156" s="53"/>
      <x:c r="W1156" s="53"/>
      <x:c r="X1156" s="53"/>
      <x:c r="Y1156" s="53"/>
      <x:c r="Z1156" s="53"/>
      <x:c r="AA1156" s="53"/>
      <x:c r="AB1156" s="53"/>
      <x:c r="AC1156" s="53"/>
      <x:c r="AD1156" s="53"/>
      <x:c r="AE1156" s="53"/>
      <x:c r="AF1156" s="53"/>
    </x:row>
    <x:row r="1157">
      <x:c r="A1157" s="53"/>
      <x:c r="B1157" s="53"/>
      <x:c r="C1157" s="53"/>
      <x:c r="D1157" s="53"/>
      <x:c r="E1157" s="53"/>
      <x:c r="F1157" s="53"/>
      <x:c r="G1157" s="53"/>
      <x:c r="H1157" s="53"/>
      <x:c r="I1157" s="53"/>
      <x:c r="J1157" s="53"/>
      <x:c r="K1157" s="53"/>
      <x:c r="L1157" s="53"/>
      <x:c r="M1157" s="53"/>
      <x:c r="N1157" s="53"/>
      <x:c r="O1157" s="53"/>
      <x:c r="P1157" s="53"/>
      <x:c r="Q1157" s="53"/>
      <x:c r="R1157" s="53"/>
      <x:c r="S1157" s="53"/>
      <x:c r="T1157" s="53"/>
      <x:c r="U1157" s="53"/>
      <x:c r="V1157" s="53"/>
      <x:c r="W1157" s="53"/>
      <x:c r="X1157" s="53"/>
      <x:c r="Y1157" s="53"/>
      <x:c r="Z1157" s="53"/>
      <x:c r="AA1157" s="53"/>
      <x:c r="AB1157" s="53"/>
      <x:c r="AC1157" s="53"/>
      <x:c r="AD1157" s="53"/>
      <x:c r="AE1157" s="53"/>
      <x:c r="AF1157" s="53"/>
    </x:row>
    <x:row r="1158">
      <x:c r="A1158" s="53"/>
      <x:c r="B1158" s="53"/>
      <x:c r="C1158" s="53"/>
      <x:c r="D1158" s="53"/>
      <x:c r="E1158" s="53"/>
      <x:c r="F1158" s="53"/>
      <x:c r="G1158" s="53"/>
      <x:c r="H1158" s="53"/>
      <x:c r="I1158" s="53"/>
      <x:c r="J1158" s="53"/>
      <x:c r="K1158" s="53"/>
      <x:c r="L1158" s="53"/>
      <x:c r="M1158" s="53"/>
      <x:c r="N1158" s="53"/>
      <x:c r="O1158" s="53"/>
      <x:c r="P1158" s="53"/>
      <x:c r="Q1158" s="53"/>
      <x:c r="R1158" s="53"/>
      <x:c r="S1158" s="53"/>
      <x:c r="T1158" s="53"/>
      <x:c r="U1158" s="53"/>
      <x:c r="V1158" s="53"/>
      <x:c r="W1158" s="53"/>
      <x:c r="X1158" s="53"/>
      <x:c r="Y1158" s="53"/>
      <x:c r="Z1158" s="53"/>
      <x:c r="AA1158" s="53"/>
      <x:c r="AB1158" s="53"/>
      <x:c r="AC1158" s="53"/>
      <x:c r="AD1158" s="53"/>
      <x:c r="AE1158" s="53"/>
      <x:c r="AF1158" s="53"/>
    </x:row>
    <x:row r="1159">
      <x:c r="A1159" s="53"/>
      <x:c r="B1159" s="53"/>
      <x:c r="C1159" s="53"/>
      <x:c r="D1159" s="53"/>
      <x:c r="E1159" s="53"/>
      <x:c r="F1159" s="53"/>
      <x:c r="G1159" s="53"/>
      <x:c r="H1159" s="53"/>
      <x:c r="I1159" s="53"/>
      <x:c r="J1159" s="53"/>
      <x:c r="K1159" s="53"/>
      <x:c r="L1159" s="53"/>
      <x:c r="M1159" s="53"/>
      <x:c r="N1159" s="53"/>
      <x:c r="O1159" s="53"/>
      <x:c r="P1159" s="53"/>
      <x:c r="Q1159" s="53"/>
      <x:c r="R1159" s="53"/>
      <x:c r="S1159" s="53"/>
      <x:c r="T1159" s="53"/>
      <x:c r="U1159" s="53"/>
      <x:c r="V1159" s="53"/>
      <x:c r="W1159" s="53"/>
      <x:c r="X1159" s="53"/>
      <x:c r="Y1159" s="53"/>
      <x:c r="Z1159" s="53"/>
      <x:c r="AA1159" s="53"/>
      <x:c r="AB1159" s="53"/>
      <x:c r="AC1159" s="53"/>
      <x:c r="AD1159" s="53"/>
      <x:c r="AE1159" s="53"/>
      <x:c r="AF1159" s="53"/>
    </x:row>
    <x:row r="1160">
      <x:c r="A1160" s="53"/>
      <x:c r="B1160" s="53"/>
      <x:c r="C1160" s="53"/>
      <x:c r="D1160" s="53"/>
      <x:c r="E1160" s="53"/>
      <x:c r="F1160" s="53"/>
      <x:c r="G1160" s="53"/>
      <x:c r="H1160" s="53"/>
      <x:c r="I1160" s="53"/>
      <x:c r="J1160" s="53"/>
      <x:c r="K1160" s="53"/>
      <x:c r="L1160" s="53"/>
      <x:c r="M1160" s="53"/>
      <x:c r="N1160" s="53"/>
      <x:c r="O1160" s="53"/>
      <x:c r="P1160" s="53"/>
      <x:c r="Q1160" s="53"/>
      <x:c r="R1160" s="53"/>
      <x:c r="S1160" s="53"/>
      <x:c r="T1160" s="53"/>
      <x:c r="U1160" s="53"/>
      <x:c r="V1160" s="53"/>
      <x:c r="W1160" s="53"/>
      <x:c r="X1160" s="53"/>
      <x:c r="Y1160" s="53"/>
      <x:c r="Z1160" s="53"/>
      <x:c r="AA1160" s="53"/>
      <x:c r="AB1160" s="53"/>
      <x:c r="AC1160" s="53"/>
      <x:c r="AD1160" s="53"/>
      <x:c r="AE1160" s="53"/>
      <x:c r="AF1160" s="53"/>
    </x:row>
    <x:row r="1161">
      <x:c r="A1161" s="53"/>
      <x:c r="B1161" s="53"/>
      <x:c r="C1161" s="53"/>
      <x:c r="D1161" s="53"/>
      <x:c r="E1161" s="53"/>
      <x:c r="F1161" s="53"/>
      <x:c r="G1161" s="53"/>
      <x:c r="H1161" s="53"/>
      <x:c r="I1161" s="53"/>
      <x:c r="J1161" s="53"/>
      <x:c r="K1161" s="53"/>
      <x:c r="L1161" s="53"/>
      <x:c r="M1161" s="53"/>
      <x:c r="N1161" s="53"/>
      <x:c r="O1161" s="53"/>
      <x:c r="P1161" s="53"/>
      <x:c r="Q1161" s="53"/>
      <x:c r="R1161" s="53"/>
      <x:c r="S1161" s="53"/>
      <x:c r="T1161" s="53"/>
      <x:c r="U1161" s="53"/>
      <x:c r="V1161" s="53"/>
      <x:c r="W1161" s="53"/>
      <x:c r="X1161" s="53"/>
      <x:c r="Y1161" s="53"/>
      <x:c r="Z1161" s="53"/>
      <x:c r="AA1161" s="53"/>
      <x:c r="AB1161" s="53"/>
      <x:c r="AC1161" s="53"/>
      <x:c r="AD1161" s="53"/>
      <x:c r="AE1161" s="53"/>
      <x:c r="AF1161" s="53"/>
    </x:row>
    <x:row r="1162">
      <x:c r="A1162" s="53"/>
      <x:c r="B1162" s="53"/>
      <x:c r="C1162" s="53"/>
      <x:c r="D1162" s="53"/>
      <x:c r="E1162" s="53"/>
      <x:c r="F1162" s="53"/>
      <x:c r="G1162" s="53"/>
      <x:c r="H1162" s="53"/>
      <x:c r="I1162" s="53"/>
      <x:c r="J1162" s="53"/>
      <x:c r="K1162" s="53"/>
      <x:c r="L1162" s="53"/>
      <x:c r="M1162" s="53"/>
      <x:c r="N1162" s="53"/>
      <x:c r="O1162" s="53"/>
      <x:c r="P1162" s="53"/>
      <x:c r="Q1162" s="53"/>
      <x:c r="R1162" s="53"/>
      <x:c r="S1162" s="53"/>
      <x:c r="T1162" s="53"/>
      <x:c r="U1162" s="53"/>
      <x:c r="V1162" s="53"/>
      <x:c r="W1162" s="53"/>
      <x:c r="X1162" s="53"/>
      <x:c r="Y1162" s="53"/>
      <x:c r="Z1162" s="53"/>
      <x:c r="AA1162" s="53"/>
      <x:c r="AB1162" s="53"/>
      <x:c r="AC1162" s="53"/>
      <x:c r="AD1162" s="53"/>
      <x:c r="AE1162" s="53"/>
      <x:c r="AF1162" s="53"/>
    </x:row>
    <x:row r="1163">
      <x:c r="A1163" s="53"/>
      <x:c r="B1163" s="53"/>
      <x:c r="C1163" s="53"/>
      <x:c r="D1163" s="53"/>
      <x:c r="E1163" s="53"/>
      <x:c r="F1163" s="53"/>
      <x:c r="G1163" s="53"/>
      <x:c r="H1163" s="53"/>
      <x:c r="I1163" s="53"/>
      <x:c r="J1163" s="53"/>
      <x:c r="K1163" s="53"/>
      <x:c r="L1163" s="53"/>
      <x:c r="M1163" s="53"/>
      <x:c r="N1163" s="53"/>
      <x:c r="O1163" s="53"/>
      <x:c r="P1163" s="53"/>
      <x:c r="Q1163" s="53"/>
      <x:c r="R1163" s="53"/>
      <x:c r="S1163" s="53"/>
      <x:c r="T1163" s="53"/>
      <x:c r="U1163" s="53"/>
      <x:c r="V1163" s="53"/>
      <x:c r="W1163" s="53"/>
      <x:c r="X1163" s="53"/>
      <x:c r="Y1163" s="53"/>
      <x:c r="Z1163" s="53"/>
      <x:c r="AA1163" s="53"/>
      <x:c r="AB1163" s="53"/>
      <x:c r="AC1163" s="53"/>
      <x:c r="AD1163" s="53"/>
      <x:c r="AE1163" s="53"/>
      <x:c r="AF1163" s="53"/>
    </x:row>
    <x:row r="1164">
      <x:c r="A1164" s="53"/>
      <x:c r="B1164" s="53"/>
      <x:c r="C1164" s="53"/>
      <x:c r="D1164" s="53"/>
      <x:c r="E1164" s="53"/>
      <x:c r="F1164" s="53"/>
      <x:c r="G1164" s="53"/>
      <x:c r="H1164" s="53"/>
      <x:c r="I1164" s="53"/>
      <x:c r="J1164" s="53"/>
      <x:c r="K1164" s="53"/>
      <x:c r="L1164" s="53"/>
      <x:c r="M1164" s="53"/>
      <x:c r="N1164" s="53"/>
      <x:c r="O1164" s="53"/>
      <x:c r="P1164" s="53"/>
      <x:c r="Q1164" s="53"/>
      <x:c r="R1164" s="53"/>
      <x:c r="S1164" s="53"/>
      <x:c r="T1164" s="53"/>
      <x:c r="U1164" s="53"/>
      <x:c r="V1164" s="53"/>
      <x:c r="W1164" s="53"/>
      <x:c r="X1164" s="53"/>
      <x:c r="Y1164" s="53"/>
      <x:c r="Z1164" s="53"/>
      <x:c r="AA1164" s="53"/>
      <x:c r="AB1164" s="53"/>
      <x:c r="AC1164" s="53"/>
      <x:c r="AD1164" s="53"/>
      <x:c r="AE1164" s="53"/>
      <x:c r="AF1164" s="53"/>
    </x:row>
    <x:row r="1165">
      <x:c r="A1165" s="53"/>
      <x:c r="B1165" s="53"/>
      <x:c r="C1165" s="53"/>
      <x:c r="D1165" s="53"/>
      <x:c r="E1165" s="53"/>
      <x:c r="F1165" s="53"/>
      <x:c r="G1165" s="53"/>
      <x:c r="H1165" s="53"/>
      <x:c r="I1165" s="53"/>
      <x:c r="J1165" s="53"/>
      <x:c r="K1165" s="53"/>
      <x:c r="L1165" s="53"/>
      <x:c r="M1165" s="53"/>
      <x:c r="N1165" s="53"/>
      <x:c r="O1165" s="53"/>
      <x:c r="P1165" s="53"/>
      <x:c r="Q1165" s="53"/>
      <x:c r="R1165" s="53"/>
      <x:c r="S1165" s="53"/>
      <x:c r="T1165" s="53"/>
      <x:c r="U1165" s="53"/>
      <x:c r="V1165" s="53"/>
      <x:c r="W1165" s="53"/>
      <x:c r="X1165" s="53"/>
      <x:c r="Y1165" s="53"/>
      <x:c r="Z1165" s="53"/>
      <x:c r="AA1165" s="53"/>
      <x:c r="AB1165" s="53"/>
      <x:c r="AC1165" s="53"/>
      <x:c r="AD1165" s="53"/>
      <x:c r="AE1165" s="53"/>
      <x:c r="AF1165" s="53"/>
    </x:row>
    <x:row r="1166">
      <x:c r="A1166" s="53"/>
      <x:c r="B1166" s="53"/>
      <x:c r="C1166" s="53"/>
      <x:c r="D1166" s="53"/>
      <x:c r="E1166" s="53"/>
      <x:c r="F1166" s="53"/>
      <x:c r="G1166" s="53"/>
      <x:c r="H1166" s="53"/>
      <x:c r="I1166" s="53"/>
      <x:c r="J1166" s="53"/>
      <x:c r="K1166" s="53"/>
      <x:c r="L1166" s="53"/>
      <x:c r="M1166" s="53"/>
      <x:c r="N1166" s="53"/>
      <x:c r="O1166" s="53"/>
      <x:c r="P1166" s="53"/>
      <x:c r="Q1166" s="53"/>
      <x:c r="R1166" s="53"/>
      <x:c r="S1166" s="53"/>
      <x:c r="T1166" s="53"/>
      <x:c r="U1166" s="53"/>
      <x:c r="V1166" s="53"/>
      <x:c r="W1166" s="53"/>
      <x:c r="X1166" s="53"/>
      <x:c r="Y1166" s="53"/>
      <x:c r="Z1166" s="53"/>
      <x:c r="AA1166" s="53"/>
      <x:c r="AB1166" s="53"/>
      <x:c r="AC1166" s="53"/>
      <x:c r="AD1166" s="53"/>
      <x:c r="AE1166" s="53"/>
      <x:c r="AF1166" s="53"/>
    </x:row>
    <x:row r="1167">
      <x:c r="A1167" s="53"/>
      <x:c r="B1167" s="53"/>
      <x:c r="C1167" s="53"/>
      <x:c r="D1167" s="53"/>
      <x:c r="E1167" s="53"/>
      <x:c r="F1167" s="53"/>
      <x:c r="G1167" s="53"/>
      <x:c r="H1167" s="53"/>
      <x:c r="I1167" s="53"/>
      <x:c r="J1167" s="53"/>
      <x:c r="K1167" s="53"/>
      <x:c r="L1167" s="53"/>
      <x:c r="M1167" s="53"/>
      <x:c r="N1167" s="53"/>
      <x:c r="O1167" s="53"/>
      <x:c r="P1167" s="53"/>
      <x:c r="Q1167" s="53"/>
      <x:c r="R1167" s="53"/>
      <x:c r="S1167" s="53"/>
      <x:c r="T1167" s="53"/>
      <x:c r="U1167" s="53"/>
      <x:c r="V1167" s="53"/>
      <x:c r="W1167" s="53"/>
      <x:c r="X1167" s="53"/>
      <x:c r="Y1167" s="53"/>
      <x:c r="Z1167" s="53"/>
      <x:c r="AA1167" s="53"/>
      <x:c r="AB1167" s="53"/>
      <x:c r="AC1167" s="53"/>
      <x:c r="AD1167" s="53"/>
      <x:c r="AE1167" s="53"/>
      <x:c r="AF1167" s="53"/>
    </x:row>
    <x:row r="1168">
      <x:c r="A1168" s="53"/>
      <x:c r="B1168" s="53"/>
      <x:c r="C1168" s="53"/>
      <x:c r="D1168" s="53"/>
      <x:c r="E1168" s="53"/>
      <x:c r="F1168" s="53"/>
      <x:c r="G1168" s="53"/>
      <x:c r="H1168" s="53"/>
      <x:c r="I1168" s="53"/>
      <x:c r="J1168" s="53"/>
      <x:c r="K1168" s="53"/>
      <x:c r="L1168" s="53"/>
      <x:c r="M1168" s="53"/>
      <x:c r="N1168" s="53"/>
      <x:c r="O1168" s="53"/>
      <x:c r="P1168" s="53"/>
      <x:c r="Q1168" s="53"/>
      <x:c r="R1168" s="53"/>
      <x:c r="S1168" s="53"/>
      <x:c r="T1168" s="53"/>
      <x:c r="U1168" s="53"/>
      <x:c r="V1168" s="53"/>
      <x:c r="W1168" s="53"/>
      <x:c r="X1168" s="53"/>
      <x:c r="Y1168" s="53"/>
      <x:c r="Z1168" s="53"/>
      <x:c r="AA1168" s="53"/>
      <x:c r="AB1168" s="53"/>
      <x:c r="AC1168" s="53"/>
      <x:c r="AD1168" s="53"/>
      <x:c r="AE1168" s="53"/>
      <x:c r="AF1168" s="53"/>
    </x:row>
    <x:row r="1169">
      <x:c r="A1169" s="53"/>
      <x:c r="B1169" s="53"/>
      <x:c r="C1169" s="53"/>
      <x:c r="D1169" s="53"/>
      <x:c r="E1169" s="53"/>
      <x:c r="F1169" s="53"/>
      <x:c r="G1169" s="53"/>
      <x:c r="H1169" s="53"/>
      <x:c r="I1169" s="53"/>
      <x:c r="J1169" s="53"/>
      <x:c r="K1169" s="53"/>
      <x:c r="L1169" s="53"/>
      <x:c r="M1169" s="53"/>
      <x:c r="N1169" s="53"/>
      <x:c r="O1169" s="53"/>
      <x:c r="P1169" s="53"/>
      <x:c r="Q1169" s="53"/>
      <x:c r="R1169" s="53"/>
      <x:c r="S1169" s="53"/>
      <x:c r="T1169" s="53"/>
      <x:c r="U1169" s="53"/>
      <x:c r="V1169" s="53"/>
      <x:c r="W1169" s="53"/>
      <x:c r="X1169" s="53"/>
      <x:c r="Y1169" s="53"/>
      <x:c r="Z1169" s="53"/>
      <x:c r="AA1169" s="53"/>
      <x:c r="AB1169" s="53"/>
      <x:c r="AC1169" s="53"/>
      <x:c r="AD1169" s="53"/>
      <x:c r="AE1169" s="53"/>
      <x:c r="AF1169" s="53"/>
    </x:row>
    <x:row r="1170">
      <x:c r="A1170" s="53"/>
      <x:c r="B1170" s="53"/>
      <x:c r="C1170" s="53"/>
      <x:c r="D1170" s="53"/>
      <x:c r="E1170" s="53"/>
      <x:c r="F1170" s="53"/>
      <x:c r="G1170" s="53"/>
      <x:c r="H1170" s="53"/>
      <x:c r="I1170" s="53"/>
      <x:c r="J1170" s="53"/>
      <x:c r="K1170" s="53"/>
      <x:c r="L1170" s="53"/>
      <x:c r="M1170" s="53"/>
      <x:c r="N1170" s="53"/>
      <x:c r="O1170" s="53"/>
      <x:c r="P1170" s="53"/>
      <x:c r="Q1170" s="53"/>
      <x:c r="R1170" s="53"/>
      <x:c r="S1170" s="53"/>
      <x:c r="T1170" s="53"/>
      <x:c r="U1170" s="53"/>
      <x:c r="V1170" s="53"/>
      <x:c r="W1170" s="53"/>
      <x:c r="X1170" s="53"/>
      <x:c r="Y1170" s="53"/>
      <x:c r="Z1170" s="53"/>
      <x:c r="AA1170" s="53"/>
      <x:c r="AB1170" s="53"/>
      <x:c r="AC1170" s="53"/>
      <x:c r="AD1170" s="53"/>
      <x:c r="AE1170" s="53"/>
      <x:c r="AF1170" s="53"/>
    </x:row>
    <x:row r="1171">
      <x:c r="A1171" s="53"/>
      <x:c r="B1171" s="53"/>
      <x:c r="C1171" s="53"/>
      <x:c r="D1171" s="53"/>
      <x:c r="E1171" s="53"/>
      <x:c r="F1171" s="53"/>
      <x:c r="G1171" s="53"/>
      <x:c r="H1171" s="53"/>
      <x:c r="I1171" s="53"/>
      <x:c r="J1171" s="53"/>
      <x:c r="K1171" s="53"/>
      <x:c r="L1171" s="53"/>
      <x:c r="M1171" s="53"/>
      <x:c r="N1171" s="53"/>
      <x:c r="O1171" s="53"/>
      <x:c r="P1171" s="53"/>
      <x:c r="Q1171" s="53"/>
      <x:c r="R1171" s="53"/>
      <x:c r="S1171" s="53"/>
      <x:c r="T1171" s="53"/>
      <x:c r="U1171" s="53"/>
      <x:c r="V1171" s="53"/>
      <x:c r="W1171" s="53"/>
      <x:c r="X1171" s="53"/>
      <x:c r="Y1171" s="53"/>
      <x:c r="Z1171" s="53"/>
      <x:c r="AA1171" s="53"/>
      <x:c r="AB1171" s="53"/>
      <x:c r="AC1171" s="53"/>
      <x:c r="AD1171" s="53"/>
      <x:c r="AE1171" s="53"/>
      <x:c r="AF1171" s="53"/>
    </x:row>
    <x:row r="1172">
      <x:c r="A1172" s="53"/>
      <x:c r="B1172" s="53"/>
      <x:c r="C1172" s="53"/>
      <x:c r="D1172" s="53"/>
      <x:c r="E1172" s="53"/>
      <x:c r="F1172" s="53"/>
      <x:c r="G1172" s="53"/>
      <x:c r="H1172" s="53"/>
      <x:c r="I1172" s="53"/>
      <x:c r="J1172" s="53"/>
      <x:c r="K1172" s="53"/>
      <x:c r="L1172" s="53"/>
      <x:c r="M1172" s="53"/>
      <x:c r="N1172" s="53"/>
      <x:c r="O1172" s="53"/>
      <x:c r="P1172" s="53"/>
      <x:c r="Q1172" s="53"/>
      <x:c r="R1172" s="53"/>
      <x:c r="S1172" s="53"/>
      <x:c r="T1172" s="53"/>
      <x:c r="U1172" s="53"/>
      <x:c r="V1172" s="53"/>
      <x:c r="W1172" s="53"/>
      <x:c r="X1172" s="53"/>
      <x:c r="Y1172" s="53"/>
      <x:c r="Z1172" s="53"/>
      <x:c r="AA1172" s="53"/>
      <x:c r="AB1172" s="53"/>
      <x:c r="AC1172" s="53"/>
      <x:c r="AD1172" s="53"/>
      <x:c r="AE1172" s="53"/>
      <x:c r="AF1172" s="53"/>
    </x:row>
    <x:row r="1173">
      <x:c r="A1173" s="53"/>
      <x:c r="B1173" s="53"/>
      <x:c r="C1173" s="53"/>
      <x:c r="D1173" s="53"/>
      <x:c r="E1173" s="53"/>
      <x:c r="F1173" s="53"/>
      <x:c r="G1173" s="53"/>
      <x:c r="H1173" s="53"/>
      <x:c r="I1173" s="53"/>
      <x:c r="J1173" s="53"/>
      <x:c r="K1173" s="53"/>
      <x:c r="L1173" s="53"/>
      <x:c r="M1173" s="53"/>
      <x:c r="N1173" s="53"/>
      <x:c r="O1173" s="53"/>
      <x:c r="P1173" s="53"/>
      <x:c r="Q1173" s="53"/>
      <x:c r="R1173" s="53"/>
      <x:c r="S1173" s="53"/>
      <x:c r="T1173" s="53"/>
      <x:c r="U1173" s="53"/>
      <x:c r="V1173" s="53"/>
      <x:c r="W1173" s="53"/>
      <x:c r="X1173" s="53"/>
      <x:c r="Y1173" s="53"/>
      <x:c r="Z1173" s="53"/>
      <x:c r="AA1173" s="53"/>
      <x:c r="AB1173" s="53"/>
      <x:c r="AC1173" s="53"/>
      <x:c r="AD1173" s="53"/>
      <x:c r="AE1173" s="53"/>
      <x:c r="AF1173" s="53"/>
    </x:row>
    <x:row r="1174">
      <x:c r="A1174" s="53"/>
      <x:c r="B1174" s="53"/>
      <x:c r="C1174" s="53"/>
      <x:c r="D1174" s="53"/>
      <x:c r="E1174" s="53"/>
      <x:c r="F1174" s="53"/>
      <x:c r="G1174" s="53"/>
      <x:c r="H1174" s="53"/>
      <x:c r="I1174" s="53"/>
      <x:c r="J1174" s="53"/>
      <x:c r="K1174" s="53"/>
      <x:c r="L1174" s="53"/>
      <x:c r="M1174" s="53"/>
      <x:c r="N1174" s="53"/>
      <x:c r="O1174" s="53"/>
      <x:c r="P1174" s="53"/>
      <x:c r="Q1174" s="53"/>
      <x:c r="R1174" s="53"/>
      <x:c r="S1174" s="53"/>
      <x:c r="T1174" s="53"/>
      <x:c r="U1174" s="53"/>
      <x:c r="V1174" s="53"/>
      <x:c r="W1174" s="53"/>
      <x:c r="X1174" s="53"/>
      <x:c r="Y1174" s="53"/>
      <x:c r="Z1174" s="53"/>
      <x:c r="AA1174" s="53"/>
      <x:c r="AB1174" s="53"/>
      <x:c r="AC1174" s="53"/>
      <x:c r="AD1174" s="53"/>
      <x:c r="AE1174" s="53"/>
      <x:c r="AF1174" s="53"/>
    </x:row>
    <x:row r="1175">
      <x:c r="A1175" s="53"/>
      <x:c r="B1175" s="53"/>
      <x:c r="C1175" s="53"/>
      <x:c r="D1175" s="53"/>
      <x:c r="E1175" s="53"/>
      <x:c r="F1175" s="53"/>
      <x:c r="G1175" s="53"/>
      <x:c r="H1175" s="53"/>
      <x:c r="I1175" s="53"/>
      <x:c r="J1175" s="53"/>
      <x:c r="K1175" s="53"/>
      <x:c r="L1175" s="53"/>
      <x:c r="M1175" s="53"/>
      <x:c r="N1175" s="53"/>
      <x:c r="O1175" s="53"/>
      <x:c r="P1175" s="53"/>
      <x:c r="Q1175" s="53"/>
      <x:c r="R1175" s="53"/>
      <x:c r="S1175" s="53"/>
      <x:c r="T1175" s="53"/>
      <x:c r="U1175" s="53"/>
      <x:c r="V1175" s="53"/>
      <x:c r="W1175" s="53"/>
      <x:c r="X1175" s="53"/>
      <x:c r="Y1175" s="53"/>
      <x:c r="Z1175" s="53"/>
      <x:c r="AA1175" s="53"/>
      <x:c r="AB1175" s="53"/>
      <x:c r="AC1175" s="53"/>
      <x:c r="AD1175" s="53"/>
      <x:c r="AE1175" s="53"/>
      <x:c r="AF1175" s="53"/>
    </x:row>
    <x:row r="1176">
      <x:c r="A1176" s="53"/>
      <x:c r="B1176" s="53"/>
      <x:c r="C1176" s="53"/>
      <x:c r="D1176" s="53"/>
      <x:c r="E1176" s="53"/>
      <x:c r="F1176" s="53"/>
      <x:c r="G1176" s="53"/>
      <x:c r="H1176" s="53"/>
      <x:c r="I1176" s="53"/>
      <x:c r="J1176" s="53"/>
      <x:c r="K1176" s="53"/>
      <x:c r="L1176" s="53"/>
      <x:c r="M1176" s="53"/>
      <x:c r="N1176" s="53"/>
      <x:c r="O1176" s="53"/>
      <x:c r="P1176" s="53"/>
      <x:c r="Q1176" s="53"/>
      <x:c r="R1176" s="53"/>
      <x:c r="S1176" s="53"/>
      <x:c r="T1176" s="53"/>
      <x:c r="U1176" s="53"/>
      <x:c r="V1176" s="53"/>
      <x:c r="W1176" s="53"/>
      <x:c r="X1176" s="53"/>
      <x:c r="Y1176" s="53"/>
      <x:c r="Z1176" s="53"/>
      <x:c r="AA1176" s="53"/>
      <x:c r="AB1176" s="53"/>
      <x:c r="AC1176" s="53"/>
      <x:c r="AD1176" s="53"/>
      <x:c r="AE1176" s="53"/>
      <x:c r="AF1176" s="53"/>
    </x:row>
    <x:row r="1177">
      <x:c r="A1177" s="53"/>
      <x:c r="B1177" s="53"/>
      <x:c r="C1177" s="53"/>
      <x:c r="D1177" s="53"/>
      <x:c r="E1177" s="53"/>
      <x:c r="F1177" s="53"/>
      <x:c r="G1177" s="53"/>
      <x:c r="H1177" s="53"/>
      <x:c r="I1177" s="53"/>
      <x:c r="J1177" s="53"/>
      <x:c r="K1177" s="53"/>
      <x:c r="L1177" s="53"/>
      <x:c r="M1177" s="53"/>
      <x:c r="N1177" s="53"/>
      <x:c r="O1177" s="53"/>
      <x:c r="P1177" s="53"/>
      <x:c r="Q1177" s="53"/>
      <x:c r="R1177" s="53"/>
      <x:c r="S1177" s="53"/>
      <x:c r="T1177" s="53"/>
      <x:c r="U1177" s="53"/>
      <x:c r="V1177" s="53"/>
      <x:c r="W1177" s="53"/>
      <x:c r="X1177" s="53"/>
      <x:c r="Y1177" s="53"/>
      <x:c r="Z1177" s="53"/>
      <x:c r="AA1177" s="53"/>
      <x:c r="AB1177" s="53"/>
      <x:c r="AC1177" s="53"/>
      <x:c r="AD1177" s="53"/>
      <x:c r="AE1177" s="53"/>
      <x:c r="AF1177" s="53"/>
    </x:row>
    <x:row r="1178">
      <x:c r="A1178" s="53"/>
      <x:c r="B1178" s="53"/>
      <x:c r="C1178" s="53"/>
      <x:c r="D1178" s="53"/>
      <x:c r="E1178" s="53"/>
      <x:c r="F1178" s="53"/>
      <x:c r="G1178" s="53"/>
      <x:c r="H1178" s="53"/>
      <x:c r="I1178" s="53"/>
      <x:c r="J1178" s="53"/>
      <x:c r="K1178" s="53"/>
      <x:c r="L1178" s="53"/>
      <x:c r="M1178" s="53"/>
      <x:c r="N1178" s="53"/>
      <x:c r="O1178" s="53"/>
      <x:c r="P1178" s="53"/>
      <x:c r="Q1178" s="53"/>
      <x:c r="R1178" s="53"/>
      <x:c r="S1178" s="53"/>
      <x:c r="T1178" s="53"/>
      <x:c r="U1178" s="53"/>
      <x:c r="V1178" s="53"/>
      <x:c r="W1178" s="53"/>
      <x:c r="X1178" s="53"/>
      <x:c r="Y1178" s="53"/>
      <x:c r="Z1178" s="53"/>
      <x:c r="AA1178" s="53"/>
      <x:c r="AB1178" s="53"/>
      <x:c r="AC1178" s="53"/>
      <x:c r="AD1178" s="53"/>
      <x:c r="AE1178" s="53"/>
      <x:c r="AF1178" s="53"/>
    </x:row>
    <x:row r="1179">
      <x:c r="A1179" s="53"/>
      <x:c r="B1179" s="53"/>
      <x:c r="C1179" s="53"/>
      <x:c r="D1179" s="53"/>
      <x:c r="E1179" s="53"/>
      <x:c r="F1179" s="53"/>
      <x:c r="G1179" s="53"/>
      <x:c r="H1179" s="53"/>
      <x:c r="I1179" s="53"/>
      <x:c r="J1179" s="53"/>
      <x:c r="K1179" s="53"/>
      <x:c r="L1179" s="53"/>
      <x:c r="M1179" s="53"/>
      <x:c r="N1179" s="53"/>
      <x:c r="O1179" s="53"/>
      <x:c r="P1179" s="53"/>
      <x:c r="Q1179" s="53"/>
      <x:c r="R1179" s="53"/>
      <x:c r="S1179" s="53"/>
      <x:c r="T1179" s="53"/>
      <x:c r="U1179" s="53"/>
      <x:c r="V1179" s="53"/>
      <x:c r="W1179" s="53"/>
      <x:c r="X1179" s="53"/>
      <x:c r="Y1179" s="53"/>
      <x:c r="Z1179" s="53"/>
      <x:c r="AA1179" s="53"/>
      <x:c r="AB1179" s="53"/>
      <x:c r="AC1179" s="53"/>
      <x:c r="AD1179" s="53"/>
      <x:c r="AE1179" s="53"/>
      <x:c r="AF1179" s="53"/>
    </x:row>
    <x:row r="1180">
      <x:c r="A1180" s="53"/>
      <x:c r="B1180" s="53"/>
      <x:c r="C1180" s="53"/>
      <x:c r="D1180" s="53"/>
      <x:c r="E1180" s="53"/>
      <x:c r="F1180" s="53"/>
      <x:c r="G1180" s="53"/>
      <x:c r="H1180" s="53"/>
      <x:c r="I1180" s="53"/>
      <x:c r="J1180" s="53"/>
      <x:c r="K1180" s="53"/>
      <x:c r="L1180" s="53"/>
      <x:c r="M1180" s="53"/>
      <x:c r="N1180" s="53"/>
      <x:c r="O1180" s="53"/>
      <x:c r="P1180" s="53"/>
      <x:c r="Q1180" s="53"/>
      <x:c r="R1180" s="53"/>
      <x:c r="S1180" s="53"/>
      <x:c r="T1180" s="53"/>
      <x:c r="U1180" s="53"/>
      <x:c r="V1180" s="53"/>
      <x:c r="W1180" s="53"/>
      <x:c r="X1180" s="53"/>
      <x:c r="Y1180" s="53"/>
      <x:c r="Z1180" s="53"/>
      <x:c r="AA1180" s="53"/>
      <x:c r="AB1180" s="53"/>
      <x:c r="AC1180" s="53"/>
      <x:c r="AD1180" s="53"/>
      <x:c r="AE1180" s="53"/>
      <x:c r="AF1180" s="53"/>
    </x:row>
    <x:row r="1181">
      <x:c r="A1181" s="53"/>
      <x:c r="B1181" s="53"/>
      <x:c r="C1181" s="53"/>
      <x:c r="D1181" s="53"/>
      <x:c r="E1181" s="53"/>
      <x:c r="F1181" s="53"/>
      <x:c r="G1181" s="53"/>
      <x:c r="H1181" s="53"/>
      <x:c r="I1181" s="53"/>
      <x:c r="J1181" s="53"/>
      <x:c r="K1181" s="53"/>
      <x:c r="L1181" s="53"/>
      <x:c r="M1181" s="53"/>
      <x:c r="N1181" s="53"/>
      <x:c r="O1181" s="53"/>
      <x:c r="P1181" s="53"/>
      <x:c r="Q1181" s="53"/>
      <x:c r="R1181" s="53"/>
      <x:c r="S1181" s="53"/>
      <x:c r="T1181" s="53"/>
      <x:c r="U1181" s="53"/>
      <x:c r="V1181" s="53"/>
      <x:c r="W1181" s="53"/>
      <x:c r="X1181" s="53"/>
      <x:c r="Y1181" s="53"/>
      <x:c r="Z1181" s="53"/>
      <x:c r="AA1181" s="53"/>
      <x:c r="AB1181" s="53"/>
      <x:c r="AC1181" s="53"/>
      <x:c r="AD1181" s="53"/>
      <x:c r="AE1181" s="53"/>
      <x:c r="AF1181" s="53"/>
    </x:row>
    <x:row r="1182">
      <x:c r="A1182" s="53"/>
      <x:c r="B1182" s="53"/>
      <x:c r="C1182" s="53"/>
      <x:c r="D1182" s="53"/>
      <x:c r="E1182" s="53"/>
      <x:c r="F1182" s="53"/>
      <x:c r="G1182" s="53"/>
      <x:c r="H1182" s="53"/>
      <x:c r="I1182" s="53"/>
      <x:c r="J1182" s="53"/>
      <x:c r="K1182" s="53"/>
      <x:c r="L1182" s="53"/>
      <x:c r="M1182" s="53"/>
      <x:c r="N1182" s="53"/>
      <x:c r="O1182" s="53"/>
      <x:c r="P1182" s="53"/>
      <x:c r="Q1182" s="53"/>
      <x:c r="R1182" s="53"/>
      <x:c r="S1182" s="53"/>
      <x:c r="T1182" s="53"/>
      <x:c r="U1182" s="53"/>
      <x:c r="V1182" s="53"/>
      <x:c r="W1182" s="53"/>
      <x:c r="X1182" s="53"/>
      <x:c r="Y1182" s="53"/>
      <x:c r="Z1182" s="53"/>
      <x:c r="AA1182" s="53"/>
      <x:c r="AB1182" s="53"/>
      <x:c r="AC1182" s="53"/>
      <x:c r="AD1182" s="53"/>
      <x:c r="AE1182" s="53"/>
      <x:c r="AF1182" s="53"/>
    </x:row>
    <x:row r="1183">
      <x:c r="A1183" s="53"/>
      <x:c r="B1183" s="53"/>
      <x:c r="C1183" s="53"/>
      <x:c r="D1183" s="53"/>
      <x:c r="E1183" s="53"/>
      <x:c r="F1183" s="53"/>
      <x:c r="G1183" s="53"/>
      <x:c r="H1183" s="53"/>
      <x:c r="I1183" s="53"/>
      <x:c r="J1183" s="53"/>
      <x:c r="K1183" s="53"/>
      <x:c r="L1183" s="53"/>
      <x:c r="M1183" s="53"/>
      <x:c r="N1183" s="53"/>
      <x:c r="O1183" s="53"/>
      <x:c r="P1183" s="53"/>
      <x:c r="Q1183" s="53"/>
      <x:c r="R1183" s="53"/>
      <x:c r="S1183" s="53"/>
      <x:c r="T1183" s="53"/>
      <x:c r="U1183" s="53"/>
      <x:c r="V1183" s="53"/>
      <x:c r="W1183" s="53"/>
      <x:c r="X1183" s="53"/>
      <x:c r="Y1183" s="53"/>
      <x:c r="Z1183" s="53"/>
      <x:c r="AA1183" s="53"/>
      <x:c r="AB1183" s="53"/>
      <x:c r="AC1183" s="53"/>
      <x:c r="AD1183" s="53"/>
      <x:c r="AE1183" s="53"/>
      <x:c r="AF1183" s="53"/>
    </x:row>
    <x:row r="1184">
      <x:c r="A1184" s="53"/>
      <x:c r="B1184" s="53"/>
      <x:c r="C1184" s="53"/>
      <x:c r="D1184" s="53"/>
      <x:c r="E1184" s="53"/>
      <x:c r="F1184" s="53"/>
      <x:c r="G1184" s="53"/>
      <x:c r="H1184" s="53"/>
      <x:c r="I1184" s="53"/>
      <x:c r="J1184" s="53"/>
      <x:c r="K1184" s="53"/>
      <x:c r="L1184" s="53"/>
      <x:c r="M1184" s="53"/>
      <x:c r="N1184" s="53"/>
      <x:c r="O1184" s="53"/>
      <x:c r="P1184" s="53"/>
      <x:c r="Q1184" s="53"/>
      <x:c r="R1184" s="53"/>
      <x:c r="S1184" s="53"/>
      <x:c r="T1184" s="53"/>
      <x:c r="U1184" s="53"/>
      <x:c r="V1184" s="53"/>
      <x:c r="W1184" s="53"/>
      <x:c r="X1184" s="53"/>
      <x:c r="Y1184" s="53"/>
      <x:c r="Z1184" s="53"/>
      <x:c r="AA1184" s="53"/>
      <x:c r="AB1184" s="53"/>
      <x:c r="AC1184" s="53"/>
      <x:c r="AD1184" s="53"/>
      <x:c r="AE1184" s="53"/>
      <x:c r="AF1184" s="53"/>
    </x:row>
    <x:row r="1185">
      <x:c r="A1185" s="53"/>
      <x:c r="B1185" s="53"/>
      <x:c r="C1185" s="53"/>
      <x:c r="D1185" s="53"/>
      <x:c r="E1185" s="53"/>
      <x:c r="F1185" s="53"/>
      <x:c r="G1185" s="53"/>
      <x:c r="H1185" s="53"/>
      <x:c r="I1185" s="53"/>
      <x:c r="J1185" s="53"/>
      <x:c r="K1185" s="53"/>
      <x:c r="L1185" s="53"/>
      <x:c r="M1185" s="53"/>
      <x:c r="N1185" s="53"/>
      <x:c r="O1185" s="53"/>
      <x:c r="P1185" s="53"/>
      <x:c r="Q1185" s="53"/>
      <x:c r="R1185" s="53"/>
      <x:c r="S1185" s="53"/>
      <x:c r="T1185" s="53"/>
      <x:c r="U1185" s="53"/>
      <x:c r="V1185" s="53"/>
      <x:c r="W1185" s="53"/>
      <x:c r="X1185" s="53"/>
      <x:c r="Y1185" s="53"/>
      <x:c r="Z1185" s="53"/>
      <x:c r="AA1185" s="53"/>
      <x:c r="AB1185" s="53"/>
      <x:c r="AC1185" s="53"/>
      <x:c r="AD1185" s="53"/>
      <x:c r="AE1185" s="53"/>
      <x:c r="AF1185" s="53"/>
    </x:row>
    <x:row r="1186">
      <x:c r="A1186" s="53"/>
      <x:c r="B1186" s="53"/>
      <x:c r="C1186" s="53"/>
      <x:c r="D1186" s="53"/>
      <x:c r="E1186" s="53"/>
      <x:c r="F1186" s="53"/>
      <x:c r="G1186" s="53"/>
      <x:c r="H1186" s="53"/>
      <x:c r="I1186" s="53"/>
      <x:c r="J1186" s="53"/>
      <x:c r="K1186" s="53"/>
      <x:c r="L1186" s="53"/>
      <x:c r="M1186" s="53"/>
      <x:c r="N1186" s="53"/>
      <x:c r="O1186" s="53"/>
      <x:c r="P1186" s="53"/>
      <x:c r="Q1186" s="53"/>
      <x:c r="R1186" s="53"/>
      <x:c r="S1186" s="53"/>
      <x:c r="T1186" s="53"/>
      <x:c r="U1186" s="53"/>
      <x:c r="V1186" s="53"/>
      <x:c r="W1186" s="53"/>
      <x:c r="X1186" s="53"/>
      <x:c r="Y1186" s="53"/>
      <x:c r="Z1186" s="53"/>
      <x:c r="AA1186" s="53"/>
      <x:c r="AB1186" s="53"/>
      <x:c r="AC1186" s="53"/>
      <x:c r="AD1186" s="53"/>
      <x:c r="AE1186" s="53"/>
      <x:c r="AF1186" s="53"/>
    </x:row>
    <x:row r="1187">
      <x:c r="A1187" s="53"/>
      <x:c r="B1187" s="53"/>
      <x:c r="C1187" s="53"/>
      <x:c r="D1187" s="53"/>
      <x:c r="E1187" s="53"/>
      <x:c r="F1187" s="53"/>
      <x:c r="G1187" s="53"/>
      <x:c r="H1187" s="53"/>
      <x:c r="I1187" s="53"/>
      <x:c r="J1187" s="53"/>
      <x:c r="K1187" s="53"/>
      <x:c r="L1187" s="53"/>
      <x:c r="M1187" s="53"/>
      <x:c r="N1187" s="53"/>
      <x:c r="O1187" s="53"/>
      <x:c r="P1187" s="53"/>
      <x:c r="Q1187" s="53"/>
      <x:c r="R1187" s="53"/>
      <x:c r="S1187" s="53"/>
      <x:c r="T1187" s="53"/>
      <x:c r="U1187" s="53"/>
      <x:c r="V1187" s="53"/>
      <x:c r="W1187" s="53"/>
      <x:c r="X1187" s="53"/>
      <x:c r="Y1187" s="53"/>
      <x:c r="Z1187" s="53"/>
      <x:c r="AA1187" s="53"/>
      <x:c r="AB1187" s="53"/>
      <x:c r="AC1187" s="53"/>
      <x:c r="AD1187" s="53"/>
      <x:c r="AE1187" s="53"/>
      <x:c r="AF1187" s="53"/>
    </x:row>
    <x:row r="1188">
      <x:c r="A1188" s="53"/>
      <x:c r="B1188" s="53"/>
      <x:c r="C1188" s="53"/>
      <x:c r="D1188" s="53"/>
      <x:c r="E1188" s="53"/>
      <x:c r="F1188" s="53"/>
      <x:c r="G1188" s="53"/>
      <x:c r="H1188" s="53"/>
      <x:c r="I1188" s="53"/>
      <x:c r="J1188" s="53"/>
      <x:c r="K1188" s="53"/>
      <x:c r="L1188" s="53"/>
      <x:c r="M1188" s="53"/>
      <x:c r="N1188" s="53"/>
      <x:c r="O1188" s="53"/>
      <x:c r="P1188" s="53"/>
      <x:c r="Q1188" s="53"/>
      <x:c r="R1188" s="53"/>
      <x:c r="S1188" s="53"/>
      <x:c r="T1188" s="53"/>
      <x:c r="U1188" s="53"/>
      <x:c r="V1188" s="53"/>
      <x:c r="W1188" s="53"/>
      <x:c r="X1188" s="53"/>
      <x:c r="Y1188" s="53"/>
      <x:c r="Z1188" s="53"/>
      <x:c r="AA1188" s="53"/>
      <x:c r="AB1188" s="53"/>
      <x:c r="AC1188" s="53"/>
      <x:c r="AD1188" s="53"/>
      <x:c r="AE1188" s="53"/>
      <x:c r="AF1188" s="53"/>
    </x:row>
    <x:row r="1189">
      <x:c r="A1189" s="53"/>
      <x:c r="B1189" s="53"/>
      <x:c r="C1189" s="53"/>
      <x:c r="D1189" s="53"/>
      <x:c r="E1189" s="53"/>
      <x:c r="F1189" s="53"/>
      <x:c r="G1189" s="53"/>
      <x:c r="H1189" s="53"/>
      <x:c r="I1189" s="53"/>
      <x:c r="J1189" s="53"/>
      <x:c r="K1189" s="53"/>
      <x:c r="L1189" s="53"/>
      <x:c r="M1189" s="53"/>
      <x:c r="N1189" s="53"/>
      <x:c r="O1189" s="53"/>
      <x:c r="P1189" s="53"/>
      <x:c r="Q1189" s="53"/>
      <x:c r="R1189" s="53"/>
      <x:c r="S1189" s="53"/>
      <x:c r="T1189" s="53"/>
      <x:c r="U1189" s="53"/>
      <x:c r="V1189" s="53"/>
      <x:c r="W1189" s="53"/>
      <x:c r="X1189" s="53"/>
      <x:c r="Y1189" s="53"/>
      <x:c r="Z1189" s="53"/>
      <x:c r="AA1189" s="53"/>
      <x:c r="AB1189" s="53"/>
      <x:c r="AC1189" s="53"/>
      <x:c r="AD1189" s="53"/>
      <x:c r="AE1189" s="53"/>
      <x:c r="AF1189" s="53"/>
    </x:row>
    <x:row r="1190">
      <x:c r="A1190" s="53"/>
      <x:c r="B1190" s="53"/>
      <x:c r="C1190" s="53"/>
      <x:c r="D1190" s="53"/>
      <x:c r="E1190" s="53"/>
      <x:c r="F1190" s="53"/>
      <x:c r="G1190" s="53"/>
      <x:c r="H1190" s="53"/>
      <x:c r="I1190" s="53"/>
      <x:c r="J1190" s="53"/>
      <x:c r="K1190" s="53"/>
      <x:c r="L1190" s="53"/>
      <x:c r="M1190" s="53"/>
      <x:c r="N1190" s="53"/>
      <x:c r="O1190" s="53"/>
      <x:c r="P1190" s="53"/>
      <x:c r="Q1190" s="53"/>
      <x:c r="R1190" s="53"/>
      <x:c r="S1190" s="53"/>
      <x:c r="T1190" s="53"/>
      <x:c r="U1190" s="53"/>
      <x:c r="V1190" s="53"/>
      <x:c r="W1190" s="53"/>
      <x:c r="X1190" s="53"/>
      <x:c r="Y1190" s="53"/>
      <x:c r="Z1190" s="53"/>
      <x:c r="AA1190" s="53"/>
      <x:c r="AB1190" s="53"/>
      <x:c r="AC1190" s="53"/>
      <x:c r="AD1190" s="53"/>
      <x:c r="AE1190" s="53"/>
      <x:c r="AF1190" s="53"/>
    </x:row>
    <x:row r="1191">
      <x:c r="A1191" s="53"/>
      <x:c r="B1191" s="53"/>
      <x:c r="C1191" s="53"/>
      <x:c r="D1191" s="53"/>
      <x:c r="E1191" s="53"/>
      <x:c r="F1191" s="53"/>
      <x:c r="G1191" s="53"/>
      <x:c r="H1191" s="53"/>
      <x:c r="I1191" s="53"/>
      <x:c r="J1191" s="53"/>
      <x:c r="K1191" s="53"/>
      <x:c r="L1191" s="53"/>
      <x:c r="M1191" s="53"/>
      <x:c r="N1191" s="53"/>
      <x:c r="O1191" s="53"/>
      <x:c r="P1191" s="53"/>
      <x:c r="Q1191" s="53"/>
      <x:c r="R1191" s="53"/>
      <x:c r="S1191" s="53"/>
      <x:c r="T1191" s="53"/>
      <x:c r="U1191" s="53"/>
      <x:c r="V1191" s="53"/>
      <x:c r="W1191" s="53"/>
      <x:c r="X1191" s="53"/>
      <x:c r="Y1191" s="53"/>
      <x:c r="Z1191" s="53"/>
      <x:c r="AA1191" s="53"/>
      <x:c r="AB1191" s="53"/>
      <x:c r="AC1191" s="53"/>
      <x:c r="AD1191" s="53"/>
      <x:c r="AE1191" s="53"/>
      <x:c r="AF1191" s="53"/>
    </x:row>
    <x:row r="1192">
      <x:c r="A1192" s="53"/>
      <x:c r="B1192" s="53"/>
      <x:c r="C1192" s="53"/>
      <x:c r="D1192" s="53"/>
      <x:c r="E1192" s="53"/>
      <x:c r="F1192" s="53"/>
      <x:c r="G1192" s="53"/>
      <x:c r="H1192" s="53"/>
      <x:c r="I1192" s="53"/>
      <x:c r="J1192" s="53"/>
      <x:c r="K1192" s="53"/>
      <x:c r="L1192" s="53"/>
      <x:c r="M1192" s="53"/>
      <x:c r="N1192" s="53"/>
      <x:c r="O1192" s="53"/>
      <x:c r="P1192" s="53"/>
      <x:c r="Q1192" s="53"/>
      <x:c r="R1192" s="53"/>
      <x:c r="S1192" s="53"/>
      <x:c r="T1192" s="53"/>
      <x:c r="U1192" s="53"/>
      <x:c r="V1192" s="53"/>
      <x:c r="W1192" s="53"/>
      <x:c r="X1192" s="53"/>
      <x:c r="Y1192" s="53"/>
      <x:c r="Z1192" s="53"/>
      <x:c r="AA1192" s="53"/>
      <x:c r="AB1192" s="53"/>
      <x:c r="AC1192" s="53"/>
      <x:c r="AD1192" s="53"/>
      <x:c r="AE1192" s="53"/>
      <x:c r="AF1192" s="53"/>
    </x:row>
    <x:row r="1193">
      <x:c r="A1193" s="53"/>
      <x:c r="B1193" s="53"/>
      <x:c r="C1193" s="53"/>
      <x:c r="D1193" s="53"/>
      <x:c r="E1193" s="53"/>
      <x:c r="F1193" s="53"/>
      <x:c r="G1193" s="53"/>
      <x:c r="H1193" s="53"/>
      <x:c r="I1193" s="53"/>
      <x:c r="J1193" s="53"/>
      <x:c r="K1193" s="53"/>
      <x:c r="L1193" s="53"/>
      <x:c r="M1193" s="53"/>
      <x:c r="N1193" s="53"/>
      <x:c r="O1193" s="53"/>
      <x:c r="P1193" s="53"/>
      <x:c r="Q1193" s="53"/>
      <x:c r="R1193" s="53"/>
      <x:c r="S1193" s="53"/>
      <x:c r="T1193" s="53"/>
      <x:c r="U1193" s="53"/>
      <x:c r="V1193" s="53"/>
      <x:c r="W1193" s="53"/>
      <x:c r="X1193" s="53"/>
      <x:c r="Y1193" s="53"/>
      <x:c r="Z1193" s="53"/>
      <x:c r="AA1193" s="53"/>
      <x:c r="AB1193" s="53"/>
      <x:c r="AC1193" s="53"/>
      <x:c r="AD1193" s="53"/>
      <x:c r="AE1193" s="53"/>
      <x:c r="AF1193" s="53"/>
    </x:row>
    <x:row r="1194">
      <x:c r="A1194" s="53"/>
      <x:c r="B1194" s="53"/>
      <x:c r="C1194" s="53"/>
      <x:c r="D1194" s="53"/>
      <x:c r="E1194" s="53"/>
      <x:c r="F1194" s="53"/>
      <x:c r="G1194" s="53"/>
      <x:c r="H1194" s="53"/>
      <x:c r="I1194" s="53"/>
      <x:c r="J1194" s="53"/>
      <x:c r="K1194" s="53"/>
      <x:c r="L1194" s="53"/>
      <x:c r="M1194" s="53"/>
      <x:c r="N1194" s="53"/>
      <x:c r="O1194" s="53"/>
      <x:c r="P1194" s="53"/>
      <x:c r="Q1194" s="53"/>
      <x:c r="R1194" s="53"/>
      <x:c r="S1194" s="53"/>
      <x:c r="T1194" s="53"/>
      <x:c r="U1194" s="53"/>
      <x:c r="V1194" s="53"/>
      <x:c r="W1194" s="53"/>
      <x:c r="X1194" s="53"/>
      <x:c r="Y1194" s="53"/>
      <x:c r="Z1194" s="53"/>
      <x:c r="AA1194" s="53"/>
      <x:c r="AB1194" s="53"/>
      <x:c r="AC1194" s="53"/>
      <x:c r="AD1194" s="53"/>
      <x:c r="AE1194" s="53"/>
      <x:c r="AF1194" s="53"/>
    </x:row>
    <x:row r="1195">
      <x:c r="A1195" s="53"/>
      <x:c r="B1195" s="53"/>
      <x:c r="C1195" s="53"/>
      <x:c r="D1195" s="53"/>
      <x:c r="E1195" s="53"/>
      <x:c r="F1195" s="53"/>
      <x:c r="G1195" s="53"/>
      <x:c r="H1195" s="53"/>
      <x:c r="I1195" s="53"/>
      <x:c r="J1195" s="53"/>
      <x:c r="K1195" s="53"/>
      <x:c r="L1195" s="53"/>
      <x:c r="M1195" s="53"/>
      <x:c r="N1195" s="53"/>
      <x:c r="O1195" s="53"/>
      <x:c r="P1195" s="53"/>
      <x:c r="Q1195" s="53"/>
      <x:c r="R1195" s="53"/>
      <x:c r="S1195" s="53"/>
      <x:c r="T1195" s="53"/>
      <x:c r="U1195" s="53"/>
      <x:c r="V1195" s="53"/>
      <x:c r="W1195" s="53"/>
      <x:c r="X1195" s="53"/>
      <x:c r="Y1195" s="53"/>
      <x:c r="Z1195" s="53"/>
      <x:c r="AA1195" s="53"/>
      <x:c r="AB1195" s="53"/>
      <x:c r="AC1195" s="53"/>
      <x:c r="AD1195" s="53"/>
      <x:c r="AE1195" s="53"/>
      <x:c r="AF1195" s="53"/>
    </x:row>
    <x:row r="1196">
      <x:c r="A1196" s="53"/>
      <x:c r="B1196" s="53"/>
      <x:c r="C1196" s="53"/>
      <x:c r="D1196" s="53"/>
      <x:c r="E1196" s="53"/>
      <x:c r="F1196" s="53"/>
      <x:c r="G1196" s="53"/>
      <x:c r="H1196" s="53"/>
      <x:c r="I1196" s="53"/>
      <x:c r="J1196" s="53"/>
      <x:c r="K1196" s="53"/>
      <x:c r="L1196" s="53"/>
      <x:c r="M1196" s="53"/>
      <x:c r="N1196" s="53"/>
      <x:c r="O1196" s="53"/>
      <x:c r="P1196" s="53"/>
      <x:c r="Q1196" s="53"/>
      <x:c r="R1196" s="53"/>
      <x:c r="S1196" s="53"/>
      <x:c r="T1196" s="53"/>
      <x:c r="U1196" s="53"/>
      <x:c r="V1196" s="53"/>
      <x:c r="W1196" s="53"/>
      <x:c r="X1196" s="53"/>
      <x:c r="Y1196" s="53"/>
      <x:c r="Z1196" s="53"/>
      <x:c r="AA1196" s="53"/>
      <x:c r="AB1196" s="53"/>
      <x:c r="AC1196" s="53"/>
      <x:c r="AD1196" s="53"/>
      <x:c r="AE1196" s="53"/>
      <x:c r="AF1196" s="53"/>
    </x:row>
    <x:row r="1197">
      <x:c r="A1197" s="53"/>
      <x:c r="B1197" s="53"/>
      <x:c r="C1197" s="53"/>
      <x:c r="D1197" s="53"/>
      <x:c r="E1197" s="53"/>
      <x:c r="F1197" s="53"/>
      <x:c r="G1197" s="53"/>
      <x:c r="H1197" s="53"/>
      <x:c r="I1197" s="53"/>
      <x:c r="J1197" s="53"/>
      <x:c r="K1197" s="53"/>
      <x:c r="L1197" s="53"/>
      <x:c r="M1197" s="53"/>
      <x:c r="N1197" s="53"/>
      <x:c r="O1197" s="53"/>
      <x:c r="P1197" s="53"/>
      <x:c r="Q1197" s="53"/>
      <x:c r="R1197" s="53"/>
      <x:c r="S1197" s="53"/>
      <x:c r="T1197" s="53"/>
      <x:c r="U1197" s="53"/>
      <x:c r="V1197" s="53"/>
      <x:c r="W1197" s="53"/>
      <x:c r="X1197" s="53"/>
      <x:c r="Y1197" s="53"/>
      <x:c r="Z1197" s="53"/>
      <x:c r="AA1197" s="53"/>
      <x:c r="AB1197" s="53"/>
      <x:c r="AC1197" s="53"/>
      <x:c r="AD1197" s="53"/>
      <x:c r="AE1197" s="53"/>
      <x:c r="AF1197" s="53"/>
    </x:row>
    <x:row r="1198">
      <x:c r="A1198" s="53"/>
      <x:c r="B1198" s="53"/>
      <x:c r="C1198" s="53"/>
      <x:c r="D1198" s="53"/>
      <x:c r="E1198" s="53"/>
      <x:c r="F1198" s="53"/>
      <x:c r="G1198" s="53"/>
      <x:c r="H1198" s="53"/>
      <x:c r="I1198" s="53"/>
      <x:c r="J1198" s="53"/>
      <x:c r="K1198" s="53"/>
      <x:c r="L1198" s="53"/>
      <x:c r="M1198" s="53"/>
      <x:c r="N1198" s="53"/>
      <x:c r="O1198" s="53"/>
      <x:c r="P1198" s="53"/>
      <x:c r="Q1198" s="53"/>
      <x:c r="R1198" s="53"/>
      <x:c r="S1198" s="53"/>
      <x:c r="T1198" s="53"/>
      <x:c r="U1198" s="53"/>
      <x:c r="V1198" s="53"/>
      <x:c r="W1198" s="53"/>
      <x:c r="X1198" s="53"/>
      <x:c r="Y1198" s="53"/>
      <x:c r="Z1198" s="53"/>
      <x:c r="AA1198" s="53"/>
      <x:c r="AB1198" s="53"/>
      <x:c r="AC1198" s="53"/>
      <x:c r="AD1198" s="53"/>
      <x:c r="AE1198" s="53"/>
      <x:c r="AF1198" s="53"/>
    </x:row>
    <x:row r="1199">
      <x:c r="A1199" s="53"/>
      <x:c r="B1199" s="53"/>
      <x:c r="C1199" s="53"/>
      <x:c r="D1199" s="53"/>
      <x:c r="E1199" s="53"/>
      <x:c r="F1199" s="53"/>
      <x:c r="G1199" s="53"/>
      <x:c r="H1199" s="53"/>
      <x:c r="I1199" s="53"/>
      <x:c r="J1199" s="53"/>
      <x:c r="K1199" s="53"/>
      <x:c r="L1199" s="53"/>
      <x:c r="M1199" s="53"/>
      <x:c r="N1199" s="53"/>
      <x:c r="O1199" s="53"/>
      <x:c r="P1199" s="53"/>
      <x:c r="Q1199" s="53"/>
      <x:c r="R1199" s="53"/>
      <x:c r="S1199" s="53"/>
      <x:c r="T1199" s="53"/>
      <x:c r="U1199" s="53"/>
      <x:c r="V1199" s="53"/>
      <x:c r="W1199" s="53"/>
      <x:c r="X1199" s="53"/>
      <x:c r="Y1199" s="53"/>
      <x:c r="Z1199" s="53"/>
      <x:c r="AA1199" s="53"/>
      <x:c r="AB1199" s="53"/>
      <x:c r="AC1199" s="53"/>
      <x:c r="AD1199" s="53"/>
      <x:c r="AE1199" s="53"/>
      <x:c r="AF1199" s="53"/>
    </x:row>
    <x:row r="1200">
      <x:c r="A1200" s="53"/>
      <x:c r="B1200" s="53"/>
      <x:c r="C1200" s="53"/>
      <x:c r="D1200" s="53"/>
      <x:c r="E1200" s="53"/>
      <x:c r="F1200" s="53"/>
      <x:c r="G1200" s="53"/>
      <x:c r="H1200" s="53"/>
      <x:c r="I1200" s="53"/>
      <x:c r="J1200" s="53"/>
      <x:c r="K1200" s="53"/>
      <x:c r="L1200" s="53"/>
      <x:c r="M1200" s="53"/>
      <x:c r="N1200" s="53"/>
      <x:c r="O1200" s="53"/>
      <x:c r="P1200" s="53"/>
      <x:c r="Q1200" s="53"/>
      <x:c r="R1200" s="53"/>
      <x:c r="S1200" s="53"/>
      <x:c r="T1200" s="53"/>
      <x:c r="U1200" s="53"/>
      <x:c r="V1200" s="53"/>
      <x:c r="W1200" s="53"/>
      <x:c r="X1200" s="53"/>
      <x:c r="Y1200" s="53"/>
      <x:c r="Z1200" s="53"/>
      <x:c r="AA1200" s="53"/>
      <x:c r="AB1200" s="53"/>
      <x:c r="AC1200" s="53"/>
      <x:c r="AD1200" s="53"/>
      <x:c r="AE1200" s="53"/>
      <x:c r="AF1200" s="53"/>
    </x:row>
    <x:row r="1201">
      <x:c r="A1201" s="53"/>
      <x:c r="B1201" s="53"/>
      <x:c r="C1201" s="53"/>
      <x:c r="D1201" s="53"/>
      <x:c r="E1201" s="53"/>
      <x:c r="F1201" s="53"/>
      <x:c r="G1201" s="53"/>
      <x:c r="H1201" s="53"/>
      <x:c r="I1201" s="53"/>
      <x:c r="J1201" s="53"/>
      <x:c r="K1201" s="53"/>
      <x:c r="L1201" s="53"/>
      <x:c r="M1201" s="53"/>
      <x:c r="N1201" s="53"/>
      <x:c r="O1201" s="53"/>
      <x:c r="P1201" s="53"/>
      <x:c r="Q1201" s="53"/>
      <x:c r="R1201" s="53"/>
      <x:c r="S1201" s="53"/>
      <x:c r="T1201" s="53"/>
      <x:c r="U1201" s="53"/>
      <x:c r="V1201" s="53"/>
      <x:c r="W1201" s="53"/>
      <x:c r="X1201" s="53"/>
      <x:c r="Y1201" s="53"/>
      <x:c r="Z1201" s="53"/>
      <x:c r="AA1201" s="53"/>
      <x:c r="AB1201" s="53"/>
      <x:c r="AC1201" s="53"/>
      <x:c r="AD1201" s="53"/>
      <x:c r="AE1201" s="53"/>
      <x:c r="AF1201" s="53"/>
    </x:row>
    <x:row r="1202">
      <x:c r="A1202" s="53"/>
      <x:c r="B1202" s="53"/>
      <x:c r="C1202" s="53"/>
      <x:c r="D1202" s="53"/>
      <x:c r="E1202" s="53"/>
      <x:c r="F1202" s="53"/>
      <x:c r="G1202" s="53"/>
      <x:c r="H1202" s="53"/>
      <x:c r="I1202" s="53"/>
      <x:c r="J1202" s="53"/>
      <x:c r="K1202" s="53"/>
      <x:c r="L1202" s="53"/>
      <x:c r="M1202" s="53"/>
      <x:c r="N1202" s="53"/>
      <x:c r="O1202" s="53"/>
      <x:c r="P1202" s="53"/>
      <x:c r="Q1202" s="53"/>
      <x:c r="R1202" s="53"/>
      <x:c r="S1202" s="53"/>
      <x:c r="T1202" s="53"/>
      <x:c r="U1202" s="53"/>
      <x:c r="V1202" s="53"/>
      <x:c r="W1202" s="53"/>
      <x:c r="X1202" s="53"/>
      <x:c r="Y1202" s="53"/>
      <x:c r="Z1202" s="53"/>
      <x:c r="AA1202" s="53"/>
      <x:c r="AB1202" s="53"/>
      <x:c r="AC1202" s="53"/>
      <x:c r="AD1202" s="53"/>
      <x:c r="AE1202" s="53"/>
      <x:c r="AF1202" s="53"/>
    </x:row>
    <x:row r="1203">
      <x:c r="A1203" s="53"/>
      <x:c r="B1203" s="53"/>
      <x:c r="C1203" s="53"/>
      <x:c r="D1203" s="53"/>
      <x:c r="E1203" s="53"/>
      <x:c r="F1203" s="53"/>
      <x:c r="G1203" s="53"/>
      <x:c r="H1203" s="53"/>
      <x:c r="I1203" s="53"/>
      <x:c r="J1203" s="53"/>
      <x:c r="K1203" s="53"/>
      <x:c r="L1203" s="53"/>
      <x:c r="M1203" s="53"/>
      <x:c r="N1203" s="53"/>
      <x:c r="O1203" s="53"/>
      <x:c r="P1203" s="53"/>
      <x:c r="Q1203" s="53"/>
      <x:c r="R1203" s="53"/>
      <x:c r="S1203" s="53"/>
      <x:c r="T1203" s="53"/>
      <x:c r="U1203" s="53"/>
      <x:c r="V1203" s="53"/>
      <x:c r="W1203" s="53"/>
      <x:c r="X1203" s="53"/>
      <x:c r="Y1203" s="53"/>
      <x:c r="Z1203" s="53"/>
      <x:c r="AA1203" s="53"/>
      <x:c r="AB1203" s="53"/>
      <x:c r="AC1203" s="53"/>
      <x:c r="AD1203" s="53"/>
      <x:c r="AE1203" s="53"/>
      <x:c r="AF1203" s="53"/>
    </x:row>
    <x:row r="1204">
      <x:c r="A1204" s="53"/>
      <x:c r="B1204" s="53"/>
      <x:c r="C1204" s="53"/>
      <x:c r="D1204" s="53"/>
      <x:c r="E1204" s="53"/>
      <x:c r="F1204" s="53"/>
      <x:c r="G1204" s="53"/>
      <x:c r="H1204" s="53"/>
      <x:c r="I1204" s="53"/>
      <x:c r="J1204" s="53"/>
      <x:c r="K1204" s="53"/>
      <x:c r="L1204" s="53"/>
      <x:c r="M1204" s="53"/>
      <x:c r="N1204" s="53"/>
      <x:c r="O1204" s="53"/>
      <x:c r="P1204" s="53"/>
      <x:c r="Q1204" s="53"/>
      <x:c r="R1204" s="53"/>
      <x:c r="S1204" s="53"/>
      <x:c r="T1204" s="53"/>
      <x:c r="U1204" s="53"/>
      <x:c r="V1204" s="53"/>
      <x:c r="W1204" s="53"/>
      <x:c r="X1204" s="53"/>
      <x:c r="Y1204" s="53"/>
      <x:c r="Z1204" s="53"/>
      <x:c r="AA1204" s="53"/>
      <x:c r="AB1204" s="53"/>
      <x:c r="AC1204" s="53"/>
      <x:c r="AD1204" s="53"/>
      <x:c r="AE1204" s="53"/>
      <x:c r="AF1204" s="53"/>
    </x:row>
    <x:row r="1205">
      <x:c r="A1205" s="53"/>
      <x:c r="B1205" s="53"/>
      <x:c r="C1205" s="53"/>
      <x:c r="D1205" s="53"/>
      <x:c r="E1205" s="53"/>
      <x:c r="F1205" s="53"/>
      <x:c r="G1205" s="53"/>
      <x:c r="H1205" s="53"/>
      <x:c r="I1205" s="53"/>
      <x:c r="J1205" s="53"/>
      <x:c r="K1205" s="53"/>
      <x:c r="L1205" s="53"/>
      <x:c r="M1205" s="53"/>
      <x:c r="N1205" s="53"/>
      <x:c r="O1205" s="53"/>
      <x:c r="P1205" s="53"/>
      <x:c r="Q1205" s="53"/>
      <x:c r="R1205" s="53"/>
      <x:c r="S1205" s="53"/>
      <x:c r="T1205" s="53"/>
      <x:c r="U1205" s="53"/>
      <x:c r="V1205" s="53"/>
      <x:c r="W1205" s="53"/>
      <x:c r="X1205" s="53"/>
      <x:c r="Y1205" s="53"/>
      <x:c r="Z1205" s="53"/>
      <x:c r="AA1205" s="53"/>
      <x:c r="AB1205" s="53"/>
      <x:c r="AC1205" s="53"/>
      <x:c r="AD1205" s="53"/>
      <x:c r="AE1205" s="53"/>
      <x:c r="AF1205" s="53"/>
    </x:row>
    <x:row r="1206">
      <x:c r="A1206" s="53"/>
      <x:c r="B1206" s="53"/>
      <x:c r="C1206" s="53"/>
      <x:c r="D1206" s="53"/>
      <x:c r="E1206" s="53"/>
      <x:c r="F1206" s="53"/>
      <x:c r="G1206" s="53"/>
      <x:c r="H1206" s="53"/>
      <x:c r="I1206" s="53"/>
      <x:c r="J1206" s="53"/>
      <x:c r="K1206" s="53"/>
      <x:c r="L1206" s="53"/>
      <x:c r="M1206" s="53"/>
      <x:c r="N1206" s="53"/>
      <x:c r="O1206" s="53"/>
      <x:c r="P1206" s="53"/>
      <x:c r="Q1206" s="53"/>
      <x:c r="R1206" s="53"/>
      <x:c r="S1206" s="53"/>
      <x:c r="T1206" s="53"/>
      <x:c r="U1206" s="53"/>
      <x:c r="V1206" s="53"/>
      <x:c r="W1206" s="53"/>
      <x:c r="X1206" s="53"/>
      <x:c r="Y1206" s="53"/>
      <x:c r="Z1206" s="53"/>
      <x:c r="AA1206" s="53"/>
      <x:c r="AB1206" s="53"/>
      <x:c r="AC1206" s="53"/>
      <x:c r="AD1206" s="53"/>
      <x:c r="AE1206" s="53"/>
      <x:c r="AF1206" s="53"/>
    </x:row>
    <x:row r="1207">
      <x:c r="A1207" s="53"/>
      <x:c r="B1207" s="53"/>
      <x:c r="C1207" s="53"/>
      <x:c r="D1207" s="53"/>
      <x:c r="E1207" s="53"/>
      <x:c r="F1207" s="53"/>
      <x:c r="G1207" s="53"/>
      <x:c r="H1207" s="53"/>
      <x:c r="I1207" s="53"/>
      <x:c r="J1207" s="53"/>
      <x:c r="K1207" s="53"/>
      <x:c r="L1207" s="53"/>
      <x:c r="M1207" s="53"/>
      <x:c r="N1207" s="53"/>
      <x:c r="O1207" s="53"/>
      <x:c r="P1207" s="53"/>
      <x:c r="Q1207" s="53"/>
      <x:c r="R1207" s="53"/>
      <x:c r="S1207" s="53"/>
      <x:c r="T1207" s="53"/>
      <x:c r="U1207" s="53"/>
      <x:c r="V1207" s="53"/>
      <x:c r="W1207" s="53"/>
      <x:c r="X1207" s="53"/>
      <x:c r="Y1207" s="53"/>
      <x:c r="Z1207" s="53"/>
      <x:c r="AA1207" s="53"/>
      <x:c r="AB1207" s="53"/>
      <x:c r="AC1207" s="53"/>
      <x:c r="AD1207" s="53"/>
      <x:c r="AE1207" s="53"/>
      <x:c r="AF1207" s="53"/>
    </x:row>
    <x:row r="1208">
      <x:c r="A1208" s="53"/>
      <x:c r="B1208" s="53"/>
      <x:c r="C1208" s="53"/>
      <x:c r="D1208" s="53"/>
      <x:c r="E1208" s="53"/>
      <x:c r="F1208" s="53"/>
      <x:c r="G1208" s="53"/>
      <x:c r="H1208" s="53"/>
      <x:c r="I1208" s="53"/>
      <x:c r="J1208" s="53"/>
      <x:c r="K1208" s="53"/>
      <x:c r="L1208" s="53"/>
      <x:c r="M1208" s="53"/>
      <x:c r="N1208" s="53"/>
      <x:c r="O1208" s="53"/>
      <x:c r="P1208" s="53"/>
      <x:c r="Q1208" s="53"/>
      <x:c r="R1208" s="53"/>
      <x:c r="S1208" s="53"/>
      <x:c r="T1208" s="53"/>
      <x:c r="U1208" s="53"/>
      <x:c r="V1208" s="53"/>
      <x:c r="W1208" s="53"/>
      <x:c r="X1208" s="53"/>
      <x:c r="Y1208" s="53"/>
      <x:c r="Z1208" s="53"/>
      <x:c r="AA1208" s="53"/>
      <x:c r="AB1208" s="53"/>
      <x:c r="AC1208" s="53"/>
      <x:c r="AD1208" s="53"/>
      <x:c r="AE1208" s="53"/>
      <x:c r="AF1208" s="53"/>
    </x:row>
    <x:row r="1209">
      <x:c r="A1209" s="53"/>
      <x:c r="B1209" s="53"/>
      <x:c r="C1209" s="53"/>
      <x:c r="D1209" s="53"/>
      <x:c r="E1209" s="53"/>
      <x:c r="F1209" s="53"/>
      <x:c r="G1209" s="53"/>
      <x:c r="H1209" s="53"/>
      <x:c r="I1209" s="53"/>
      <x:c r="J1209" s="53"/>
      <x:c r="K1209" s="53"/>
      <x:c r="L1209" s="53"/>
      <x:c r="M1209" s="53"/>
      <x:c r="N1209" s="53"/>
      <x:c r="O1209" s="53"/>
      <x:c r="P1209" s="53"/>
      <x:c r="Q1209" s="53"/>
      <x:c r="R1209" s="53"/>
      <x:c r="S1209" s="53"/>
      <x:c r="T1209" s="53"/>
      <x:c r="U1209" s="53"/>
      <x:c r="V1209" s="53"/>
      <x:c r="W1209" s="53"/>
      <x:c r="X1209" s="53"/>
      <x:c r="Y1209" s="53"/>
      <x:c r="Z1209" s="53"/>
      <x:c r="AA1209" s="53"/>
      <x:c r="AB1209" s="53"/>
      <x:c r="AC1209" s="53"/>
      <x:c r="AD1209" s="53"/>
      <x:c r="AE1209" s="53"/>
      <x:c r="AF1209" s="53"/>
    </x:row>
    <x:row r="1210">
      <x:c r="A1210" s="53"/>
      <x:c r="B1210" s="53"/>
      <x:c r="C1210" s="53"/>
      <x:c r="D1210" s="53"/>
      <x:c r="E1210" s="53"/>
      <x:c r="F1210" s="53"/>
      <x:c r="G1210" s="53"/>
      <x:c r="H1210" s="53"/>
      <x:c r="I1210" s="53"/>
      <x:c r="J1210" s="53"/>
      <x:c r="K1210" s="53"/>
      <x:c r="L1210" s="53"/>
      <x:c r="M1210" s="53"/>
      <x:c r="N1210" s="53"/>
      <x:c r="O1210" s="53"/>
      <x:c r="P1210" s="53"/>
      <x:c r="Q1210" s="53"/>
      <x:c r="R1210" s="53"/>
      <x:c r="S1210" s="53"/>
      <x:c r="T1210" s="53"/>
      <x:c r="U1210" s="53"/>
      <x:c r="V1210" s="53"/>
      <x:c r="W1210" s="53"/>
      <x:c r="X1210" s="53"/>
      <x:c r="Y1210" s="53"/>
      <x:c r="Z1210" s="53"/>
      <x:c r="AA1210" s="53"/>
      <x:c r="AB1210" s="53"/>
      <x:c r="AC1210" s="53"/>
      <x:c r="AD1210" s="53"/>
      <x:c r="AE1210" s="53"/>
      <x:c r="AF1210" s="53"/>
    </x:row>
    <x:row r="1211">
      <x:c r="A1211" s="53"/>
      <x:c r="B1211" s="53"/>
      <x:c r="C1211" s="53"/>
      <x:c r="D1211" s="53"/>
      <x:c r="E1211" s="53"/>
      <x:c r="F1211" s="53"/>
      <x:c r="G1211" s="53"/>
      <x:c r="H1211" s="53"/>
      <x:c r="I1211" s="53"/>
      <x:c r="J1211" s="53"/>
      <x:c r="K1211" s="53"/>
      <x:c r="L1211" s="53"/>
      <x:c r="M1211" s="53"/>
      <x:c r="N1211" s="53"/>
      <x:c r="O1211" s="53"/>
      <x:c r="P1211" s="53"/>
      <x:c r="Q1211" s="53"/>
      <x:c r="R1211" s="53"/>
      <x:c r="S1211" s="53"/>
      <x:c r="T1211" s="53"/>
      <x:c r="U1211" s="53"/>
      <x:c r="V1211" s="53"/>
      <x:c r="W1211" s="53"/>
      <x:c r="X1211" s="53"/>
      <x:c r="Y1211" s="53"/>
      <x:c r="Z1211" s="53"/>
      <x:c r="AA1211" s="53"/>
      <x:c r="AB1211" s="53"/>
      <x:c r="AC1211" s="53"/>
      <x:c r="AD1211" s="53"/>
      <x:c r="AE1211" s="53"/>
      <x:c r="AF1211" s="53"/>
    </x:row>
    <x:row r="1212">
      <x:c r="A1212" s="53"/>
      <x:c r="B1212" s="53"/>
      <x:c r="C1212" s="53"/>
      <x:c r="D1212" s="53"/>
      <x:c r="E1212" s="53"/>
      <x:c r="F1212" s="53"/>
      <x:c r="G1212" s="53"/>
      <x:c r="H1212" s="53"/>
      <x:c r="I1212" s="53"/>
      <x:c r="J1212" s="53"/>
      <x:c r="K1212" s="53"/>
      <x:c r="L1212" s="53"/>
      <x:c r="M1212" s="53"/>
      <x:c r="N1212" s="53"/>
      <x:c r="O1212" s="53"/>
      <x:c r="P1212" s="53"/>
      <x:c r="Q1212" s="53"/>
      <x:c r="R1212" s="53"/>
      <x:c r="S1212" s="53"/>
      <x:c r="T1212" s="53"/>
      <x:c r="U1212" s="53"/>
      <x:c r="V1212" s="53"/>
      <x:c r="W1212" s="53"/>
      <x:c r="X1212" s="53"/>
      <x:c r="Y1212" s="53"/>
      <x:c r="Z1212" s="53"/>
      <x:c r="AA1212" s="53"/>
      <x:c r="AB1212" s="53"/>
      <x:c r="AC1212" s="53"/>
      <x:c r="AD1212" s="53"/>
      <x:c r="AE1212" s="53"/>
      <x:c r="AF1212" s="53"/>
    </x:row>
    <x:row r="1213">
      <x:c r="A1213" s="53"/>
      <x:c r="B1213" s="53"/>
      <x:c r="C1213" s="53"/>
      <x:c r="D1213" s="53"/>
      <x:c r="E1213" s="53"/>
      <x:c r="F1213" s="53"/>
      <x:c r="G1213" s="53"/>
      <x:c r="H1213" s="53"/>
      <x:c r="I1213" s="53"/>
      <x:c r="J1213" s="53"/>
      <x:c r="K1213" s="53"/>
      <x:c r="L1213" s="53"/>
      <x:c r="M1213" s="53"/>
      <x:c r="N1213" s="53"/>
      <x:c r="O1213" s="53"/>
      <x:c r="P1213" s="53"/>
      <x:c r="Q1213" s="53"/>
      <x:c r="R1213" s="53"/>
      <x:c r="S1213" s="53"/>
      <x:c r="T1213" s="53"/>
      <x:c r="U1213" s="53"/>
      <x:c r="V1213" s="53"/>
      <x:c r="W1213" s="53"/>
      <x:c r="X1213" s="53"/>
      <x:c r="Y1213" s="53"/>
      <x:c r="Z1213" s="53"/>
      <x:c r="AA1213" s="53"/>
      <x:c r="AB1213" s="53"/>
      <x:c r="AC1213" s="53"/>
      <x:c r="AD1213" s="53"/>
      <x:c r="AE1213" s="53"/>
      <x:c r="AF1213" s="53"/>
    </x:row>
    <x:row r="1214">
      <x:c r="A1214" s="53"/>
      <x:c r="B1214" s="53"/>
      <x:c r="C1214" s="53"/>
      <x:c r="D1214" s="53"/>
      <x:c r="E1214" s="53"/>
      <x:c r="F1214" s="53"/>
      <x:c r="G1214" s="53"/>
      <x:c r="H1214" s="53"/>
      <x:c r="I1214" s="53"/>
      <x:c r="J1214" s="53"/>
      <x:c r="K1214" s="53"/>
      <x:c r="L1214" s="53"/>
      <x:c r="M1214" s="53"/>
      <x:c r="N1214" s="53"/>
      <x:c r="O1214" s="53"/>
      <x:c r="P1214" s="53"/>
      <x:c r="Q1214" s="53"/>
      <x:c r="R1214" s="53"/>
      <x:c r="S1214" s="53"/>
      <x:c r="T1214" s="53"/>
      <x:c r="U1214" s="53"/>
      <x:c r="V1214" s="53"/>
      <x:c r="W1214" s="53"/>
      <x:c r="X1214" s="53"/>
      <x:c r="Y1214" s="53"/>
      <x:c r="Z1214" s="53"/>
      <x:c r="AA1214" s="53"/>
      <x:c r="AB1214" s="53"/>
      <x:c r="AC1214" s="53"/>
      <x:c r="AD1214" s="53"/>
      <x:c r="AE1214" s="53"/>
      <x:c r="AF1214" s="53"/>
    </x:row>
    <x:row r="1215">
      <x:c r="A1215" s="53"/>
      <x:c r="B1215" s="53"/>
      <x:c r="C1215" s="53"/>
      <x:c r="D1215" s="53"/>
      <x:c r="E1215" s="53"/>
      <x:c r="F1215" s="53"/>
      <x:c r="G1215" s="53"/>
      <x:c r="H1215" s="53"/>
      <x:c r="I1215" s="53"/>
      <x:c r="J1215" s="53"/>
      <x:c r="K1215" s="53"/>
      <x:c r="L1215" s="53"/>
      <x:c r="M1215" s="53"/>
      <x:c r="N1215" s="53"/>
      <x:c r="O1215" s="53"/>
      <x:c r="P1215" s="53"/>
      <x:c r="Q1215" s="53"/>
      <x:c r="R1215" s="53"/>
      <x:c r="S1215" s="53"/>
      <x:c r="T1215" s="53"/>
      <x:c r="U1215" s="53"/>
      <x:c r="V1215" s="53"/>
      <x:c r="W1215" s="53"/>
      <x:c r="X1215" s="53"/>
      <x:c r="Y1215" s="53"/>
      <x:c r="Z1215" s="53"/>
      <x:c r="AA1215" s="53"/>
      <x:c r="AB1215" s="53"/>
      <x:c r="AC1215" s="53"/>
      <x:c r="AD1215" s="53"/>
      <x:c r="AE1215" s="53"/>
      <x:c r="AF1215" s="53"/>
    </x:row>
    <x:row r="1216">
      <x:c r="A1216" s="53"/>
      <x:c r="B1216" s="53"/>
      <x:c r="C1216" s="53"/>
      <x:c r="D1216" s="53"/>
      <x:c r="E1216" s="53"/>
      <x:c r="F1216" s="53"/>
      <x:c r="G1216" s="53"/>
      <x:c r="H1216" s="53"/>
      <x:c r="I1216" s="53"/>
      <x:c r="J1216" s="53"/>
      <x:c r="K1216" s="53"/>
      <x:c r="L1216" s="53"/>
      <x:c r="M1216" s="53"/>
      <x:c r="N1216" s="53"/>
      <x:c r="O1216" s="53"/>
      <x:c r="P1216" s="53"/>
      <x:c r="Q1216" s="53"/>
      <x:c r="R1216" s="53"/>
      <x:c r="S1216" s="53"/>
      <x:c r="T1216" s="53"/>
      <x:c r="U1216" s="53"/>
      <x:c r="V1216" s="53"/>
      <x:c r="W1216" s="53"/>
      <x:c r="X1216" s="53"/>
      <x:c r="Y1216" s="53"/>
      <x:c r="Z1216" s="53"/>
      <x:c r="AA1216" s="53"/>
      <x:c r="AB1216" s="53"/>
      <x:c r="AC1216" s="53"/>
      <x:c r="AD1216" s="53"/>
      <x:c r="AE1216" s="53"/>
      <x:c r="AF1216" s="53"/>
    </x:row>
    <x:row r="1217">
      <x:c r="A1217" s="53"/>
      <x:c r="B1217" s="53"/>
      <x:c r="C1217" s="53"/>
      <x:c r="D1217" s="53"/>
      <x:c r="E1217" s="53"/>
      <x:c r="F1217" s="53"/>
      <x:c r="G1217" s="53"/>
      <x:c r="H1217" s="53"/>
      <x:c r="I1217" s="53"/>
      <x:c r="J1217" s="53"/>
      <x:c r="K1217" s="53"/>
      <x:c r="L1217" s="53"/>
      <x:c r="M1217" s="53"/>
      <x:c r="N1217" s="53"/>
      <x:c r="O1217" s="53"/>
      <x:c r="P1217" s="53"/>
      <x:c r="Q1217" s="53"/>
      <x:c r="R1217" s="53"/>
      <x:c r="S1217" s="53"/>
      <x:c r="T1217" s="53"/>
      <x:c r="U1217" s="53"/>
      <x:c r="V1217" s="53"/>
      <x:c r="W1217" s="53"/>
      <x:c r="X1217" s="53"/>
      <x:c r="Y1217" s="53"/>
      <x:c r="Z1217" s="53"/>
      <x:c r="AA1217" s="53"/>
      <x:c r="AB1217" s="53"/>
      <x:c r="AC1217" s="53"/>
      <x:c r="AD1217" s="53"/>
      <x:c r="AE1217" s="53"/>
      <x:c r="AF1217" s="53"/>
    </x:row>
    <x:row r="1218">
      <x:c r="A1218" s="53"/>
      <x:c r="B1218" s="53"/>
      <x:c r="C1218" s="53"/>
      <x:c r="D1218" s="53"/>
      <x:c r="E1218" s="53"/>
      <x:c r="F1218" s="53"/>
      <x:c r="G1218" s="53"/>
      <x:c r="H1218" s="53"/>
      <x:c r="I1218" s="53"/>
      <x:c r="J1218" s="53"/>
      <x:c r="K1218" s="53"/>
      <x:c r="L1218" s="53"/>
      <x:c r="M1218" s="53"/>
      <x:c r="N1218" s="53"/>
      <x:c r="O1218" s="53"/>
      <x:c r="P1218" s="53"/>
      <x:c r="Q1218" s="53"/>
      <x:c r="R1218" s="53"/>
      <x:c r="S1218" s="53"/>
      <x:c r="T1218" s="53"/>
      <x:c r="U1218" s="53"/>
      <x:c r="V1218" s="53"/>
      <x:c r="W1218" s="53"/>
      <x:c r="X1218" s="53"/>
      <x:c r="Y1218" s="53"/>
      <x:c r="Z1218" s="53"/>
      <x:c r="AA1218" s="53"/>
      <x:c r="AB1218" s="53"/>
      <x:c r="AC1218" s="53"/>
      <x:c r="AD1218" s="53"/>
      <x:c r="AE1218" s="53"/>
      <x:c r="AF1218" s="53"/>
    </x:row>
    <x:row r="1219">
      <x:c r="A1219" s="53"/>
      <x:c r="B1219" s="53"/>
      <x:c r="C1219" s="53"/>
      <x:c r="D1219" s="53"/>
      <x:c r="E1219" s="53"/>
      <x:c r="F1219" s="53"/>
      <x:c r="G1219" s="53"/>
      <x:c r="H1219" s="53"/>
      <x:c r="I1219" s="53"/>
      <x:c r="J1219" s="53"/>
      <x:c r="K1219" s="53"/>
      <x:c r="L1219" s="53"/>
      <x:c r="M1219" s="53"/>
      <x:c r="N1219" s="53"/>
      <x:c r="O1219" s="53"/>
      <x:c r="P1219" s="53"/>
      <x:c r="Q1219" s="53"/>
      <x:c r="R1219" s="53"/>
      <x:c r="S1219" s="53"/>
      <x:c r="T1219" s="53"/>
      <x:c r="U1219" s="53"/>
      <x:c r="V1219" s="53"/>
      <x:c r="W1219" s="53"/>
      <x:c r="X1219" s="53"/>
      <x:c r="Y1219" s="53"/>
      <x:c r="Z1219" s="53"/>
      <x:c r="AA1219" s="53"/>
      <x:c r="AB1219" s="53"/>
      <x:c r="AC1219" s="53"/>
      <x:c r="AD1219" s="53"/>
      <x:c r="AE1219" s="53"/>
      <x:c r="AF1219" s="53"/>
    </x:row>
    <x:row r="1220">
      <x:c r="A1220" s="53"/>
      <x:c r="B1220" s="53"/>
      <x:c r="C1220" s="53"/>
      <x:c r="D1220" s="53"/>
      <x:c r="E1220" s="53"/>
      <x:c r="F1220" s="53"/>
      <x:c r="G1220" s="53"/>
      <x:c r="H1220" s="53"/>
      <x:c r="I1220" s="53"/>
      <x:c r="J1220" s="53"/>
      <x:c r="K1220" s="53"/>
      <x:c r="L1220" s="53"/>
      <x:c r="M1220" s="53"/>
      <x:c r="N1220" s="53"/>
      <x:c r="O1220" s="53"/>
      <x:c r="P1220" s="53"/>
      <x:c r="Q1220" s="53"/>
      <x:c r="R1220" s="53"/>
      <x:c r="S1220" s="53"/>
      <x:c r="T1220" s="53"/>
      <x:c r="U1220" s="53"/>
      <x:c r="V1220" s="53"/>
      <x:c r="W1220" s="53"/>
      <x:c r="X1220" s="53"/>
      <x:c r="Y1220" s="53"/>
      <x:c r="Z1220" s="53"/>
      <x:c r="AA1220" s="53"/>
      <x:c r="AB1220" s="53"/>
      <x:c r="AC1220" s="53"/>
      <x:c r="AD1220" s="53"/>
      <x:c r="AE1220" s="53"/>
      <x:c r="AF1220" s="53"/>
    </x:row>
    <x:row r="1221">
      <x:c r="A1221" s="53"/>
      <x:c r="B1221" s="53"/>
      <x:c r="C1221" s="53"/>
      <x:c r="D1221" s="53"/>
      <x:c r="E1221" s="53"/>
      <x:c r="F1221" s="53"/>
      <x:c r="G1221" s="53"/>
      <x:c r="H1221" s="53"/>
      <x:c r="I1221" s="53"/>
      <x:c r="J1221" s="53"/>
      <x:c r="K1221" s="53"/>
      <x:c r="L1221" s="53"/>
      <x:c r="M1221" s="53"/>
      <x:c r="N1221" s="53"/>
      <x:c r="O1221" s="53"/>
      <x:c r="P1221" s="53"/>
      <x:c r="Q1221" s="53"/>
      <x:c r="R1221" s="53"/>
      <x:c r="S1221" s="53"/>
      <x:c r="T1221" s="53"/>
      <x:c r="U1221" s="53"/>
      <x:c r="V1221" s="53"/>
      <x:c r="W1221" s="53"/>
      <x:c r="X1221" s="53"/>
      <x:c r="Y1221" s="53"/>
      <x:c r="Z1221" s="53"/>
      <x:c r="AA1221" s="53"/>
      <x:c r="AB1221" s="53"/>
      <x:c r="AC1221" s="53"/>
      <x:c r="AD1221" s="53"/>
      <x:c r="AE1221" s="53"/>
      <x:c r="AF1221" s="53"/>
    </x:row>
    <x:row r="1222">
      <x:c r="A1222" s="53"/>
      <x:c r="B1222" s="53"/>
      <x:c r="C1222" s="53"/>
      <x:c r="D1222" s="53"/>
      <x:c r="E1222" s="53"/>
      <x:c r="F1222" s="53"/>
      <x:c r="G1222" s="53"/>
      <x:c r="H1222" s="53"/>
      <x:c r="I1222" s="53"/>
      <x:c r="J1222" s="53"/>
      <x:c r="K1222" s="53"/>
      <x:c r="L1222" s="53"/>
      <x:c r="M1222" s="53"/>
      <x:c r="N1222" s="53"/>
      <x:c r="O1222" s="53"/>
      <x:c r="P1222" s="53"/>
      <x:c r="Q1222" s="53"/>
      <x:c r="R1222" s="53"/>
      <x:c r="S1222" s="53"/>
      <x:c r="T1222" s="53"/>
      <x:c r="U1222" s="53"/>
      <x:c r="V1222" s="53"/>
      <x:c r="W1222" s="53"/>
      <x:c r="X1222" s="53"/>
      <x:c r="Y1222" s="53"/>
      <x:c r="Z1222" s="53"/>
      <x:c r="AA1222" s="53"/>
      <x:c r="AB1222" s="53"/>
      <x:c r="AC1222" s="53"/>
      <x:c r="AD1222" s="53"/>
      <x:c r="AE1222" s="53"/>
      <x:c r="AF1222" s="53"/>
    </x:row>
    <x:row r="1223">
      <x:c r="A1223" s="53"/>
      <x:c r="B1223" s="53"/>
      <x:c r="C1223" s="53"/>
      <x:c r="D1223" s="53"/>
      <x:c r="E1223" s="53"/>
      <x:c r="F1223" s="53"/>
      <x:c r="G1223" s="53"/>
      <x:c r="H1223" s="53"/>
      <x:c r="I1223" s="53"/>
      <x:c r="J1223" s="53"/>
      <x:c r="K1223" s="53"/>
      <x:c r="L1223" s="53"/>
      <x:c r="M1223" s="53"/>
      <x:c r="N1223" s="53"/>
      <x:c r="O1223" s="53"/>
      <x:c r="P1223" s="53"/>
      <x:c r="Q1223" s="53"/>
      <x:c r="R1223" s="53"/>
      <x:c r="S1223" s="53"/>
      <x:c r="T1223" s="53"/>
      <x:c r="U1223" s="53"/>
      <x:c r="V1223" s="53"/>
      <x:c r="W1223" s="53"/>
      <x:c r="X1223" s="53"/>
      <x:c r="Y1223" s="53"/>
      <x:c r="Z1223" s="53"/>
      <x:c r="AA1223" s="53"/>
      <x:c r="AB1223" s="53"/>
      <x:c r="AC1223" s="53"/>
      <x:c r="AD1223" s="53"/>
      <x:c r="AE1223" s="53"/>
      <x:c r="AF1223" s="53"/>
    </x:row>
    <x:row r="1224">
      <x:c r="A1224" s="53"/>
      <x:c r="B1224" s="53"/>
      <x:c r="C1224" s="53"/>
      <x:c r="D1224" s="53"/>
      <x:c r="E1224" s="53"/>
      <x:c r="F1224" s="53"/>
      <x:c r="G1224" s="53"/>
      <x:c r="H1224" s="53"/>
      <x:c r="I1224" s="53"/>
      <x:c r="J1224" s="53"/>
      <x:c r="K1224" s="53"/>
      <x:c r="L1224" s="53"/>
      <x:c r="M1224" s="53"/>
      <x:c r="N1224" s="53"/>
      <x:c r="O1224" s="53"/>
      <x:c r="P1224" s="53"/>
      <x:c r="Q1224" s="53"/>
      <x:c r="R1224" s="53"/>
      <x:c r="S1224" s="53"/>
      <x:c r="T1224" s="53"/>
      <x:c r="U1224" s="53"/>
      <x:c r="V1224" s="53"/>
      <x:c r="W1224" s="53"/>
      <x:c r="X1224" s="53"/>
      <x:c r="Y1224" s="53"/>
      <x:c r="Z1224" s="53"/>
      <x:c r="AA1224" s="53"/>
      <x:c r="AB1224" s="53"/>
      <x:c r="AC1224" s="53"/>
      <x:c r="AD1224" s="53"/>
      <x:c r="AE1224" s="53"/>
      <x:c r="AF1224" s="53"/>
    </x:row>
    <x:row r="1225">
      <x:c r="A1225" s="53"/>
      <x:c r="B1225" s="53"/>
      <x:c r="C1225" s="53"/>
      <x:c r="D1225" s="53"/>
      <x:c r="E1225" s="53"/>
      <x:c r="F1225" s="53"/>
      <x:c r="G1225" s="53"/>
      <x:c r="H1225" s="53"/>
      <x:c r="I1225" s="53"/>
      <x:c r="J1225" s="53"/>
      <x:c r="K1225" s="53"/>
      <x:c r="L1225" s="53"/>
      <x:c r="M1225" s="53"/>
      <x:c r="N1225" s="53"/>
      <x:c r="O1225" s="53"/>
      <x:c r="P1225" s="53"/>
      <x:c r="Q1225" s="53"/>
      <x:c r="R1225" s="53"/>
      <x:c r="S1225" s="53"/>
      <x:c r="T1225" s="53"/>
      <x:c r="U1225" s="53"/>
      <x:c r="V1225" s="53"/>
      <x:c r="W1225" s="53"/>
      <x:c r="X1225" s="53"/>
      <x:c r="Y1225" s="53"/>
      <x:c r="Z1225" s="53"/>
      <x:c r="AA1225" s="53"/>
      <x:c r="AB1225" s="53"/>
      <x:c r="AC1225" s="53"/>
      <x:c r="AD1225" s="53"/>
      <x:c r="AE1225" s="53"/>
      <x:c r="AF1225" s="53"/>
    </x:row>
    <x:row r="1226">
      <x:c r="A1226" s="53"/>
      <x:c r="B1226" s="53"/>
      <x:c r="C1226" s="53"/>
      <x:c r="D1226" s="53"/>
      <x:c r="E1226" s="53"/>
      <x:c r="F1226" s="53"/>
      <x:c r="G1226" s="53"/>
      <x:c r="H1226" s="53"/>
      <x:c r="I1226" s="53"/>
      <x:c r="J1226" s="53"/>
      <x:c r="K1226" s="53"/>
      <x:c r="L1226" s="53"/>
      <x:c r="M1226" s="53"/>
      <x:c r="N1226" s="53"/>
      <x:c r="O1226" s="53"/>
      <x:c r="P1226" s="53"/>
      <x:c r="Q1226" s="53"/>
      <x:c r="R1226" s="53"/>
      <x:c r="S1226" s="53"/>
      <x:c r="T1226" s="53"/>
      <x:c r="U1226" s="53"/>
      <x:c r="V1226" s="53"/>
      <x:c r="W1226" s="53"/>
      <x:c r="X1226" s="53"/>
      <x:c r="Y1226" s="53"/>
      <x:c r="Z1226" s="53"/>
      <x:c r="AA1226" s="53"/>
      <x:c r="AB1226" s="53"/>
      <x:c r="AC1226" s="53"/>
      <x:c r="AD1226" s="53"/>
      <x:c r="AE1226" s="53"/>
      <x:c r="AF1226" s="53"/>
    </x:row>
    <x:row r="1227">
      <x:c r="A1227" s="53"/>
      <x:c r="B1227" s="53"/>
      <x:c r="C1227" s="53"/>
      <x:c r="D1227" s="53"/>
      <x:c r="E1227" s="53"/>
      <x:c r="F1227" s="53"/>
      <x:c r="G1227" s="53"/>
      <x:c r="H1227" s="53"/>
      <x:c r="I1227" s="53"/>
      <x:c r="J1227" s="53"/>
      <x:c r="K1227" s="53"/>
      <x:c r="L1227" s="53"/>
      <x:c r="M1227" s="53"/>
      <x:c r="N1227" s="53"/>
      <x:c r="O1227" s="53"/>
      <x:c r="P1227" s="53"/>
      <x:c r="Q1227" s="53"/>
      <x:c r="R1227" s="53"/>
      <x:c r="S1227" s="53"/>
      <x:c r="T1227" s="53"/>
      <x:c r="U1227" s="53"/>
      <x:c r="V1227" s="53"/>
      <x:c r="W1227" s="53"/>
      <x:c r="X1227" s="53"/>
      <x:c r="Y1227" s="53"/>
      <x:c r="Z1227" s="53"/>
      <x:c r="AA1227" s="53"/>
      <x:c r="AB1227" s="53"/>
      <x:c r="AC1227" s="53"/>
      <x:c r="AD1227" s="53"/>
      <x:c r="AE1227" s="53"/>
      <x:c r="AF1227" s="53"/>
    </x:row>
    <x:row r="1228">
      <x:c r="A1228" s="53"/>
      <x:c r="B1228" s="53"/>
      <x:c r="C1228" s="53"/>
      <x:c r="D1228" s="53"/>
      <x:c r="E1228" s="53"/>
      <x:c r="F1228" s="53"/>
      <x:c r="G1228" s="53"/>
      <x:c r="H1228" s="53"/>
      <x:c r="I1228" s="53"/>
      <x:c r="J1228" s="53"/>
      <x:c r="K1228" s="53"/>
      <x:c r="L1228" s="53"/>
      <x:c r="M1228" s="53"/>
      <x:c r="N1228" s="53"/>
      <x:c r="O1228" s="53"/>
      <x:c r="P1228" s="53"/>
      <x:c r="Q1228" s="53"/>
      <x:c r="R1228" s="53"/>
      <x:c r="S1228" s="53"/>
      <x:c r="T1228" s="53"/>
      <x:c r="U1228" s="53"/>
      <x:c r="V1228" s="53"/>
      <x:c r="W1228" s="53"/>
      <x:c r="X1228" s="53"/>
      <x:c r="Y1228" s="53"/>
      <x:c r="Z1228" s="53"/>
      <x:c r="AA1228" s="53"/>
      <x:c r="AB1228" s="53"/>
      <x:c r="AC1228" s="53"/>
      <x:c r="AD1228" s="53"/>
      <x:c r="AE1228" s="53"/>
      <x:c r="AF1228" s="53"/>
    </x:row>
    <x:row r="1229">
      <x:c r="A1229" s="53"/>
      <x:c r="B1229" s="53"/>
      <x:c r="C1229" s="53"/>
      <x:c r="D1229" s="53"/>
      <x:c r="E1229" s="53"/>
      <x:c r="F1229" s="53"/>
      <x:c r="G1229" s="53"/>
      <x:c r="H1229" s="53"/>
      <x:c r="I1229" s="53"/>
      <x:c r="J1229" s="53"/>
      <x:c r="K1229" s="53"/>
      <x:c r="L1229" s="53"/>
      <x:c r="M1229" s="53"/>
      <x:c r="N1229" s="53"/>
      <x:c r="O1229" s="53"/>
      <x:c r="P1229" s="53"/>
      <x:c r="Q1229" s="53"/>
      <x:c r="R1229" s="53"/>
      <x:c r="S1229" s="53"/>
      <x:c r="T1229" s="53"/>
      <x:c r="U1229" s="53"/>
      <x:c r="V1229" s="53"/>
      <x:c r="W1229" s="53"/>
      <x:c r="X1229" s="53"/>
      <x:c r="Y1229" s="53"/>
      <x:c r="Z1229" s="53"/>
      <x:c r="AA1229" s="53"/>
      <x:c r="AB1229" s="53"/>
      <x:c r="AC1229" s="53"/>
      <x:c r="AD1229" s="53"/>
      <x:c r="AE1229" s="53"/>
      <x:c r="AF1229" s="53"/>
    </x:row>
    <x:row r="1230">
      <x:c r="A1230" s="53"/>
      <x:c r="B1230" s="53"/>
      <x:c r="C1230" s="53"/>
      <x:c r="D1230" s="53"/>
      <x:c r="E1230" s="53"/>
      <x:c r="F1230" s="53"/>
      <x:c r="G1230" s="53"/>
      <x:c r="H1230" s="53"/>
      <x:c r="I1230" s="53"/>
      <x:c r="J1230" s="53"/>
      <x:c r="K1230" s="53"/>
      <x:c r="L1230" s="53"/>
      <x:c r="M1230" s="53"/>
      <x:c r="N1230" s="53"/>
      <x:c r="O1230" s="53"/>
      <x:c r="P1230" s="53"/>
      <x:c r="Q1230" s="53"/>
      <x:c r="R1230" s="53"/>
      <x:c r="S1230" s="53"/>
      <x:c r="T1230" s="53"/>
      <x:c r="U1230" s="53"/>
      <x:c r="V1230" s="53"/>
      <x:c r="W1230" s="53"/>
      <x:c r="X1230" s="53"/>
      <x:c r="Y1230" s="53"/>
      <x:c r="Z1230" s="53"/>
      <x:c r="AA1230" s="53"/>
      <x:c r="AB1230" s="53"/>
      <x:c r="AC1230" s="53"/>
      <x:c r="AD1230" s="53"/>
      <x:c r="AE1230" s="53"/>
      <x:c r="AF1230" s="53"/>
    </x:row>
    <x:row r="1231">
      <x:c r="A1231" s="53"/>
      <x:c r="B1231" s="53"/>
      <x:c r="C1231" s="53"/>
      <x:c r="D1231" s="53"/>
      <x:c r="E1231" s="53"/>
      <x:c r="F1231" s="53"/>
      <x:c r="G1231" s="53"/>
      <x:c r="H1231" s="53"/>
      <x:c r="I1231" s="53"/>
      <x:c r="J1231" s="53"/>
      <x:c r="K1231" s="53"/>
      <x:c r="L1231" s="53"/>
      <x:c r="M1231" s="53"/>
      <x:c r="N1231" s="53"/>
      <x:c r="O1231" s="53"/>
      <x:c r="P1231" s="53"/>
      <x:c r="Q1231" s="53"/>
      <x:c r="R1231" s="53"/>
      <x:c r="S1231" s="53"/>
      <x:c r="T1231" s="53"/>
      <x:c r="U1231" s="53"/>
      <x:c r="V1231" s="53"/>
      <x:c r="W1231" s="53"/>
      <x:c r="X1231" s="53"/>
      <x:c r="Y1231" s="53"/>
      <x:c r="Z1231" s="53"/>
      <x:c r="AA1231" s="53"/>
      <x:c r="AB1231" s="53"/>
      <x:c r="AC1231" s="53"/>
      <x:c r="AD1231" s="53"/>
      <x:c r="AE1231" s="53"/>
      <x:c r="AF1231" s="53"/>
    </x:row>
    <x:row r="1232">
      <x:c r="A1232" s="53"/>
      <x:c r="B1232" s="53"/>
      <x:c r="C1232" s="53"/>
      <x:c r="D1232" s="53"/>
      <x:c r="E1232" s="53"/>
      <x:c r="F1232" s="53"/>
      <x:c r="G1232" s="53"/>
      <x:c r="H1232" s="53"/>
      <x:c r="I1232" s="53"/>
      <x:c r="J1232" s="53"/>
      <x:c r="K1232" s="53"/>
      <x:c r="L1232" s="53"/>
      <x:c r="M1232" s="53"/>
      <x:c r="N1232" s="53"/>
      <x:c r="O1232" s="53"/>
      <x:c r="P1232" s="53"/>
      <x:c r="Q1232" s="53"/>
      <x:c r="R1232" s="53"/>
      <x:c r="S1232" s="53"/>
      <x:c r="T1232" s="53"/>
      <x:c r="U1232" s="53"/>
      <x:c r="V1232" s="53"/>
      <x:c r="W1232" s="53"/>
      <x:c r="X1232" s="53"/>
      <x:c r="Y1232" s="53"/>
      <x:c r="Z1232" s="53"/>
      <x:c r="AA1232" s="53"/>
      <x:c r="AB1232" s="53"/>
      <x:c r="AC1232" s="53"/>
      <x:c r="AD1232" s="53"/>
      <x:c r="AE1232" s="53"/>
      <x:c r="AF1232" s="53"/>
    </x:row>
    <x:row r="1233">
      <x:c r="A1233" s="53"/>
      <x:c r="B1233" s="53"/>
      <x:c r="C1233" s="53"/>
      <x:c r="D1233" s="53"/>
      <x:c r="E1233" s="53"/>
      <x:c r="F1233" s="53"/>
      <x:c r="G1233" s="53"/>
      <x:c r="H1233" s="53"/>
      <x:c r="I1233" s="53"/>
      <x:c r="J1233" s="53"/>
      <x:c r="K1233" s="53"/>
      <x:c r="L1233" s="53"/>
      <x:c r="M1233" s="53"/>
      <x:c r="N1233" s="53"/>
      <x:c r="O1233" s="53"/>
      <x:c r="P1233" s="53"/>
      <x:c r="Q1233" s="53"/>
      <x:c r="R1233" s="53"/>
      <x:c r="S1233" s="53"/>
      <x:c r="T1233" s="53"/>
      <x:c r="U1233" s="53"/>
      <x:c r="V1233" s="53"/>
      <x:c r="W1233" s="53"/>
      <x:c r="X1233" s="53"/>
      <x:c r="Y1233" s="53"/>
      <x:c r="Z1233" s="53"/>
      <x:c r="AA1233" s="53"/>
      <x:c r="AB1233" s="53"/>
      <x:c r="AC1233" s="53"/>
      <x:c r="AD1233" s="53"/>
      <x:c r="AE1233" s="53"/>
      <x:c r="AF1233" s="53"/>
    </x:row>
    <x:row r="1234">
      <x:c r="A1234" s="53"/>
      <x:c r="B1234" s="53"/>
      <x:c r="C1234" s="53"/>
      <x:c r="D1234" s="53"/>
      <x:c r="E1234" s="53"/>
      <x:c r="F1234" s="53"/>
      <x:c r="G1234" s="53"/>
      <x:c r="H1234" s="53"/>
      <x:c r="I1234" s="53"/>
      <x:c r="J1234" s="53"/>
      <x:c r="K1234" s="53"/>
      <x:c r="L1234" s="53"/>
      <x:c r="M1234" s="53"/>
      <x:c r="N1234" s="53"/>
      <x:c r="O1234" s="53"/>
      <x:c r="P1234" s="53"/>
      <x:c r="Q1234" s="53"/>
      <x:c r="R1234" s="53"/>
      <x:c r="S1234" s="53"/>
      <x:c r="T1234" s="53"/>
      <x:c r="U1234" s="53"/>
      <x:c r="V1234" s="53"/>
      <x:c r="W1234" s="53"/>
      <x:c r="X1234" s="53"/>
      <x:c r="Y1234" s="53"/>
      <x:c r="Z1234" s="53"/>
      <x:c r="AA1234" s="53"/>
      <x:c r="AB1234" s="53"/>
      <x:c r="AC1234" s="53"/>
      <x:c r="AD1234" s="53"/>
      <x:c r="AE1234" s="53"/>
      <x:c r="AF1234" s="53"/>
    </x:row>
    <x:row r="1235">
      <x:c r="A1235" s="53"/>
      <x:c r="B1235" s="53"/>
      <x:c r="C1235" s="53"/>
      <x:c r="D1235" s="53"/>
      <x:c r="E1235" s="53"/>
      <x:c r="F1235" s="53"/>
      <x:c r="G1235" s="53"/>
      <x:c r="H1235" s="53"/>
      <x:c r="I1235" s="53"/>
      <x:c r="J1235" s="53"/>
      <x:c r="K1235" s="53"/>
      <x:c r="L1235" s="53"/>
      <x:c r="M1235" s="53"/>
      <x:c r="N1235" s="53"/>
      <x:c r="O1235" s="53"/>
      <x:c r="P1235" s="53"/>
      <x:c r="Q1235" s="53"/>
      <x:c r="R1235" s="53"/>
      <x:c r="S1235" s="53"/>
      <x:c r="T1235" s="53"/>
      <x:c r="U1235" s="53"/>
      <x:c r="V1235" s="53"/>
      <x:c r="W1235" s="53"/>
      <x:c r="X1235" s="53"/>
      <x:c r="Y1235" s="53"/>
      <x:c r="Z1235" s="53"/>
      <x:c r="AA1235" s="53"/>
      <x:c r="AB1235" s="53"/>
      <x:c r="AC1235" s="53"/>
      <x:c r="AD1235" s="53"/>
      <x:c r="AE1235" s="53"/>
      <x:c r="AF1235" s="53"/>
    </x:row>
    <x:row r="1236">
      <x:c r="A1236" s="53"/>
      <x:c r="B1236" s="53"/>
      <x:c r="C1236" s="53"/>
      <x:c r="D1236" s="53"/>
      <x:c r="E1236" s="53"/>
      <x:c r="F1236" s="53"/>
      <x:c r="G1236" s="53"/>
      <x:c r="H1236" s="53"/>
      <x:c r="I1236" s="53"/>
      <x:c r="J1236" s="53"/>
      <x:c r="K1236" s="53"/>
      <x:c r="L1236" s="53"/>
      <x:c r="M1236" s="53"/>
      <x:c r="N1236" s="53"/>
      <x:c r="O1236" s="53"/>
      <x:c r="P1236" s="53"/>
      <x:c r="Q1236" s="53"/>
      <x:c r="R1236" s="53"/>
      <x:c r="S1236" s="53"/>
      <x:c r="T1236" s="53"/>
      <x:c r="U1236" s="53"/>
      <x:c r="V1236" s="53"/>
      <x:c r="W1236" s="53"/>
      <x:c r="X1236" s="53"/>
      <x:c r="Y1236" s="53"/>
      <x:c r="Z1236" s="53"/>
      <x:c r="AA1236" s="53"/>
      <x:c r="AB1236" s="53"/>
      <x:c r="AC1236" s="53"/>
      <x:c r="AD1236" s="53"/>
      <x:c r="AE1236" s="53"/>
      <x:c r="AF1236" s="53"/>
    </x:row>
    <x:row r="1237">
      <x:c r="A1237" s="53"/>
      <x:c r="B1237" s="53"/>
      <x:c r="C1237" s="53"/>
      <x:c r="D1237" s="53"/>
      <x:c r="E1237" s="53"/>
      <x:c r="F1237" s="53"/>
      <x:c r="G1237" s="53"/>
      <x:c r="H1237" s="53"/>
      <x:c r="I1237" s="53"/>
      <x:c r="J1237" s="53"/>
      <x:c r="K1237" s="53"/>
      <x:c r="L1237" s="53"/>
      <x:c r="M1237" s="53"/>
      <x:c r="N1237" s="53"/>
      <x:c r="O1237" s="53"/>
      <x:c r="P1237" s="53"/>
      <x:c r="Q1237" s="53"/>
      <x:c r="R1237" s="53"/>
      <x:c r="S1237" s="53"/>
      <x:c r="T1237" s="53"/>
      <x:c r="U1237" s="53"/>
      <x:c r="V1237" s="53"/>
      <x:c r="W1237" s="53"/>
      <x:c r="X1237" s="53"/>
      <x:c r="Y1237" s="53"/>
      <x:c r="Z1237" s="53"/>
      <x:c r="AA1237" s="53"/>
      <x:c r="AB1237" s="53"/>
      <x:c r="AC1237" s="53"/>
      <x:c r="AD1237" s="53"/>
      <x:c r="AE1237" s="53"/>
      <x:c r="AF1237" s="53"/>
    </x:row>
    <x:row r="1238">
      <x:c r="A1238" s="53"/>
      <x:c r="B1238" s="53"/>
      <x:c r="C1238" s="53"/>
      <x:c r="D1238" s="53"/>
      <x:c r="E1238" s="53"/>
      <x:c r="F1238" s="53"/>
      <x:c r="G1238" s="53"/>
      <x:c r="H1238" s="53"/>
      <x:c r="I1238" s="53"/>
      <x:c r="J1238" s="53"/>
      <x:c r="K1238" s="53"/>
      <x:c r="L1238" s="53"/>
      <x:c r="M1238" s="53"/>
      <x:c r="N1238" s="53"/>
      <x:c r="O1238" s="53"/>
      <x:c r="P1238" s="53"/>
      <x:c r="Q1238" s="53"/>
      <x:c r="R1238" s="53"/>
      <x:c r="S1238" s="53"/>
      <x:c r="T1238" s="53"/>
      <x:c r="U1238" s="53"/>
      <x:c r="V1238" s="53"/>
      <x:c r="W1238" s="53"/>
      <x:c r="X1238" s="53"/>
      <x:c r="Y1238" s="53"/>
      <x:c r="Z1238" s="53"/>
      <x:c r="AA1238" s="53"/>
      <x:c r="AB1238" s="53"/>
      <x:c r="AC1238" s="53"/>
      <x:c r="AD1238" s="53"/>
      <x:c r="AE1238" s="53"/>
      <x:c r="AF1238" s="53"/>
    </x:row>
    <x:row r="1239">
      <x:c r="A1239" s="53"/>
      <x:c r="B1239" s="53"/>
      <x:c r="C1239" s="53"/>
      <x:c r="D1239" s="53"/>
      <x:c r="E1239" s="53"/>
      <x:c r="F1239" s="53"/>
      <x:c r="G1239" s="53"/>
      <x:c r="H1239" s="53"/>
      <x:c r="I1239" s="53"/>
      <x:c r="J1239" s="53"/>
      <x:c r="K1239" s="53"/>
      <x:c r="L1239" s="53"/>
      <x:c r="M1239" s="53"/>
      <x:c r="N1239" s="53"/>
      <x:c r="O1239" s="53"/>
      <x:c r="P1239" s="53"/>
      <x:c r="Q1239" s="53"/>
      <x:c r="R1239" s="53"/>
      <x:c r="S1239" s="53"/>
      <x:c r="T1239" s="53"/>
      <x:c r="U1239" s="53"/>
      <x:c r="V1239" s="53"/>
      <x:c r="W1239" s="53"/>
      <x:c r="X1239" s="53"/>
      <x:c r="Y1239" s="53"/>
      <x:c r="Z1239" s="53"/>
      <x:c r="AA1239" s="53"/>
      <x:c r="AB1239" s="53"/>
      <x:c r="AC1239" s="53"/>
      <x:c r="AD1239" s="53"/>
      <x:c r="AE1239" s="53"/>
      <x:c r="AF1239" s="53"/>
    </x:row>
    <x:row r="1240">
      <x:c r="A1240" s="53"/>
      <x:c r="B1240" s="53"/>
      <x:c r="C1240" s="53"/>
      <x:c r="D1240" s="53"/>
      <x:c r="E1240" s="53"/>
      <x:c r="F1240" s="53"/>
      <x:c r="G1240" s="53"/>
      <x:c r="H1240" s="53"/>
      <x:c r="I1240" s="53"/>
      <x:c r="J1240" s="53"/>
      <x:c r="K1240" s="53"/>
      <x:c r="L1240" s="53"/>
      <x:c r="M1240" s="53"/>
      <x:c r="N1240" s="53"/>
      <x:c r="O1240" s="53"/>
      <x:c r="P1240" s="53"/>
      <x:c r="Q1240" s="53"/>
      <x:c r="R1240" s="53"/>
      <x:c r="S1240" s="53"/>
      <x:c r="T1240" s="53"/>
      <x:c r="U1240" s="53"/>
      <x:c r="V1240" s="53"/>
      <x:c r="W1240" s="53"/>
      <x:c r="X1240" s="53"/>
      <x:c r="Y1240" s="53"/>
      <x:c r="Z1240" s="53"/>
      <x:c r="AA1240" s="53"/>
      <x:c r="AB1240" s="53"/>
      <x:c r="AC1240" s="53"/>
      <x:c r="AD1240" s="53"/>
      <x:c r="AE1240" s="53"/>
      <x:c r="AF1240" s="53"/>
    </x:row>
    <x:row r="1241">
      <x:c r="A1241" s="53"/>
      <x:c r="B1241" s="53"/>
      <x:c r="C1241" s="53"/>
      <x:c r="D1241" s="53"/>
      <x:c r="E1241" s="53"/>
      <x:c r="F1241" s="53"/>
      <x:c r="G1241" s="53"/>
      <x:c r="H1241" s="53"/>
      <x:c r="I1241" s="53"/>
      <x:c r="J1241" s="53"/>
      <x:c r="K1241" s="53"/>
      <x:c r="L1241" s="53"/>
      <x:c r="M1241" s="53"/>
      <x:c r="N1241" s="53"/>
      <x:c r="O1241" s="53"/>
      <x:c r="P1241" s="53"/>
      <x:c r="Q1241" s="53"/>
      <x:c r="R1241" s="53"/>
      <x:c r="S1241" s="53"/>
      <x:c r="T1241" s="53"/>
      <x:c r="U1241" s="53"/>
      <x:c r="V1241" s="53"/>
      <x:c r="W1241" s="53"/>
      <x:c r="X1241" s="53"/>
      <x:c r="Y1241" s="53"/>
      <x:c r="Z1241" s="53"/>
      <x:c r="AA1241" s="53"/>
      <x:c r="AB1241" s="53"/>
      <x:c r="AC1241" s="53"/>
      <x:c r="AD1241" s="53"/>
      <x:c r="AE1241" s="53"/>
      <x:c r="AF1241" s="53"/>
    </x:row>
    <x:row r="1242">
      <x:c r="A1242" s="53"/>
      <x:c r="B1242" s="53"/>
      <x:c r="C1242" s="53"/>
      <x:c r="D1242" s="53"/>
      <x:c r="E1242" s="53"/>
      <x:c r="F1242" s="53"/>
      <x:c r="G1242" s="53"/>
      <x:c r="H1242" s="53"/>
      <x:c r="I1242" s="53"/>
      <x:c r="J1242" s="53"/>
      <x:c r="K1242" s="53"/>
      <x:c r="L1242" s="53"/>
      <x:c r="M1242" s="53"/>
      <x:c r="N1242" s="53"/>
      <x:c r="O1242" s="53"/>
      <x:c r="P1242" s="53"/>
      <x:c r="Q1242" s="53"/>
      <x:c r="R1242" s="53"/>
      <x:c r="S1242" s="53"/>
      <x:c r="T1242" s="53"/>
      <x:c r="U1242" s="53"/>
      <x:c r="V1242" s="53"/>
      <x:c r="W1242" s="53"/>
      <x:c r="X1242" s="53"/>
      <x:c r="Y1242" s="53"/>
      <x:c r="Z1242" s="53"/>
      <x:c r="AA1242" s="53"/>
      <x:c r="AB1242" s="53"/>
      <x:c r="AC1242" s="53"/>
      <x:c r="AD1242" s="53"/>
      <x:c r="AE1242" s="53"/>
      <x:c r="AF1242" s="53"/>
    </x:row>
    <x:row r="1243">
      <x:c r="A1243" s="53"/>
      <x:c r="B1243" s="53"/>
      <x:c r="C1243" s="53"/>
      <x:c r="D1243" s="53"/>
      <x:c r="E1243" s="53"/>
      <x:c r="F1243" s="53"/>
      <x:c r="G1243" s="53"/>
      <x:c r="H1243" s="53"/>
      <x:c r="I1243" s="53"/>
      <x:c r="J1243" s="53"/>
      <x:c r="K1243" s="53"/>
      <x:c r="L1243" s="53"/>
      <x:c r="M1243" s="53"/>
      <x:c r="N1243" s="53"/>
      <x:c r="O1243" s="53"/>
      <x:c r="P1243" s="53"/>
      <x:c r="Q1243" s="53"/>
      <x:c r="R1243" s="53"/>
      <x:c r="S1243" s="53"/>
      <x:c r="T1243" s="53"/>
      <x:c r="U1243" s="53"/>
      <x:c r="V1243" s="53"/>
      <x:c r="W1243" s="53"/>
      <x:c r="X1243" s="53"/>
      <x:c r="Y1243" s="53"/>
      <x:c r="Z1243" s="53"/>
      <x:c r="AA1243" s="53"/>
      <x:c r="AB1243" s="53"/>
      <x:c r="AC1243" s="53"/>
      <x:c r="AD1243" s="53"/>
      <x:c r="AE1243" s="53"/>
      <x:c r="AF1243" s="53"/>
    </x:row>
    <x:row r="1244">
      <x:c r="A1244" s="53"/>
      <x:c r="B1244" s="53"/>
      <x:c r="C1244" s="53"/>
      <x:c r="D1244" s="53"/>
      <x:c r="E1244" s="53"/>
      <x:c r="F1244" s="53"/>
      <x:c r="G1244" s="53"/>
      <x:c r="H1244" s="53"/>
      <x:c r="I1244" s="53"/>
      <x:c r="J1244" s="53"/>
      <x:c r="K1244" s="53"/>
      <x:c r="L1244" s="53"/>
      <x:c r="M1244" s="53"/>
      <x:c r="N1244" s="53"/>
      <x:c r="O1244" s="53"/>
      <x:c r="P1244" s="53"/>
      <x:c r="Q1244" s="53"/>
      <x:c r="R1244" s="53"/>
      <x:c r="S1244" s="53"/>
      <x:c r="T1244" s="53"/>
      <x:c r="U1244" s="53"/>
      <x:c r="V1244" s="53"/>
      <x:c r="W1244" s="53"/>
      <x:c r="X1244" s="53"/>
      <x:c r="Y1244" s="53"/>
      <x:c r="Z1244" s="53"/>
      <x:c r="AA1244" s="53"/>
      <x:c r="AB1244" s="53"/>
      <x:c r="AC1244" s="53"/>
      <x:c r="AD1244" s="53"/>
      <x:c r="AE1244" s="53"/>
      <x:c r="AF1244" s="53"/>
    </x:row>
    <x:row r="1245">
      <x:c r="A1245" s="53"/>
      <x:c r="B1245" s="53"/>
      <x:c r="C1245" s="53"/>
      <x:c r="D1245" s="53"/>
      <x:c r="E1245" s="53"/>
      <x:c r="F1245" s="53"/>
      <x:c r="G1245" s="53"/>
      <x:c r="H1245" s="53"/>
      <x:c r="I1245" s="53"/>
      <x:c r="J1245" s="53"/>
      <x:c r="K1245" s="53"/>
      <x:c r="L1245" s="53"/>
      <x:c r="M1245" s="53"/>
      <x:c r="N1245" s="53"/>
      <x:c r="O1245" s="53"/>
      <x:c r="P1245" s="53"/>
      <x:c r="Q1245" s="53"/>
      <x:c r="R1245" s="53"/>
      <x:c r="S1245" s="53"/>
      <x:c r="T1245" s="53"/>
      <x:c r="U1245" s="53"/>
      <x:c r="V1245" s="53"/>
      <x:c r="W1245" s="53"/>
      <x:c r="X1245" s="53"/>
      <x:c r="Y1245" s="53"/>
      <x:c r="Z1245" s="53"/>
      <x:c r="AA1245" s="53"/>
      <x:c r="AB1245" s="53"/>
      <x:c r="AC1245" s="53"/>
      <x:c r="AD1245" s="53"/>
      <x:c r="AE1245" s="53"/>
      <x:c r="AF1245" s="53"/>
    </x:row>
    <x:row r="1246">
      <x:c r="A1246" s="53"/>
      <x:c r="B1246" s="53"/>
      <x:c r="C1246" s="53"/>
      <x:c r="D1246" s="53"/>
      <x:c r="E1246" s="53"/>
      <x:c r="F1246" s="53"/>
      <x:c r="G1246" s="53"/>
      <x:c r="H1246" s="53"/>
      <x:c r="I1246" s="53"/>
      <x:c r="J1246" s="53"/>
      <x:c r="K1246" s="53"/>
      <x:c r="L1246" s="53"/>
      <x:c r="M1246" s="53"/>
      <x:c r="N1246" s="53"/>
      <x:c r="O1246" s="53"/>
      <x:c r="P1246" s="53"/>
      <x:c r="Q1246" s="53"/>
      <x:c r="R1246" s="53"/>
      <x:c r="S1246" s="53"/>
      <x:c r="T1246" s="53"/>
      <x:c r="U1246" s="53"/>
      <x:c r="V1246" s="53"/>
      <x:c r="W1246" s="53"/>
      <x:c r="X1246" s="53"/>
      <x:c r="Y1246" s="53"/>
      <x:c r="Z1246" s="53"/>
      <x:c r="AA1246" s="53"/>
      <x:c r="AB1246" s="53"/>
      <x:c r="AC1246" s="53"/>
      <x:c r="AD1246" s="53"/>
      <x:c r="AE1246" s="53"/>
      <x:c r="AF1246" s="53"/>
    </x:row>
    <x:row r="1247">
      <x:c r="A1247" s="53"/>
      <x:c r="B1247" s="53"/>
      <x:c r="C1247" s="53"/>
      <x:c r="D1247" s="53"/>
      <x:c r="E1247" s="53"/>
      <x:c r="F1247" s="53"/>
      <x:c r="G1247" s="53"/>
      <x:c r="H1247" s="53"/>
      <x:c r="I1247" s="53"/>
      <x:c r="J1247" s="53"/>
      <x:c r="K1247" s="53"/>
      <x:c r="L1247" s="53"/>
      <x:c r="M1247" s="53"/>
      <x:c r="N1247" s="53"/>
      <x:c r="O1247" s="53"/>
      <x:c r="P1247" s="53"/>
      <x:c r="Q1247" s="53"/>
      <x:c r="R1247" s="53"/>
      <x:c r="S1247" s="53"/>
      <x:c r="T1247" s="53"/>
      <x:c r="U1247" s="53"/>
      <x:c r="V1247" s="53"/>
      <x:c r="W1247" s="53"/>
      <x:c r="X1247" s="53"/>
      <x:c r="Y1247" s="53"/>
      <x:c r="Z1247" s="53"/>
      <x:c r="AA1247" s="53"/>
      <x:c r="AB1247" s="53"/>
      <x:c r="AC1247" s="53"/>
      <x:c r="AD1247" s="53"/>
      <x:c r="AE1247" s="53"/>
      <x:c r="AF1247" s="53"/>
    </x:row>
    <x:row r="1248">
      <x:c r="A1248" s="53"/>
      <x:c r="B1248" s="53"/>
      <x:c r="C1248" s="53"/>
      <x:c r="D1248" s="53"/>
      <x:c r="E1248" s="53"/>
      <x:c r="F1248" s="53"/>
      <x:c r="G1248" s="53"/>
      <x:c r="H1248" s="53"/>
      <x:c r="I1248" s="53"/>
      <x:c r="J1248" s="53"/>
      <x:c r="K1248" s="53"/>
      <x:c r="L1248" s="53"/>
      <x:c r="M1248" s="53"/>
      <x:c r="N1248" s="53"/>
      <x:c r="O1248" s="53"/>
      <x:c r="P1248" s="53"/>
      <x:c r="Q1248" s="53"/>
      <x:c r="R1248" s="53"/>
      <x:c r="S1248" s="53"/>
      <x:c r="T1248" s="53"/>
      <x:c r="U1248" s="53"/>
      <x:c r="V1248" s="53"/>
      <x:c r="W1248" s="53"/>
      <x:c r="X1248" s="53"/>
      <x:c r="Y1248" s="53"/>
      <x:c r="Z1248" s="53"/>
      <x:c r="AA1248" s="53"/>
      <x:c r="AB1248" s="53"/>
      <x:c r="AC1248" s="53"/>
      <x:c r="AD1248" s="53"/>
      <x:c r="AE1248" s="53"/>
      <x:c r="AF1248" s="53"/>
    </x:row>
    <x:row r="1249">
      <x:c r="A1249" s="53"/>
      <x:c r="B1249" s="53"/>
      <x:c r="C1249" s="53"/>
      <x:c r="D1249" s="53"/>
      <x:c r="E1249" s="53"/>
      <x:c r="F1249" s="53"/>
      <x:c r="G1249" s="53"/>
      <x:c r="H1249" s="53"/>
      <x:c r="I1249" s="53"/>
      <x:c r="J1249" s="53"/>
      <x:c r="K1249" s="53"/>
      <x:c r="L1249" s="53"/>
      <x:c r="M1249" s="53"/>
      <x:c r="N1249" s="53"/>
      <x:c r="O1249" s="53"/>
      <x:c r="P1249" s="53"/>
      <x:c r="Q1249" s="53"/>
      <x:c r="R1249" s="53"/>
      <x:c r="S1249" s="53"/>
      <x:c r="T1249" s="53"/>
      <x:c r="U1249" s="53"/>
      <x:c r="V1249" s="53"/>
      <x:c r="W1249" s="53"/>
      <x:c r="X1249" s="53"/>
      <x:c r="Y1249" s="53"/>
      <x:c r="Z1249" s="53"/>
      <x:c r="AA1249" s="53"/>
      <x:c r="AB1249" s="53"/>
      <x:c r="AC1249" s="53"/>
      <x:c r="AD1249" s="53"/>
      <x:c r="AE1249" s="53"/>
      <x:c r="AF1249" s="53"/>
    </x:row>
    <x:row r="1250">
      <x:c r="A1250" s="53"/>
      <x:c r="B1250" s="53"/>
      <x:c r="C1250" s="53"/>
      <x:c r="D1250" s="53"/>
      <x:c r="E1250" s="53"/>
      <x:c r="F1250" s="53"/>
      <x:c r="G1250" s="53"/>
      <x:c r="H1250" s="53"/>
      <x:c r="I1250" s="53"/>
      <x:c r="J1250" s="53"/>
      <x:c r="K1250" s="53"/>
      <x:c r="L1250" s="53"/>
      <x:c r="M1250" s="53"/>
      <x:c r="N1250" s="53"/>
      <x:c r="O1250" s="53"/>
      <x:c r="P1250" s="53"/>
      <x:c r="Q1250" s="53"/>
      <x:c r="R1250" s="53"/>
      <x:c r="S1250" s="53"/>
      <x:c r="T1250" s="53"/>
      <x:c r="U1250" s="53"/>
      <x:c r="V1250" s="53"/>
      <x:c r="W1250" s="53"/>
      <x:c r="X1250" s="53"/>
      <x:c r="Y1250" s="53"/>
      <x:c r="Z1250" s="53"/>
      <x:c r="AA1250" s="53"/>
      <x:c r="AB1250" s="53"/>
      <x:c r="AC1250" s="53"/>
      <x:c r="AD1250" s="53"/>
      <x:c r="AE1250" s="53"/>
      <x:c r="AF1250" s="53"/>
    </x:row>
    <x:row r="1251">
      <x:c r="A1251" s="53"/>
      <x:c r="B1251" s="53"/>
      <x:c r="C1251" s="53"/>
      <x:c r="D1251" s="53"/>
      <x:c r="E1251" s="53"/>
      <x:c r="F1251" s="53"/>
      <x:c r="G1251" s="53"/>
      <x:c r="H1251" s="53"/>
      <x:c r="I1251" s="53"/>
      <x:c r="J1251" s="53"/>
      <x:c r="K1251" s="53"/>
      <x:c r="L1251" s="53"/>
      <x:c r="M1251" s="53"/>
      <x:c r="N1251" s="53"/>
      <x:c r="O1251" s="53"/>
      <x:c r="P1251" s="53"/>
      <x:c r="Q1251" s="53"/>
      <x:c r="R1251" s="53"/>
      <x:c r="S1251" s="53"/>
      <x:c r="T1251" s="53"/>
      <x:c r="U1251" s="53"/>
      <x:c r="V1251" s="53"/>
      <x:c r="W1251" s="53"/>
      <x:c r="X1251" s="53"/>
      <x:c r="Y1251" s="53"/>
      <x:c r="Z1251" s="53"/>
      <x:c r="AA1251" s="53"/>
      <x:c r="AB1251" s="53"/>
      <x:c r="AC1251" s="53"/>
      <x:c r="AD1251" s="53"/>
      <x:c r="AE1251" s="53"/>
      <x:c r="AF1251" s="53"/>
    </x:row>
    <x:row r="1252">
      <x:c r="A1252" s="53"/>
      <x:c r="B1252" s="53"/>
      <x:c r="C1252" s="53"/>
      <x:c r="D1252" s="53"/>
      <x:c r="E1252" s="53"/>
      <x:c r="F1252" s="53"/>
      <x:c r="G1252" s="53"/>
      <x:c r="H1252" s="53"/>
      <x:c r="I1252" s="53"/>
      <x:c r="J1252" s="53"/>
      <x:c r="K1252" s="53"/>
      <x:c r="L1252" s="53"/>
      <x:c r="M1252" s="53"/>
      <x:c r="N1252" s="53"/>
      <x:c r="O1252" s="53"/>
      <x:c r="P1252" s="53"/>
      <x:c r="Q1252" s="53"/>
      <x:c r="R1252" s="53"/>
      <x:c r="S1252" s="53"/>
      <x:c r="T1252" s="53"/>
      <x:c r="U1252" s="53"/>
      <x:c r="V1252" s="53"/>
      <x:c r="W1252" s="53"/>
      <x:c r="X1252" s="53"/>
      <x:c r="Y1252" s="53"/>
      <x:c r="Z1252" s="53"/>
      <x:c r="AA1252" s="53"/>
      <x:c r="AB1252" s="53"/>
      <x:c r="AC1252" s="53"/>
      <x:c r="AD1252" s="53"/>
      <x:c r="AE1252" s="53"/>
      <x:c r="AF1252" s="53"/>
    </x:row>
    <x:row r="1253">
      <x:c r="A1253" s="53"/>
      <x:c r="B1253" s="53"/>
      <x:c r="C1253" s="53"/>
      <x:c r="D1253" s="53"/>
      <x:c r="E1253" s="53"/>
      <x:c r="F1253" s="53"/>
      <x:c r="G1253" s="53"/>
      <x:c r="H1253" s="53"/>
      <x:c r="I1253" s="53"/>
      <x:c r="J1253" s="53"/>
      <x:c r="K1253" s="53"/>
      <x:c r="L1253" s="53"/>
      <x:c r="M1253" s="53"/>
      <x:c r="N1253" s="53"/>
      <x:c r="O1253" s="53"/>
      <x:c r="P1253" s="53"/>
      <x:c r="Q1253" s="53"/>
      <x:c r="R1253" s="53"/>
      <x:c r="S1253" s="53"/>
      <x:c r="T1253" s="53"/>
      <x:c r="U1253" s="53"/>
      <x:c r="V1253" s="53"/>
      <x:c r="W1253" s="53"/>
      <x:c r="X1253" s="53"/>
      <x:c r="Y1253" s="53"/>
      <x:c r="Z1253" s="53"/>
      <x:c r="AA1253" s="53"/>
      <x:c r="AB1253" s="53"/>
      <x:c r="AC1253" s="53"/>
      <x:c r="AD1253" s="53"/>
      <x:c r="AE1253" s="53"/>
      <x:c r="AF1253" s="53"/>
    </x:row>
    <x:row r="1254">
      <x:c r="A1254" s="53"/>
      <x:c r="B1254" s="53"/>
      <x:c r="C1254" s="53"/>
      <x:c r="D1254" s="53"/>
      <x:c r="E1254" s="53"/>
      <x:c r="F1254" s="53"/>
      <x:c r="G1254" s="53"/>
      <x:c r="H1254" s="53"/>
      <x:c r="I1254" s="53"/>
      <x:c r="J1254" s="53"/>
      <x:c r="K1254" s="53"/>
      <x:c r="L1254" s="53"/>
      <x:c r="M1254" s="53"/>
      <x:c r="N1254" s="53"/>
      <x:c r="O1254" s="53"/>
      <x:c r="P1254" s="53"/>
      <x:c r="Q1254" s="53"/>
      <x:c r="R1254" s="53"/>
      <x:c r="S1254" s="53"/>
      <x:c r="T1254" s="53"/>
      <x:c r="U1254" s="53"/>
      <x:c r="V1254" s="53"/>
      <x:c r="W1254" s="53"/>
      <x:c r="X1254" s="53"/>
      <x:c r="Y1254" s="53"/>
      <x:c r="Z1254" s="53"/>
      <x:c r="AA1254" s="53"/>
      <x:c r="AB1254" s="53"/>
      <x:c r="AC1254" s="53"/>
      <x:c r="AD1254" s="53"/>
      <x:c r="AE1254" s="53"/>
      <x:c r="AF1254" s="53"/>
    </x:row>
    <x:row r="1255">
      <x:c r="A1255" s="53"/>
      <x:c r="B1255" s="53"/>
      <x:c r="C1255" s="53"/>
      <x:c r="D1255" s="53"/>
      <x:c r="E1255" s="53"/>
      <x:c r="F1255" s="53"/>
      <x:c r="G1255" s="53"/>
      <x:c r="H1255" s="53"/>
      <x:c r="I1255" s="53"/>
      <x:c r="J1255" s="53"/>
      <x:c r="K1255" s="53"/>
      <x:c r="L1255" s="53"/>
      <x:c r="M1255" s="53"/>
      <x:c r="N1255" s="53"/>
      <x:c r="O1255" s="53"/>
      <x:c r="P1255" s="53"/>
      <x:c r="Q1255" s="53"/>
      <x:c r="R1255" s="53"/>
      <x:c r="S1255" s="53"/>
      <x:c r="T1255" s="53"/>
      <x:c r="U1255" s="53"/>
      <x:c r="V1255" s="53"/>
      <x:c r="W1255" s="53"/>
      <x:c r="X1255" s="53"/>
      <x:c r="Y1255" s="53"/>
      <x:c r="Z1255" s="53"/>
      <x:c r="AA1255" s="53"/>
      <x:c r="AB1255" s="53"/>
      <x:c r="AC1255" s="53"/>
      <x:c r="AD1255" s="53"/>
      <x:c r="AE1255" s="53"/>
      <x:c r="AF1255" s="53"/>
    </x:row>
    <x:row r="1256">
      <x:c r="A1256" s="53"/>
      <x:c r="B1256" s="53"/>
      <x:c r="C1256" s="53"/>
      <x:c r="D1256" s="53"/>
      <x:c r="E1256" s="53"/>
      <x:c r="F1256" s="53"/>
      <x:c r="G1256" s="53"/>
      <x:c r="H1256" s="53"/>
      <x:c r="I1256" s="53"/>
      <x:c r="J1256" s="53"/>
      <x:c r="K1256" s="53"/>
      <x:c r="L1256" s="53"/>
      <x:c r="M1256" s="53"/>
      <x:c r="N1256" s="53"/>
      <x:c r="O1256" s="53"/>
      <x:c r="P1256" s="53"/>
      <x:c r="Q1256" s="53"/>
      <x:c r="R1256" s="53"/>
      <x:c r="S1256" s="53"/>
      <x:c r="T1256" s="53"/>
      <x:c r="U1256" s="53"/>
      <x:c r="V1256" s="53"/>
      <x:c r="W1256" s="53"/>
      <x:c r="X1256" s="53"/>
      <x:c r="Y1256" s="53"/>
      <x:c r="Z1256" s="53"/>
      <x:c r="AA1256" s="53"/>
      <x:c r="AB1256" s="53"/>
      <x:c r="AC1256" s="53"/>
      <x:c r="AD1256" s="53"/>
      <x:c r="AE1256" s="53"/>
      <x:c r="AF1256" s="53"/>
    </x:row>
    <x:row r="1257">
      <x:c r="A1257" s="53"/>
      <x:c r="B1257" s="53"/>
      <x:c r="C1257" s="53"/>
      <x:c r="D1257" s="53"/>
      <x:c r="E1257" s="53"/>
      <x:c r="F1257" s="53"/>
      <x:c r="G1257" s="53"/>
      <x:c r="H1257" s="53"/>
      <x:c r="I1257" s="53"/>
      <x:c r="J1257" s="53"/>
      <x:c r="K1257" s="53"/>
      <x:c r="L1257" s="53"/>
      <x:c r="M1257" s="53"/>
      <x:c r="N1257" s="53"/>
      <x:c r="O1257" s="53"/>
      <x:c r="P1257" s="53"/>
      <x:c r="Q1257" s="53"/>
      <x:c r="R1257" s="53"/>
      <x:c r="S1257" s="53"/>
      <x:c r="T1257" s="53"/>
      <x:c r="U1257" s="53"/>
      <x:c r="V1257" s="53"/>
      <x:c r="W1257" s="53"/>
      <x:c r="X1257" s="53"/>
      <x:c r="Y1257" s="53"/>
      <x:c r="Z1257" s="53"/>
      <x:c r="AA1257" s="53"/>
      <x:c r="AB1257" s="53"/>
      <x:c r="AC1257" s="53"/>
      <x:c r="AD1257" s="53"/>
      <x:c r="AE1257" s="53"/>
      <x:c r="AF1257" s="53"/>
    </x:row>
    <x:row r="1258">
      <x:c r="A1258" s="53"/>
      <x:c r="B1258" s="53"/>
      <x:c r="C1258" s="53"/>
      <x:c r="D1258" s="53"/>
      <x:c r="E1258" s="53"/>
      <x:c r="F1258" s="53"/>
      <x:c r="G1258" s="53"/>
      <x:c r="H1258" s="53"/>
      <x:c r="I1258" s="53"/>
      <x:c r="J1258" s="53"/>
      <x:c r="K1258" s="53"/>
      <x:c r="L1258" s="53"/>
      <x:c r="M1258" s="53"/>
      <x:c r="N1258" s="53"/>
      <x:c r="O1258" s="53"/>
      <x:c r="P1258" s="53"/>
      <x:c r="Q1258" s="53"/>
      <x:c r="R1258" s="53"/>
      <x:c r="S1258" s="53"/>
      <x:c r="T1258" s="53"/>
      <x:c r="U1258" s="53"/>
      <x:c r="V1258" s="53"/>
      <x:c r="W1258" s="53"/>
      <x:c r="X1258" s="53"/>
      <x:c r="Y1258" s="53"/>
      <x:c r="Z1258" s="53"/>
      <x:c r="AA1258" s="53"/>
      <x:c r="AB1258" s="53"/>
      <x:c r="AC1258" s="53"/>
      <x:c r="AD1258" s="53"/>
      <x:c r="AE1258" s="53"/>
      <x:c r="AF1258" s="53"/>
    </x:row>
    <x:row r="1259">
      <x:c r="A1259" s="53"/>
      <x:c r="B1259" s="53"/>
      <x:c r="C1259" s="53"/>
      <x:c r="D1259" s="53"/>
      <x:c r="E1259" s="53"/>
      <x:c r="F1259" s="53"/>
      <x:c r="G1259" s="53"/>
      <x:c r="H1259" s="53"/>
      <x:c r="I1259" s="53"/>
      <x:c r="J1259" s="53"/>
      <x:c r="K1259" s="53"/>
      <x:c r="L1259" s="53"/>
      <x:c r="M1259" s="53"/>
      <x:c r="N1259" s="53"/>
      <x:c r="O1259" s="53"/>
      <x:c r="P1259" s="53"/>
      <x:c r="Q1259" s="53"/>
      <x:c r="R1259" s="53"/>
      <x:c r="S1259" s="53"/>
      <x:c r="T1259" s="53"/>
      <x:c r="U1259" s="53"/>
      <x:c r="V1259" s="53"/>
      <x:c r="W1259" s="53"/>
      <x:c r="X1259" s="53"/>
      <x:c r="Y1259" s="53"/>
      <x:c r="Z1259" s="53"/>
      <x:c r="AA1259" s="53"/>
      <x:c r="AB1259" s="53"/>
      <x:c r="AC1259" s="53"/>
      <x:c r="AD1259" s="53"/>
      <x:c r="AE1259" s="53"/>
      <x:c r="AF1259" s="53"/>
    </x:row>
    <x:row r="1260">
      <x:c r="A1260" s="53"/>
      <x:c r="B1260" s="53"/>
      <x:c r="C1260" s="53"/>
      <x:c r="D1260" s="53"/>
      <x:c r="E1260" s="53"/>
      <x:c r="F1260" s="53"/>
      <x:c r="G1260" s="53"/>
      <x:c r="H1260" s="53"/>
      <x:c r="I1260" s="53"/>
      <x:c r="J1260" s="53"/>
      <x:c r="K1260" s="53"/>
      <x:c r="L1260" s="53"/>
      <x:c r="M1260" s="53"/>
      <x:c r="N1260" s="53"/>
      <x:c r="O1260" s="53"/>
      <x:c r="P1260" s="53"/>
      <x:c r="Q1260" s="53"/>
      <x:c r="R1260" s="53"/>
      <x:c r="S1260" s="53"/>
      <x:c r="T1260" s="53"/>
      <x:c r="U1260" s="53"/>
      <x:c r="V1260" s="53"/>
      <x:c r="W1260" s="53"/>
      <x:c r="X1260" s="53"/>
      <x:c r="Y1260" s="53"/>
      <x:c r="Z1260" s="53"/>
      <x:c r="AA1260" s="53"/>
      <x:c r="AB1260" s="53"/>
      <x:c r="AC1260" s="53"/>
      <x:c r="AD1260" s="53"/>
      <x:c r="AE1260" s="53"/>
      <x:c r="AF1260" s="53"/>
    </x:row>
    <x:row r="1261">
      <x:c r="A1261" s="53"/>
      <x:c r="B1261" s="53"/>
      <x:c r="C1261" s="53"/>
      <x:c r="D1261" s="53"/>
      <x:c r="E1261" s="53"/>
      <x:c r="F1261" s="53"/>
      <x:c r="G1261" s="53"/>
      <x:c r="H1261" s="53"/>
      <x:c r="I1261" s="53"/>
      <x:c r="J1261" s="53"/>
      <x:c r="K1261" s="53"/>
      <x:c r="L1261" s="53"/>
      <x:c r="M1261" s="53"/>
      <x:c r="N1261" s="53"/>
      <x:c r="O1261" s="53"/>
      <x:c r="P1261" s="53"/>
      <x:c r="Q1261" s="53"/>
      <x:c r="R1261" s="53"/>
      <x:c r="S1261" s="53"/>
      <x:c r="T1261" s="53"/>
      <x:c r="U1261" s="53"/>
      <x:c r="V1261" s="53"/>
      <x:c r="W1261" s="53"/>
      <x:c r="X1261" s="53"/>
      <x:c r="Y1261" s="53"/>
      <x:c r="Z1261" s="53"/>
      <x:c r="AA1261" s="53"/>
      <x:c r="AB1261" s="53"/>
      <x:c r="AC1261" s="53"/>
      <x:c r="AD1261" s="53"/>
      <x:c r="AE1261" s="53"/>
      <x:c r="AF1261" s="53"/>
    </x:row>
    <x:row r="1262">
      <x:c r="A1262" s="53"/>
      <x:c r="B1262" s="53"/>
      <x:c r="C1262" s="53"/>
      <x:c r="D1262" s="53"/>
      <x:c r="E1262" s="53"/>
      <x:c r="F1262" s="53"/>
      <x:c r="G1262" s="53"/>
      <x:c r="H1262" s="53"/>
      <x:c r="I1262" s="53"/>
      <x:c r="J1262" s="53"/>
      <x:c r="K1262" s="53"/>
      <x:c r="L1262" s="53"/>
      <x:c r="M1262" s="53"/>
      <x:c r="N1262" s="53"/>
      <x:c r="O1262" s="53"/>
      <x:c r="P1262" s="53"/>
      <x:c r="Q1262" s="53"/>
      <x:c r="R1262" s="53"/>
      <x:c r="S1262" s="53"/>
      <x:c r="T1262" s="53"/>
      <x:c r="U1262" s="53"/>
      <x:c r="V1262" s="53"/>
      <x:c r="W1262" s="53"/>
      <x:c r="X1262" s="53"/>
      <x:c r="Y1262" s="53"/>
      <x:c r="Z1262" s="53"/>
      <x:c r="AA1262" s="53"/>
      <x:c r="AB1262" s="53"/>
      <x:c r="AC1262" s="53"/>
      <x:c r="AD1262" s="53"/>
      <x:c r="AE1262" s="53"/>
      <x:c r="AF1262" s="53"/>
    </x:row>
    <x:row r="1263">
      <x:c r="A1263" s="53"/>
      <x:c r="B1263" s="53"/>
      <x:c r="C1263" s="53"/>
      <x:c r="D1263" s="53"/>
      <x:c r="E1263" s="53"/>
      <x:c r="F1263" s="53"/>
      <x:c r="G1263" s="53"/>
      <x:c r="H1263" s="53"/>
      <x:c r="I1263" s="53"/>
      <x:c r="J1263" s="53"/>
      <x:c r="K1263" s="53"/>
      <x:c r="L1263" s="53"/>
      <x:c r="M1263" s="53"/>
      <x:c r="N1263" s="53"/>
      <x:c r="O1263" s="53"/>
      <x:c r="P1263" s="53"/>
      <x:c r="Q1263" s="53"/>
      <x:c r="R1263" s="53"/>
      <x:c r="S1263" s="53"/>
      <x:c r="T1263" s="53"/>
      <x:c r="U1263" s="53"/>
      <x:c r="V1263" s="53"/>
      <x:c r="W1263" s="53"/>
      <x:c r="X1263" s="53"/>
      <x:c r="Y1263" s="53"/>
      <x:c r="Z1263" s="53"/>
      <x:c r="AA1263" s="53"/>
      <x:c r="AB1263" s="53"/>
      <x:c r="AC1263" s="53"/>
      <x:c r="AD1263" s="53"/>
      <x:c r="AE1263" s="53"/>
      <x:c r="AF1263" s="53"/>
    </x:row>
    <x:row r="1264">
      <x:c r="A1264" s="53"/>
      <x:c r="B1264" s="53"/>
      <x:c r="C1264" s="53"/>
      <x:c r="D1264" s="53"/>
      <x:c r="E1264" s="53"/>
      <x:c r="F1264" s="53"/>
      <x:c r="G1264" s="53"/>
      <x:c r="H1264" s="53"/>
      <x:c r="I1264" s="53"/>
      <x:c r="J1264" s="53"/>
      <x:c r="K1264" s="53"/>
      <x:c r="L1264" s="53"/>
      <x:c r="M1264" s="53"/>
      <x:c r="N1264" s="53"/>
      <x:c r="O1264" s="53"/>
      <x:c r="P1264" s="53"/>
      <x:c r="Q1264" s="53"/>
      <x:c r="R1264" s="53"/>
      <x:c r="S1264" s="53"/>
      <x:c r="T1264" s="53"/>
      <x:c r="U1264" s="53"/>
      <x:c r="V1264" s="53"/>
      <x:c r="W1264" s="53"/>
      <x:c r="X1264" s="53"/>
      <x:c r="Y1264" s="53"/>
      <x:c r="Z1264" s="53"/>
      <x:c r="AA1264" s="53"/>
      <x:c r="AB1264" s="53"/>
      <x:c r="AC1264" s="53"/>
      <x:c r="AD1264" s="53"/>
      <x:c r="AE1264" s="53"/>
      <x:c r="AF1264" s="53"/>
    </x:row>
    <x:row r="1265">
      <x:c r="A1265" s="53"/>
      <x:c r="B1265" s="53"/>
      <x:c r="C1265" s="53"/>
      <x:c r="D1265" s="53"/>
      <x:c r="E1265" s="53"/>
      <x:c r="F1265" s="53"/>
      <x:c r="G1265" s="53"/>
      <x:c r="H1265" s="53"/>
      <x:c r="I1265" s="53"/>
      <x:c r="J1265" s="53"/>
      <x:c r="K1265" s="53"/>
      <x:c r="L1265" s="53"/>
      <x:c r="M1265" s="53"/>
      <x:c r="N1265" s="53"/>
      <x:c r="O1265" s="53"/>
      <x:c r="P1265" s="53"/>
      <x:c r="Q1265" s="53"/>
      <x:c r="R1265" s="53"/>
      <x:c r="S1265" s="53"/>
      <x:c r="T1265" s="53"/>
      <x:c r="U1265" s="53"/>
      <x:c r="V1265" s="53"/>
      <x:c r="W1265" s="53"/>
      <x:c r="X1265" s="53"/>
      <x:c r="Y1265" s="53"/>
      <x:c r="Z1265" s="53"/>
      <x:c r="AA1265" s="53"/>
      <x:c r="AB1265" s="53"/>
      <x:c r="AC1265" s="53"/>
      <x:c r="AD1265" s="53"/>
      <x:c r="AE1265" s="53"/>
      <x:c r="AF1265" s="53"/>
    </x:row>
    <x:row r="1266">
      <x:c r="A1266" s="53"/>
      <x:c r="B1266" s="53"/>
      <x:c r="C1266" s="53"/>
      <x:c r="D1266" s="53"/>
      <x:c r="E1266" s="53"/>
      <x:c r="F1266" s="53"/>
      <x:c r="G1266" s="53"/>
      <x:c r="H1266" s="53"/>
      <x:c r="I1266" s="53"/>
      <x:c r="J1266" s="53"/>
      <x:c r="K1266" s="53"/>
      <x:c r="L1266" s="53"/>
      <x:c r="M1266" s="53"/>
      <x:c r="N1266" s="53"/>
      <x:c r="O1266" s="53"/>
      <x:c r="P1266" s="53"/>
      <x:c r="Q1266" s="53"/>
      <x:c r="R1266" s="53"/>
      <x:c r="S1266" s="53"/>
      <x:c r="T1266" s="53"/>
      <x:c r="U1266" s="53"/>
      <x:c r="V1266" s="53"/>
      <x:c r="W1266" s="53"/>
      <x:c r="X1266" s="53"/>
      <x:c r="Y1266" s="53"/>
      <x:c r="Z1266" s="53"/>
      <x:c r="AA1266" s="53"/>
      <x:c r="AB1266" s="53"/>
      <x:c r="AC1266" s="53"/>
      <x:c r="AD1266" s="53"/>
      <x:c r="AE1266" s="53"/>
      <x:c r="AF1266" s="53"/>
    </x:row>
    <x:row r="1267">
      <x:c r="A1267" s="53"/>
      <x:c r="B1267" s="53"/>
      <x:c r="C1267" s="53"/>
      <x:c r="D1267" s="53"/>
      <x:c r="E1267" s="53"/>
      <x:c r="F1267" s="53"/>
      <x:c r="G1267" s="53"/>
      <x:c r="H1267" s="53"/>
      <x:c r="I1267" s="53"/>
      <x:c r="J1267" s="53"/>
      <x:c r="K1267" s="53"/>
      <x:c r="L1267" s="53"/>
      <x:c r="M1267" s="53"/>
      <x:c r="N1267" s="53"/>
      <x:c r="O1267" s="53"/>
      <x:c r="P1267" s="53"/>
      <x:c r="Q1267" s="53"/>
      <x:c r="R1267" s="53"/>
      <x:c r="S1267" s="53"/>
      <x:c r="T1267" s="53"/>
      <x:c r="U1267" s="53"/>
      <x:c r="V1267" s="53"/>
      <x:c r="W1267" s="53"/>
      <x:c r="X1267" s="53"/>
      <x:c r="Y1267" s="53"/>
      <x:c r="Z1267" s="53"/>
      <x:c r="AA1267" s="53"/>
      <x:c r="AB1267" s="53"/>
      <x:c r="AC1267" s="53"/>
      <x:c r="AD1267" s="53"/>
      <x:c r="AE1267" s="53"/>
      <x:c r="AF1267" s="53"/>
    </x:row>
    <x:row r="1268">
      <x:c r="A1268" s="53"/>
      <x:c r="B1268" s="53"/>
      <x:c r="C1268" s="53"/>
      <x:c r="D1268" s="53"/>
      <x:c r="E1268" s="53"/>
      <x:c r="F1268" s="53"/>
      <x:c r="G1268" s="53"/>
      <x:c r="H1268" s="53"/>
      <x:c r="I1268" s="53"/>
      <x:c r="J1268" s="53"/>
      <x:c r="K1268" s="53"/>
      <x:c r="L1268" s="53"/>
      <x:c r="M1268" s="53"/>
      <x:c r="N1268" s="53"/>
      <x:c r="O1268" s="53"/>
      <x:c r="P1268" s="53"/>
      <x:c r="Q1268" s="53"/>
      <x:c r="R1268" s="53"/>
      <x:c r="S1268" s="53"/>
      <x:c r="T1268" s="53"/>
      <x:c r="U1268" s="53"/>
      <x:c r="V1268" s="53"/>
      <x:c r="W1268" s="53"/>
      <x:c r="X1268" s="53"/>
      <x:c r="Y1268" s="53"/>
      <x:c r="Z1268" s="53"/>
      <x:c r="AA1268" s="53"/>
      <x:c r="AB1268" s="53"/>
      <x:c r="AC1268" s="53"/>
      <x:c r="AD1268" s="53"/>
      <x:c r="AE1268" s="53"/>
      <x:c r="AF1268" s="53"/>
    </x:row>
    <x:row r="1269">
      <x:c r="A1269" s="53"/>
      <x:c r="B1269" s="53"/>
      <x:c r="C1269" s="53"/>
      <x:c r="D1269" s="53"/>
      <x:c r="E1269" s="53"/>
      <x:c r="F1269" s="53"/>
      <x:c r="G1269" s="53"/>
      <x:c r="H1269" s="53"/>
      <x:c r="I1269" s="53"/>
      <x:c r="J1269" s="53"/>
      <x:c r="K1269" s="53"/>
      <x:c r="L1269" s="53"/>
      <x:c r="M1269" s="53"/>
      <x:c r="N1269" s="53"/>
      <x:c r="O1269" s="53"/>
      <x:c r="P1269" s="53"/>
      <x:c r="Q1269" s="53"/>
      <x:c r="R1269" s="53"/>
      <x:c r="S1269" s="53"/>
      <x:c r="T1269" s="53"/>
      <x:c r="U1269" s="53"/>
      <x:c r="V1269" s="53"/>
      <x:c r="W1269" s="53"/>
      <x:c r="X1269" s="53"/>
      <x:c r="Y1269" s="53"/>
      <x:c r="Z1269" s="53"/>
      <x:c r="AA1269" s="53"/>
      <x:c r="AB1269" s="53"/>
      <x:c r="AC1269" s="53"/>
      <x:c r="AD1269" s="53"/>
      <x:c r="AE1269" s="53"/>
      <x:c r="AF1269" s="53"/>
    </x:row>
    <x:row r="1270">
      <x:c r="A1270" s="53"/>
      <x:c r="B1270" s="53"/>
      <x:c r="C1270" s="53"/>
      <x:c r="D1270" s="53"/>
      <x:c r="E1270" s="53"/>
      <x:c r="F1270" s="53"/>
      <x:c r="G1270" s="53"/>
      <x:c r="H1270" s="53"/>
      <x:c r="I1270" s="53"/>
      <x:c r="J1270" s="53"/>
      <x:c r="K1270" s="53"/>
      <x:c r="L1270" s="53"/>
      <x:c r="M1270" s="53"/>
      <x:c r="N1270" s="53"/>
      <x:c r="O1270" s="53"/>
      <x:c r="P1270" s="53"/>
      <x:c r="Q1270" s="53"/>
      <x:c r="R1270" s="53"/>
      <x:c r="S1270" s="53"/>
      <x:c r="T1270" s="53"/>
      <x:c r="U1270" s="53"/>
      <x:c r="V1270" s="53"/>
      <x:c r="W1270" s="53"/>
      <x:c r="X1270" s="53"/>
      <x:c r="Y1270" s="53"/>
      <x:c r="Z1270" s="53"/>
      <x:c r="AA1270" s="53"/>
      <x:c r="AB1270" s="53"/>
      <x:c r="AC1270" s="53"/>
      <x:c r="AD1270" s="53"/>
      <x:c r="AE1270" s="53"/>
      <x:c r="AF1270" s="53"/>
    </x:row>
    <x:row r="1271">
      <x:c r="A1271" s="53"/>
      <x:c r="B1271" s="53"/>
      <x:c r="C1271" s="53"/>
      <x:c r="D1271" s="53"/>
      <x:c r="E1271" s="53"/>
      <x:c r="F1271" s="53"/>
      <x:c r="G1271" s="53"/>
      <x:c r="H1271" s="53"/>
      <x:c r="I1271" s="53"/>
      <x:c r="J1271" s="53"/>
      <x:c r="K1271" s="53"/>
      <x:c r="L1271" s="53"/>
      <x:c r="M1271" s="53"/>
      <x:c r="N1271" s="53"/>
      <x:c r="O1271" s="53"/>
      <x:c r="P1271" s="53"/>
      <x:c r="Q1271" s="53"/>
      <x:c r="R1271" s="53"/>
      <x:c r="S1271" s="53"/>
      <x:c r="T1271" s="53"/>
      <x:c r="U1271" s="53"/>
      <x:c r="V1271" s="53"/>
      <x:c r="W1271" s="53"/>
      <x:c r="X1271" s="53"/>
      <x:c r="Y1271" s="53"/>
      <x:c r="Z1271" s="53"/>
      <x:c r="AA1271" s="53"/>
      <x:c r="AB1271" s="53"/>
      <x:c r="AC1271" s="53"/>
      <x:c r="AD1271" s="53"/>
      <x:c r="AE1271" s="53"/>
      <x:c r="AF1271" s="53"/>
    </x:row>
    <x:row r="1272">
      <x:c r="A1272" s="53"/>
      <x:c r="B1272" s="53"/>
      <x:c r="C1272" s="53"/>
      <x:c r="D1272" s="53"/>
      <x:c r="E1272" s="53"/>
      <x:c r="F1272" s="53"/>
      <x:c r="G1272" s="53"/>
      <x:c r="H1272" s="53"/>
      <x:c r="I1272" s="53"/>
      <x:c r="J1272" s="53"/>
      <x:c r="K1272" s="53"/>
      <x:c r="L1272" s="53"/>
      <x:c r="M1272" s="53"/>
      <x:c r="N1272" s="53"/>
      <x:c r="O1272" s="53"/>
      <x:c r="P1272" s="53"/>
      <x:c r="Q1272" s="53"/>
      <x:c r="R1272" s="53"/>
      <x:c r="S1272" s="53"/>
      <x:c r="T1272" s="53"/>
      <x:c r="U1272" s="53"/>
      <x:c r="V1272" s="53"/>
      <x:c r="W1272" s="53"/>
      <x:c r="X1272" s="53"/>
      <x:c r="Y1272" s="53"/>
      <x:c r="Z1272" s="53"/>
      <x:c r="AA1272" s="53"/>
      <x:c r="AB1272" s="53"/>
      <x:c r="AC1272" s="53"/>
      <x:c r="AD1272" s="53"/>
      <x:c r="AE1272" s="53"/>
      <x:c r="AF1272" s="53"/>
    </x:row>
    <x:row r="1273">
      <x:c r="A1273" s="53"/>
      <x:c r="B1273" s="53"/>
      <x:c r="C1273" s="53"/>
      <x:c r="D1273" s="53"/>
      <x:c r="E1273" s="53"/>
      <x:c r="F1273" s="53"/>
      <x:c r="G1273" s="53"/>
      <x:c r="H1273" s="53"/>
      <x:c r="I1273" s="53"/>
      <x:c r="J1273" s="53"/>
      <x:c r="K1273" s="53"/>
      <x:c r="L1273" s="53"/>
      <x:c r="M1273" s="53"/>
      <x:c r="N1273" s="53"/>
      <x:c r="O1273" s="53"/>
      <x:c r="P1273" s="53"/>
      <x:c r="Q1273" s="53"/>
      <x:c r="R1273" s="53"/>
      <x:c r="S1273" s="53"/>
      <x:c r="T1273" s="53"/>
      <x:c r="U1273" s="53"/>
      <x:c r="V1273" s="53"/>
      <x:c r="W1273" s="53"/>
      <x:c r="X1273" s="53"/>
      <x:c r="Y1273" s="53"/>
      <x:c r="Z1273" s="53"/>
      <x:c r="AA1273" s="53"/>
      <x:c r="AB1273" s="53"/>
      <x:c r="AC1273" s="53"/>
      <x:c r="AD1273" s="53"/>
      <x:c r="AE1273" s="53"/>
      <x:c r="AF1273" s="53"/>
    </x:row>
    <x:row r="1274">
      <x:c r="A1274" s="53"/>
      <x:c r="B1274" s="53"/>
      <x:c r="C1274" s="53"/>
      <x:c r="D1274" s="53"/>
      <x:c r="E1274" s="53"/>
      <x:c r="F1274" s="53"/>
      <x:c r="G1274" s="53"/>
      <x:c r="H1274" s="53"/>
      <x:c r="I1274" s="53"/>
      <x:c r="J1274" s="53"/>
      <x:c r="K1274" s="53"/>
      <x:c r="L1274" s="53"/>
      <x:c r="M1274" s="53"/>
      <x:c r="N1274" s="53"/>
      <x:c r="O1274" s="53"/>
      <x:c r="P1274" s="53"/>
      <x:c r="Q1274" s="53"/>
      <x:c r="R1274" s="53"/>
      <x:c r="S1274" s="53"/>
      <x:c r="T1274" s="53"/>
      <x:c r="U1274" s="53"/>
      <x:c r="V1274" s="53"/>
      <x:c r="W1274" s="53"/>
      <x:c r="X1274" s="53"/>
      <x:c r="Y1274" s="53"/>
      <x:c r="Z1274" s="53"/>
      <x:c r="AA1274" s="53"/>
      <x:c r="AB1274" s="53"/>
      <x:c r="AC1274" s="53"/>
      <x:c r="AD1274" s="53"/>
      <x:c r="AE1274" s="53"/>
      <x:c r="AF1274" s="53"/>
    </x:row>
    <x:row r="1275">
      <x:c r="A1275" s="53"/>
      <x:c r="B1275" s="53"/>
      <x:c r="C1275" s="53"/>
      <x:c r="D1275" s="53"/>
      <x:c r="E1275" s="53"/>
      <x:c r="F1275" s="53"/>
      <x:c r="G1275" s="53"/>
      <x:c r="H1275" s="53"/>
      <x:c r="I1275" s="53"/>
      <x:c r="J1275" s="53"/>
      <x:c r="K1275" s="53"/>
      <x:c r="L1275" s="53"/>
      <x:c r="M1275" s="53"/>
      <x:c r="N1275" s="53"/>
      <x:c r="O1275" s="53"/>
      <x:c r="P1275" s="53"/>
      <x:c r="Q1275" s="53"/>
      <x:c r="R1275" s="53"/>
      <x:c r="S1275" s="53"/>
      <x:c r="T1275" s="53"/>
      <x:c r="U1275" s="53"/>
      <x:c r="V1275" s="53"/>
      <x:c r="W1275" s="53"/>
      <x:c r="X1275" s="53"/>
      <x:c r="Y1275" s="53"/>
      <x:c r="Z1275" s="53"/>
      <x:c r="AA1275" s="53"/>
      <x:c r="AB1275" s="53"/>
      <x:c r="AC1275" s="53"/>
      <x:c r="AD1275" s="53"/>
      <x:c r="AE1275" s="53"/>
      <x:c r="AF1275" s="53"/>
    </x:row>
    <x:row r="1276">
      <x:c r="A1276" s="53"/>
      <x:c r="B1276" s="53"/>
      <x:c r="C1276" s="53"/>
      <x:c r="D1276" s="53"/>
      <x:c r="E1276" s="53"/>
      <x:c r="F1276" s="53"/>
      <x:c r="G1276" s="53"/>
      <x:c r="H1276" s="53"/>
      <x:c r="I1276" s="53"/>
      <x:c r="J1276" s="53"/>
      <x:c r="K1276" s="53"/>
      <x:c r="L1276" s="53"/>
      <x:c r="M1276" s="53"/>
      <x:c r="N1276" s="53"/>
      <x:c r="O1276" s="53"/>
      <x:c r="P1276" s="53"/>
      <x:c r="Q1276" s="53"/>
      <x:c r="R1276" s="53"/>
      <x:c r="S1276" s="53"/>
      <x:c r="T1276" s="53"/>
      <x:c r="U1276" s="53"/>
      <x:c r="V1276" s="53"/>
      <x:c r="W1276" s="53"/>
      <x:c r="X1276" s="53"/>
      <x:c r="Y1276" s="53"/>
      <x:c r="Z1276" s="53"/>
      <x:c r="AA1276" s="53"/>
      <x:c r="AB1276" s="53"/>
      <x:c r="AC1276" s="53"/>
      <x:c r="AD1276" s="53"/>
      <x:c r="AE1276" s="53"/>
      <x:c r="AF1276" s="53"/>
    </x:row>
    <x:row r="1277">
      <x:c r="A1277" s="53"/>
      <x:c r="B1277" s="53"/>
      <x:c r="C1277" s="53"/>
      <x:c r="D1277" s="53"/>
      <x:c r="E1277" s="53"/>
      <x:c r="F1277" s="53"/>
      <x:c r="G1277" s="53"/>
      <x:c r="H1277" s="53"/>
      <x:c r="I1277" s="53"/>
      <x:c r="J1277" s="53"/>
      <x:c r="K1277" s="53"/>
      <x:c r="L1277" s="53"/>
      <x:c r="M1277" s="53"/>
      <x:c r="N1277" s="53"/>
      <x:c r="O1277" s="53"/>
      <x:c r="P1277" s="53"/>
      <x:c r="Q1277" s="53"/>
      <x:c r="R1277" s="53"/>
      <x:c r="S1277" s="53"/>
      <x:c r="T1277" s="53"/>
      <x:c r="U1277" s="53"/>
      <x:c r="V1277" s="53"/>
      <x:c r="W1277" s="53"/>
      <x:c r="X1277" s="53"/>
      <x:c r="Y1277" s="53"/>
      <x:c r="Z1277" s="53"/>
      <x:c r="AA1277" s="53"/>
      <x:c r="AB1277" s="53"/>
      <x:c r="AC1277" s="53"/>
      <x:c r="AD1277" s="53"/>
      <x:c r="AE1277" s="53"/>
      <x:c r="AF1277" s="53"/>
    </x:row>
    <x:row r="1278">
      <x:c r="A1278" s="53"/>
      <x:c r="B1278" s="53"/>
      <x:c r="C1278" s="53"/>
      <x:c r="D1278" s="53"/>
      <x:c r="E1278" s="53"/>
      <x:c r="F1278" s="53"/>
      <x:c r="G1278" s="53"/>
      <x:c r="H1278" s="53"/>
      <x:c r="I1278" s="53"/>
      <x:c r="J1278" s="53"/>
      <x:c r="K1278" s="53"/>
      <x:c r="L1278" s="53"/>
      <x:c r="M1278" s="53"/>
      <x:c r="N1278" s="53"/>
      <x:c r="O1278" s="53"/>
      <x:c r="P1278" s="53"/>
      <x:c r="Q1278" s="53"/>
      <x:c r="R1278" s="53"/>
      <x:c r="S1278" s="53"/>
      <x:c r="T1278" s="53"/>
      <x:c r="U1278" s="53"/>
      <x:c r="V1278" s="53"/>
      <x:c r="W1278" s="53"/>
      <x:c r="X1278" s="53"/>
      <x:c r="Y1278" s="53"/>
      <x:c r="Z1278" s="53"/>
      <x:c r="AA1278" s="53"/>
      <x:c r="AB1278" s="53"/>
      <x:c r="AC1278" s="53"/>
      <x:c r="AD1278" s="53"/>
      <x:c r="AE1278" s="53"/>
      <x:c r="AF1278" s="53"/>
    </x:row>
    <x:row r="1279">
      <x:c r="A1279" s="53"/>
      <x:c r="B1279" s="53"/>
      <x:c r="C1279" s="53"/>
      <x:c r="D1279" s="53"/>
      <x:c r="E1279" s="53"/>
      <x:c r="F1279" s="53"/>
      <x:c r="G1279" s="53"/>
      <x:c r="H1279" s="53"/>
      <x:c r="I1279" s="53"/>
      <x:c r="J1279" s="53"/>
      <x:c r="K1279" s="53"/>
      <x:c r="L1279" s="53"/>
      <x:c r="M1279" s="53"/>
      <x:c r="N1279" s="53"/>
      <x:c r="O1279" s="53"/>
      <x:c r="P1279" s="53"/>
      <x:c r="Q1279" s="53"/>
      <x:c r="R1279" s="53"/>
      <x:c r="S1279" s="53"/>
      <x:c r="T1279" s="53"/>
      <x:c r="U1279" s="53"/>
      <x:c r="V1279" s="53"/>
      <x:c r="W1279" s="53"/>
      <x:c r="X1279" s="53"/>
      <x:c r="Y1279" s="53"/>
      <x:c r="Z1279" s="53"/>
      <x:c r="AA1279" s="53"/>
      <x:c r="AB1279" s="53"/>
      <x:c r="AC1279" s="53"/>
      <x:c r="AD1279" s="53"/>
      <x:c r="AE1279" s="53"/>
      <x:c r="AF1279" s="53"/>
    </x:row>
    <x:row r="1280">
      <x:c r="A1280" s="53"/>
      <x:c r="B1280" s="53"/>
      <x:c r="C1280" s="53"/>
      <x:c r="D1280" s="53"/>
      <x:c r="E1280" s="53"/>
      <x:c r="F1280" s="53"/>
      <x:c r="G1280" s="53"/>
      <x:c r="H1280" s="53"/>
      <x:c r="I1280" s="53"/>
      <x:c r="J1280" s="53"/>
      <x:c r="K1280" s="53"/>
      <x:c r="L1280" s="53"/>
      <x:c r="M1280" s="53"/>
      <x:c r="N1280" s="53"/>
      <x:c r="O1280" s="53"/>
      <x:c r="P1280" s="53"/>
      <x:c r="Q1280" s="53"/>
      <x:c r="R1280" s="53"/>
      <x:c r="S1280" s="53"/>
      <x:c r="T1280" s="53"/>
      <x:c r="U1280" s="53"/>
      <x:c r="V1280" s="53"/>
      <x:c r="W1280" s="53"/>
      <x:c r="X1280" s="53"/>
      <x:c r="Y1280" s="53"/>
      <x:c r="Z1280" s="53"/>
      <x:c r="AA1280" s="53"/>
      <x:c r="AB1280" s="53"/>
      <x:c r="AC1280" s="53"/>
      <x:c r="AD1280" s="53"/>
      <x:c r="AE1280" s="53"/>
      <x:c r="AF1280" s="53"/>
    </x:row>
    <x:row r="1281">
      <x:c r="A1281" s="53"/>
      <x:c r="B1281" s="53"/>
      <x:c r="C1281" s="53"/>
      <x:c r="D1281" s="53"/>
      <x:c r="E1281" s="53"/>
      <x:c r="F1281" s="53"/>
      <x:c r="G1281" s="53"/>
      <x:c r="H1281" s="53"/>
      <x:c r="I1281" s="53"/>
      <x:c r="J1281" s="53"/>
      <x:c r="K1281" s="53"/>
      <x:c r="L1281" s="53"/>
      <x:c r="M1281" s="53"/>
      <x:c r="N1281" s="53"/>
      <x:c r="O1281" s="53"/>
      <x:c r="P1281" s="53"/>
      <x:c r="Q1281" s="53"/>
      <x:c r="R1281" s="53"/>
      <x:c r="S1281" s="53"/>
      <x:c r="T1281" s="53"/>
      <x:c r="U1281" s="53"/>
      <x:c r="V1281" s="53"/>
      <x:c r="W1281" s="53"/>
      <x:c r="X1281" s="53"/>
      <x:c r="Y1281" s="53"/>
      <x:c r="Z1281" s="53"/>
      <x:c r="AA1281" s="53"/>
      <x:c r="AB1281" s="53"/>
      <x:c r="AC1281" s="53"/>
      <x:c r="AD1281" s="53"/>
      <x:c r="AE1281" s="53"/>
      <x:c r="AF1281" s="53"/>
    </x:row>
    <x:row r="1282">
      <x:c r="A1282" s="53"/>
      <x:c r="B1282" s="53"/>
      <x:c r="C1282" s="53"/>
      <x:c r="D1282" s="53"/>
      <x:c r="E1282" s="53"/>
      <x:c r="F1282" s="53"/>
      <x:c r="G1282" s="53"/>
      <x:c r="H1282" s="53"/>
      <x:c r="I1282" s="53"/>
      <x:c r="J1282" s="53"/>
      <x:c r="K1282" s="53"/>
      <x:c r="L1282" s="53"/>
      <x:c r="M1282" s="53"/>
      <x:c r="N1282" s="53"/>
      <x:c r="O1282" s="53"/>
      <x:c r="P1282" s="53"/>
      <x:c r="Q1282" s="53"/>
      <x:c r="R1282" s="53"/>
      <x:c r="S1282" s="53"/>
      <x:c r="T1282" s="53"/>
      <x:c r="U1282" s="53"/>
      <x:c r="V1282" s="53"/>
      <x:c r="W1282" s="53"/>
      <x:c r="X1282" s="53"/>
      <x:c r="Y1282" s="53"/>
      <x:c r="Z1282" s="53"/>
      <x:c r="AA1282" s="53"/>
      <x:c r="AB1282" s="53"/>
      <x:c r="AC1282" s="53"/>
      <x:c r="AD1282" s="53"/>
      <x:c r="AE1282" s="53"/>
      <x:c r="AF1282" s="53"/>
    </x:row>
    <x:row r="1283">
      <x:c r="A1283" s="53"/>
      <x:c r="B1283" s="53"/>
      <x:c r="C1283" s="53"/>
      <x:c r="D1283" s="53"/>
      <x:c r="E1283" s="53"/>
      <x:c r="F1283" s="53"/>
      <x:c r="G1283" s="53"/>
      <x:c r="H1283" s="53"/>
      <x:c r="I1283" s="53"/>
      <x:c r="J1283" s="53"/>
      <x:c r="K1283" s="53"/>
      <x:c r="L1283" s="53"/>
      <x:c r="M1283" s="53"/>
      <x:c r="N1283" s="53"/>
      <x:c r="O1283" s="53"/>
      <x:c r="P1283" s="53"/>
      <x:c r="Q1283" s="53"/>
      <x:c r="R1283" s="53"/>
      <x:c r="S1283" s="53"/>
      <x:c r="T1283" s="53"/>
      <x:c r="U1283" s="53"/>
      <x:c r="V1283" s="53"/>
      <x:c r="W1283" s="53"/>
      <x:c r="X1283" s="53"/>
      <x:c r="Y1283" s="53"/>
      <x:c r="Z1283" s="53"/>
      <x:c r="AA1283" s="53"/>
      <x:c r="AB1283" s="53"/>
      <x:c r="AC1283" s="53"/>
      <x:c r="AD1283" s="53"/>
      <x:c r="AE1283" s="53"/>
      <x:c r="AF1283" s="53"/>
    </x:row>
    <x:row r="1284">
      <x:c r="A1284" s="53"/>
      <x:c r="B1284" s="53"/>
      <x:c r="C1284" s="53"/>
      <x:c r="D1284" s="53"/>
      <x:c r="E1284" s="53"/>
      <x:c r="F1284" s="53"/>
      <x:c r="G1284" s="53"/>
      <x:c r="H1284" s="53"/>
      <x:c r="I1284" s="53"/>
      <x:c r="J1284" s="53"/>
      <x:c r="K1284" s="53"/>
      <x:c r="L1284" s="53"/>
      <x:c r="M1284" s="53"/>
      <x:c r="N1284" s="53"/>
      <x:c r="O1284" s="53"/>
      <x:c r="P1284" s="53"/>
      <x:c r="Q1284" s="53"/>
      <x:c r="R1284" s="53"/>
      <x:c r="S1284" s="53"/>
      <x:c r="T1284" s="53"/>
      <x:c r="U1284" s="53"/>
      <x:c r="V1284" s="53"/>
      <x:c r="W1284" s="53"/>
      <x:c r="X1284" s="53"/>
      <x:c r="Y1284" s="53"/>
      <x:c r="Z1284" s="53"/>
      <x:c r="AA1284" s="53"/>
      <x:c r="AB1284" s="53"/>
      <x:c r="AC1284" s="53"/>
      <x:c r="AD1284" s="53"/>
      <x:c r="AE1284" s="53"/>
      <x:c r="AF1284" s="53"/>
    </x:row>
    <x:row r="1285">
      <x:c r="A1285" s="53"/>
      <x:c r="B1285" s="53"/>
      <x:c r="C1285" s="53"/>
      <x:c r="D1285" s="53"/>
      <x:c r="E1285" s="53"/>
      <x:c r="F1285" s="53"/>
      <x:c r="G1285" s="53"/>
      <x:c r="H1285" s="53"/>
      <x:c r="I1285" s="53"/>
      <x:c r="J1285" s="53"/>
      <x:c r="K1285" s="53"/>
      <x:c r="L1285" s="53"/>
      <x:c r="M1285" s="53"/>
      <x:c r="N1285" s="53"/>
      <x:c r="O1285" s="53"/>
      <x:c r="P1285" s="53"/>
      <x:c r="Q1285" s="53"/>
      <x:c r="R1285" s="53"/>
      <x:c r="S1285" s="53"/>
      <x:c r="T1285" s="53"/>
      <x:c r="U1285" s="53"/>
      <x:c r="V1285" s="53"/>
      <x:c r="W1285" s="53"/>
      <x:c r="X1285" s="53"/>
      <x:c r="Y1285" s="53"/>
      <x:c r="Z1285" s="53"/>
      <x:c r="AA1285" s="53"/>
      <x:c r="AB1285" s="53"/>
      <x:c r="AC1285" s="53"/>
      <x:c r="AD1285" s="53"/>
      <x:c r="AE1285" s="53"/>
      <x:c r="AF1285" s="53"/>
    </x:row>
    <x:row r="1286">
      <x:c r="A1286" s="53"/>
      <x:c r="B1286" s="53"/>
      <x:c r="C1286" s="53"/>
      <x:c r="D1286" s="53"/>
      <x:c r="E1286" s="53"/>
      <x:c r="F1286" s="53"/>
      <x:c r="G1286" s="53"/>
      <x:c r="H1286" s="53"/>
      <x:c r="I1286" s="53"/>
      <x:c r="J1286" s="53"/>
      <x:c r="K1286" s="53"/>
      <x:c r="L1286" s="53"/>
      <x:c r="M1286" s="53"/>
      <x:c r="N1286" s="53"/>
      <x:c r="O1286" s="53"/>
      <x:c r="P1286" s="53"/>
      <x:c r="Q1286" s="53"/>
      <x:c r="R1286" s="53"/>
      <x:c r="S1286" s="53"/>
      <x:c r="T1286" s="53"/>
      <x:c r="U1286" s="53"/>
      <x:c r="V1286" s="53"/>
      <x:c r="W1286" s="53"/>
      <x:c r="X1286" s="53"/>
      <x:c r="Y1286" s="53"/>
      <x:c r="Z1286" s="53"/>
      <x:c r="AA1286" s="53"/>
      <x:c r="AB1286" s="53"/>
      <x:c r="AC1286" s="53"/>
      <x:c r="AD1286" s="53"/>
      <x:c r="AE1286" s="53"/>
      <x:c r="AF1286" s="53"/>
    </x:row>
    <x:row r="1287">
      <x:c r="A1287" s="53"/>
      <x:c r="B1287" s="53"/>
      <x:c r="C1287" s="53"/>
      <x:c r="D1287" s="53"/>
      <x:c r="E1287" s="53"/>
      <x:c r="F1287" s="53"/>
      <x:c r="G1287" s="53"/>
      <x:c r="H1287" s="53"/>
      <x:c r="I1287" s="53"/>
      <x:c r="J1287" s="53"/>
      <x:c r="K1287" s="53"/>
      <x:c r="L1287" s="53"/>
      <x:c r="M1287" s="53"/>
      <x:c r="N1287" s="53"/>
      <x:c r="O1287" s="53"/>
      <x:c r="P1287" s="53"/>
      <x:c r="Q1287" s="53"/>
      <x:c r="R1287" s="53"/>
      <x:c r="S1287" s="53"/>
      <x:c r="T1287" s="53"/>
      <x:c r="U1287" s="53"/>
      <x:c r="V1287" s="53"/>
      <x:c r="W1287" s="53"/>
      <x:c r="X1287" s="53"/>
      <x:c r="Y1287" s="53"/>
      <x:c r="Z1287" s="53"/>
      <x:c r="AA1287" s="53"/>
      <x:c r="AB1287" s="53"/>
      <x:c r="AC1287" s="53"/>
      <x:c r="AD1287" s="53"/>
      <x:c r="AE1287" s="53"/>
      <x:c r="AF1287" s="53"/>
    </x:row>
    <x:row r="1288">
      <x:c r="A1288" s="53"/>
      <x:c r="B1288" s="53"/>
      <x:c r="C1288" s="53"/>
      <x:c r="D1288" s="53"/>
      <x:c r="E1288" s="53"/>
      <x:c r="F1288" s="53"/>
      <x:c r="G1288" s="53"/>
      <x:c r="H1288" s="53"/>
      <x:c r="I1288" s="53"/>
      <x:c r="J1288" s="53"/>
      <x:c r="K1288" s="53"/>
      <x:c r="L1288" s="53"/>
      <x:c r="M1288" s="53"/>
      <x:c r="N1288" s="53"/>
      <x:c r="O1288" s="53"/>
      <x:c r="P1288" s="53"/>
      <x:c r="Q1288" s="53"/>
      <x:c r="R1288" s="53"/>
      <x:c r="S1288" s="53"/>
      <x:c r="T1288" s="53"/>
      <x:c r="U1288" s="53"/>
      <x:c r="V1288" s="53"/>
      <x:c r="W1288" s="53"/>
      <x:c r="X1288" s="53"/>
      <x:c r="Y1288" s="53"/>
      <x:c r="Z1288" s="53"/>
      <x:c r="AA1288" s="53"/>
      <x:c r="AB1288" s="53"/>
      <x:c r="AC1288" s="53"/>
      <x:c r="AD1288" s="53"/>
      <x:c r="AE1288" s="53"/>
      <x:c r="AF1288" s="53"/>
    </x:row>
    <x:row r="1289">
      <x:c r="A1289" s="53"/>
      <x:c r="B1289" s="53"/>
      <x:c r="C1289" s="53"/>
      <x:c r="D1289" s="53"/>
      <x:c r="E1289" s="53"/>
      <x:c r="F1289" s="53"/>
      <x:c r="G1289" s="53"/>
      <x:c r="H1289" s="53"/>
      <x:c r="I1289" s="53"/>
      <x:c r="J1289" s="53"/>
      <x:c r="K1289" s="53"/>
      <x:c r="L1289" s="53"/>
      <x:c r="M1289" s="53"/>
      <x:c r="N1289" s="53"/>
      <x:c r="O1289" s="53"/>
      <x:c r="P1289" s="53"/>
      <x:c r="Q1289" s="53"/>
      <x:c r="R1289" s="53"/>
      <x:c r="S1289" s="53"/>
      <x:c r="T1289" s="53"/>
      <x:c r="U1289" s="53"/>
      <x:c r="V1289" s="53"/>
      <x:c r="W1289" s="53"/>
      <x:c r="X1289" s="53"/>
      <x:c r="Y1289" s="53"/>
      <x:c r="Z1289" s="53"/>
      <x:c r="AA1289" s="53"/>
      <x:c r="AB1289" s="53"/>
      <x:c r="AC1289" s="53"/>
      <x:c r="AD1289" s="53"/>
      <x:c r="AE1289" s="53"/>
      <x:c r="AF1289" s="53"/>
    </x:row>
    <x:row r="1290">
      <x:c r="A1290" s="53"/>
      <x:c r="B1290" s="53"/>
      <x:c r="C1290" s="53"/>
      <x:c r="D1290" s="53"/>
      <x:c r="E1290" s="53"/>
      <x:c r="F1290" s="53"/>
      <x:c r="G1290" s="53"/>
      <x:c r="H1290" s="53"/>
      <x:c r="I1290" s="53"/>
      <x:c r="J1290" s="53"/>
      <x:c r="K1290" s="53"/>
      <x:c r="L1290" s="53"/>
      <x:c r="M1290" s="53"/>
      <x:c r="N1290" s="53"/>
      <x:c r="O1290" s="53"/>
      <x:c r="P1290" s="53"/>
      <x:c r="Q1290" s="53"/>
      <x:c r="R1290" s="53"/>
      <x:c r="S1290" s="53"/>
      <x:c r="T1290" s="53"/>
      <x:c r="U1290" s="53"/>
      <x:c r="V1290" s="53"/>
      <x:c r="W1290" s="53"/>
      <x:c r="X1290" s="53"/>
      <x:c r="Y1290" s="53"/>
      <x:c r="Z1290" s="53"/>
      <x:c r="AA1290" s="53"/>
      <x:c r="AB1290" s="53"/>
      <x:c r="AC1290" s="53"/>
      <x:c r="AD1290" s="53"/>
      <x:c r="AE1290" s="53"/>
      <x:c r="AF1290" s="53"/>
    </x:row>
    <x:row r="1291">
      <x:c r="A1291" s="53"/>
      <x:c r="B1291" s="53"/>
      <x:c r="C1291" s="53"/>
      <x:c r="D1291" s="53"/>
      <x:c r="E1291" s="53"/>
      <x:c r="F1291" s="53"/>
      <x:c r="G1291" s="53"/>
      <x:c r="H1291" s="53"/>
      <x:c r="I1291" s="53"/>
      <x:c r="J1291" s="53"/>
      <x:c r="K1291" s="53"/>
      <x:c r="L1291" s="53"/>
      <x:c r="M1291" s="53"/>
      <x:c r="N1291" s="53"/>
      <x:c r="O1291" s="53"/>
      <x:c r="P1291" s="53"/>
      <x:c r="Q1291" s="53"/>
      <x:c r="R1291" s="53"/>
      <x:c r="S1291" s="53"/>
      <x:c r="T1291" s="53"/>
      <x:c r="U1291" s="53"/>
      <x:c r="V1291" s="53"/>
      <x:c r="W1291" s="53"/>
      <x:c r="X1291" s="53"/>
      <x:c r="Y1291" s="53"/>
      <x:c r="Z1291" s="53"/>
      <x:c r="AA1291" s="53"/>
      <x:c r="AB1291" s="53"/>
      <x:c r="AC1291" s="53"/>
      <x:c r="AD1291" s="53"/>
      <x:c r="AE1291" s="53"/>
      <x:c r="AF1291" s="53"/>
    </x:row>
    <x:row r="1292">
      <x:c r="A1292" s="53"/>
      <x:c r="B1292" s="53"/>
      <x:c r="C1292" s="53"/>
      <x:c r="D1292" s="53"/>
      <x:c r="E1292" s="53"/>
      <x:c r="F1292" s="53"/>
      <x:c r="G1292" s="53"/>
      <x:c r="H1292" s="53"/>
      <x:c r="I1292" s="53"/>
      <x:c r="J1292" s="53"/>
      <x:c r="K1292" s="53"/>
      <x:c r="L1292" s="53"/>
      <x:c r="M1292" s="53"/>
      <x:c r="N1292" s="53"/>
      <x:c r="O1292" s="53"/>
      <x:c r="P1292" s="53"/>
      <x:c r="Q1292" s="53"/>
      <x:c r="R1292" s="53"/>
      <x:c r="S1292" s="53"/>
      <x:c r="T1292" s="53"/>
      <x:c r="U1292" s="53"/>
      <x:c r="V1292" s="53"/>
      <x:c r="W1292" s="53"/>
      <x:c r="X1292" s="53"/>
      <x:c r="Y1292" s="53"/>
      <x:c r="Z1292" s="53"/>
      <x:c r="AA1292" s="53"/>
      <x:c r="AB1292" s="53"/>
      <x:c r="AC1292" s="53"/>
      <x:c r="AD1292" s="53"/>
      <x:c r="AE1292" s="53"/>
      <x:c r="AF1292" s="53"/>
    </x:row>
    <x:row r="1293">
      <x:c r="A1293" s="53"/>
      <x:c r="B1293" s="53"/>
      <x:c r="C1293" s="53"/>
      <x:c r="D1293" s="53"/>
      <x:c r="E1293" s="53"/>
      <x:c r="F1293" s="53"/>
      <x:c r="G1293" s="53"/>
      <x:c r="H1293" s="53"/>
      <x:c r="I1293" s="53"/>
      <x:c r="J1293" s="53"/>
      <x:c r="K1293" s="53"/>
      <x:c r="L1293" s="53"/>
      <x:c r="M1293" s="53"/>
      <x:c r="N1293" s="53"/>
      <x:c r="O1293" s="53"/>
      <x:c r="P1293" s="53"/>
      <x:c r="Q1293" s="53"/>
      <x:c r="R1293" s="53"/>
      <x:c r="S1293" s="53"/>
      <x:c r="T1293" s="53"/>
      <x:c r="U1293" s="53"/>
      <x:c r="V1293" s="53"/>
      <x:c r="W1293" s="53"/>
      <x:c r="X1293" s="53"/>
      <x:c r="Y1293" s="53"/>
      <x:c r="Z1293" s="53"/>
      <x:c r="AA1293" s="53"/>
      <x:c r="AB1293" s="53"/>
      <x:c r="AC1293" s="53"/>
      <x:c r="AD1293" s="53"/>
      <x:c r="AE1293" s="53"/>
      <x:c r="AF1293" s="53"/>
    </x:row>
    <x:row r="1294">
      <x:c r="A1294" s="53"/>
      <x:c r="B1294" s="53"/>
      <x:c r="C1294" s="53"/>
      <x:c r="D1294" s="53"/>
      <x:c r="E1294" s="53"/>
      <x:c r="F1294" s="53"/>
      <x:c r="G1294" s="53"/>
      <x:c r="H1294" s="53"/>
      <x:c r="I1294" s="53"/>
      <x:c r="J1294" s="53"/>
      <x:c r="K1294" s="53"/>
      <x:c r="L1294" s="53"/>
      <x:c r="M1294" s="53"/>
      <x:c r="N1294" s="53"/>
      <x:c r="O1294" s="53"/>
      <x:c r="P1294" s="53"/>
      <x:c r="Q1294" s="53"/>
      <x:c r="R1294" s="53"/>
      <x:c r="S1294" s="53"/>
      <x:c r="T1294" s="53"/>
      <x:c r="U1294" s="53"/>
      <x:c r="V1294" s="53"/>
      <x:c r="W1294" s="53"/>
      <x:c r="X1294" s="53"/>
      <x:c r="Y1294" s="53"/>
      <x:c r="Z1294" s="53"/>
      <x:c r="AA1294" s="53"/>
      <x:c r="AB1294" s="53"/>
      <x:c r="AC1294" s="53"/>
      <x:c r="AD1294" s="53"/>
      <x:c r="AE1294" s="53"/>
      <x:c r="AF1294" s="53"/>
    </x:row>
    <x:row r="1295">
      <x:c r="A1295" s="53"/>
      <x:c r="B1295" s="53"/>
      <x:c r="C1295" s="53"/>
      <x:c r="D1295" s="53"/>
      <x:c r="E1295" s="53"/>
      <x:c r="F1295" s="53"/>
      <x:c r="G1295" s="53"/>
      <x:c r="H1295" s="53"/>
      <x:c r="I1295" s="53"/>
      <x:c r="J1295" s="53"/>
      <x:c r="K1295" s="53"/>
      <x:c r="L1295" s="53"/>
      <x:c r="M1295" s="53"/>
      <x:c r="N1295" s="53"/>
      <x:c r="O1295" s="53"/>
      <x:c r="P1295" s="53"/>
      <x:c r="Q1295" s="53"/>
      <x:c r="R1295" s="53"/>
      <x:c r="S1295" s="53"/>
      <x:c r="T1295" s="53"/>
      <x:c r="U1295" s="53"/>
      <x:c r="V1295" s="53"/>
      <x:c r="W1295" s="53"/>
      <x:c r="X1295" s="53"/>
      <x:c r="Y1295" s="53"/>
      <x:c r="Z1295" s="53"/>
      <x:c r="AA1295" s="53"/>
      <x:c r="AB1295" s="53"/>
      <x:c r="AC1295" s="53"/>
      <x:c r="AD1295" s="53"/>
      <x:c r="AE1295" s="53"/>
      <x:c r="AF1295" s="53"/>
    </x:row>
    <x:row r="1296">
      <x:c r="A1296" s="53"/>
      <x:c r="B1296" s="53"/>
      <x:c r="C1296" s="53"/>
      <x:c r="D1296" s="53"/>
      <x:c r="E1296" s="53"/>
      <x:c r="F1296" s="53"/>
      <x:c r="G1296" s="53"/>
      <x:c r="H1296" s="53"/>
      <x:c r="I1296" s="53"/>
      <x:c r="J1296" s="53"/>
      <x:c r="K1296" s="53"/>
      <x:c r="L1296" s="53"/>
      <x:c r="M1296" s="53"/>
      <x:c r="N1296" s="53"/>
      <x:c r="O1296" s="53"/>
      <x:c r="P1296" s="53"/>
      <x:c r="Q1296" s="53"/>
      <x:c r="R1296" s="53"/>
      <x:c r="S1296" s="53"/>
      <x:c r="T1296" s="53"/>
      <x:c r="U1296" s="53"/>
      <x:c r="V1296" s="53"/>
      <x:c r="W1296" s="53"/>
      <x:c r="X1296" s="53"/>
      <x:c r="Y1296" s="53"/>
      <x:c r="Z1296" s="53"/>
      <x:c r="AA1296" s="53"/>
      <x:c r="AB1296" s="53"/>
      <x:c r="AC1296" s="53"/>
      <x:c r="AD1296" s="53"/>
      <x:c r="AE1296" s="53"/>
      <x:c r="AF1296" s="53"/>
    </x:row>
    <x:row r="1297">
      <x:c r="A1297" s="53"/>
      <x:c r="B1297" s="53"/>
      <x:c r="C1297" s="53"/>
      <x:c r="D1297" s="53"/>
      <x:c r="E1297" s="53"/>
      <x:c r="F1297" s="53"/>
      <x:c r="G1297" s="53"/>
      <x:c r="H1297" s="53"/>
      <x:c r="I1297" s="53"/>
      <x:c r="J1297" s="53"/>
      <x:c r="K1297" s="53"/>
      <x:c r="L1297" s="53"/>
      <x:c r="M1297" s="53"/>
      <x:c r="N1297" s="53"/>
      <x:c r="O1297" s="53"/>
      <x:c r="P1297" s="53"/>
      <x:c r="Q1297" s="53"/>
      <x:c r="R1297" s="53"/>
      <x:c r="S1297" s="53"/>
      <x:c r="T1297" s="53"/>
      <x:c r="U1297" s="53"/>
      <x:c r="V1297" s="53"/>
      <x:c r="W1297" s="53"/>
      <x:c r="X1297" s="53"/>
      <x:c r="Y1297" s="53"/>
      <x:c r="Z1297" s="53"/>
      <x:c r="AA1297" s="53"/>
      <x:c r="AB1297" s="53"/>
      <x:c r="AC1297" s="53"/>
      <x:c r="AD1297" s="53"/>
      <x:c r="AE1297" s="53"/>
      <x:c r="AF1297" s="53"/>
    </x:row>
    <x:row r="1298">
      <x:c r="A1298" s="53"/>
      <x:c r="B1298" s="53"/>
      <x:c r="C1298" s="53"/>
      <x:c r="D1298" s="53"/>
      <x:c r="E1298" s="53"/>
      <x:c r="F1298" s="53"/>
      <x:c r="G1298" s="53"/>
      <x:c r="H1298" s="53"/>
      <x:c r="I1298" s="53"/>
      <x:c r="J1298" s="53"/>
      <x:c r="K1298" s="53"/>
      <x:c r="L1298" s="53"/>
      <x:c r="M1298" s="53"/>
      <x:c r="N1298" s="53"/>
      <x:c r="O1298" s="53"/>
      <x:c r="P1298" s="53"/>
      <x:c r="Q1298" s="53"/>
      <x:c r="R1298" s="53"/>
      <x:c r="S1298" s="53"/>
      <x:c r="T1298" s="53"/>
      <x:c r="U1298" s="53"/>
      <x:c r="V1298" s="53"/>
      <x:c r="W1298" s="53"/>
      <x:c r="X1298" s="53"/>
      <x:c r="Y1298" s="53"/>
      <x:c r="Z1298" s="53"/>
      <x:c r="AA1298" s="53"/>
      <x:c r="AB1298" s="53"/>
      <x:c r="AC1298" s="53"/>
      <x:c r="AD1298" s="53"/>
      <x:c r="AE1298" s="53"/>
      <x:c r="AF1298" s="53"/>
    </x:row>
    <x:row r="1299">
      <x:c r="A1299" s="53"/>
      <x:c r="B1299" s="53"/>
      <x:c r="C1299" s="53"/>
      <x:c r="D1299" s="53"/>
      <x:c r="E1299" s="53"/>
      <x:c r="F1299" s="53"/>
      <x:c r="G1299" s="53"/>
      <x:c r="H1299" s="53"/>
      <x:c r="I1299" s="53"/>
      <x:c r="J1299" s="53"/>
      <x:c r="K1299" s="53"/>
      <x:c r="L1299" s="53"/>
      <x:c r="M1299" s="53"/>
      <x:c r="N1299" s="53"/>
      <x:c r="O1299" s="53"/>
      <x:c r="P1299" s="53"/>
      <x:c r="Q1299" s="53"/>
      <x:c r="R1299" s="53"/>
      <x:c r="S1299" s="53"/>
      <x:c r="T1299" s="53"/>
      <x:c r="U1299" s="53"/>
      <x:c r="V1299" s="53"/>
      <x:c r="W1299" s="53"/>
      <x:c r="X1299" s="53"/>
      <x:c r="Y1299" s="53"/>
      <x:c r="Z1299" s="53"/>
      <x:c r="AA1299" s="53"/>
      <x:c r="AB1299" s="53"/>
      <x:c r="AC1299" s="53"/>
      <x:c r="AD1299" s="53"/>
      <x:c r="AE1299" s="53"/>
      <x:c r="AF1299" s="53"/>
    </x:row>
    <x:row r="1300">
      <x:c r="A1300" s="53"/>
      <x:c r="B1300" s="53"/>
      <x:c r="C1300" s="53"/>
      <x:c r="D1300" s="53"/>
      <x:c r="E1300" s="53"/>
      <x:c r="F1300" s="53"/>
      <x:c r="G1300" s="53"/>
      <x:c r="H1300" s="53"/>
      <x:c r="I1300" s="53"/>
      <x:c r="J1300" s="53"/>
      <x:c r="K1300" s="53"/>
      <x:c r="L1300" s="53"/>
      <x:c r="M1300" s="53"/>
      <x:c r="N1300" s="53"/>
      <x:c r="O1300" s="53"/>
      <x:c r="P1300" s="53"/>
      <x:c r="Q1300" s="53"/>
      <x:c r="R1300" s="53"/>
      <x:c r="S1300" s="53"/>
      <x:c r="T1300" s="53"/>
      <x:c r="U1300" s="53"/>
      <x:c r="V1300" s="53"/>
      <x:c r="W1300" s="53"/>
      <x:c r="X1300" s="53"/>
      <x:c r="Y1300" s="53"/>
      <x:c r="Z1300" s="53"/>
      <x:c r="AA1300" s="53"/>
      <x:c r="AB1300" s="53"/>
      <x:c r="AC1300" s="53"/>
      <x:c r="AD1300" s="53"/>
      <x:c r="AE1300" s="53"/>
      <x:c r="AF1300" s="53"/>
    </x:row>
    <x:row r="1301">
      <x:c r="A1301" s="53"/>
      <x:c r="B1301" s="53"/>
      <x:c r="C1301" s="53"/>
      <x:c r="D1301" s="53"/>
      <x:c r="E1301" s="53"/>
      <x:c r="F1301" s="53"/>
      <x:c r="G1301" s="53"/>
      <x:c r="H1301" s="53"/>
      <x:c r="I1301" s="53"/>
      <x:c r="J1301" s="53"/>
      <x:c r="K1301" s="53"/>
      <x:c r="L1301" s="53"/>
      <x:c r="M1301" s="53"/>
      <x:c r="N1301" s="53"/>
      <x:c r="O1301" s="53"/>
      <x:c r="P1301" s="53"/>
      <x:c r="Q1301" s="53"/>
      <x:c r="R1301" s="53"/>
      <x:c r="S1301" s="53"/>
      <x:c r="T1301" s="53"/>
      <x:c r="U1301" s="53"/>
      <x:c r="V1301" s="53"/>
      <x:c r="W1301" s="53"/>
      <x:c r="X1301" s="53"/>
      <x:c r="Y1301" s="53"/>
      <x:c r="Z1301" s="53"/>
      <x:c r="AA1301" s="53"/>
      <x:c r="AB1301" s="53"/>
      <x:c r="AC1301" s="53"/>
      <x:c r="AD1301" s="53"/>
      <x:c r="AE1301" s="53"/>
      <x:c r="AF1301" s="53"/>
    </x:row>
    <x:row r="1302">
      <x:c r="A1302" s="53"/>
      <x:c r="B1302" s="53"/>
      <x:c r="C1302" s="53"/>
      <x:c r="D1302" s="53"/>
      <x:c r="E1302" s="53"/>
      <x:c r="F1302" s="53"/>
      <x:c r="G1302" s="53"/>
      <x:c r="H1302" s="53"/>
      <x:c r="I1302" s="53"/>
      <x:c r="J1302" s="53"/>
      <x:c r="K1302" s="53"/>
      <x:c r="L1302" s="53"/>
      <x:c r="M1302" s="53"/>
      <x:c r="N1302" s="53"/>
      <x:c r="O1302" s="53"/>
      <x:c r="P1302" s="53"/>
      <x:c r="Q1302" s="53"/>
      <x:c r="R1302" s="53"/>
      <x:c r="S1302" s="53"/>
      <x:c r="T1302" s="53"/>
      <x:c r="U1302" s="53"/>
      <x:c r="V1302" s="53"/>
      <x:c r="W1302" s="53"/>
      <x:c r="X1302" s="53"/>
      <x:c r="Y1302" s="53"/>
      <x:c r="Z1302" s="53"/>
      <x:c r="AA1302" s="53"/>
      <x:c r="AB1302" s="53"/>
      <x:c r="AC1302" s="53"/>
      <x:c r="AD1302" s="53"/>
      <x:c r="AE1302" s="53"/>
      <x:c r="AF1302" s="53"/>
    </x:row>
    <x:row r="1303">
      <x:c r="A1303" s="53"/>
      <x:c r="B1303" s="53"/>
      <x:c r="C1303" s="53"/>
      <x:c r="D1303" s="53"/>
      <x:c r="E1303" s="53"/>
      <x:c r="F1303" s="53"/>
      <x:c r="G1303" s="53"/>
      <x:c r="H1303" s="53"/>
      <x:c r="I1303" s="53"/>
      <x:c r="J1303" s="53"/>
      <x:c r="K1303" s="53"/>
      <x:c r="L1303" s="53"/>
      <x:c r="M1303" s="53"/>
      <x:c r="N1303" s="53"/>
      <x:c r="O1303" s="53"/>
      <x:c r="P1303" s="53"/>
      <x:c r="Q1303" s="53"/>
      <x:c r="R1303" s="53"/>
      <x:c r="S1303" s="53"/>
      <x:c r="T1303" s="53"/>
      <x:c r="U1303" s="53"/>
      <x:c r="V1303" s="53"/>
      <x:c r="W1303" s="53"/>
      <x:c r="X1303" s="53"/>
      <x:c r="Y1303" s="53"/>
      <x:c r="Z1303" s="53"/>
      <x:c r="AA1303" s="53"/>
      <x:c r="AB1303" s="53"/>
      <x:c r="AC1303" s="53"/>
      <x:c r="AD1303" s="53"/>
      <x:c r="AE1303" s="53"/>
      <x:c r="AF1303" s="53"/>
    </x:row>
    <x:row r="1304">
      <x:c r="A1304" s="53"/>
      <x:c r="B1304" s="53"/>
      <x:c r="C1304" s="53"/>
      <x:c r="D1304" s="53"/>
      <x:c r="E1304" s="53"/>
      <x:c r="F1304" s="53"/>
      <x:c r="G1304" s="53"/>
      <x:c r="H1304" s="53"/>
      <x:c r="I1304" s="53"/>
      <x:c r="J1304" s="53"/>
      <x:c r="K1304" s="53"/>
      <x:c r="L1304" s="53"/>
      <x:c r="M1304" s="53"/>
      <x:c r="N1304" s="53"/>
      <x:c r="O1304" s="53"/>
      <x:c r="P1304" s="53"/>
      <x:c r="Q1304" s="53"/>
      <x:c r="R1304" s="53"/>
      <x:c r="S1304" s="53"/>
      <x:c r="T1304" s="53"/>
      <x:c r="U1304" s="53"/>
      <x:c r="V1304" s="53"/>
      <x:c r="W1304" s="53"/>
      <x:c r="X1304" s="53"/>
      <x:c r="Y1304" s="53"/>
      <x:c r="Z1304" s="53"/>
      <x:c r="AA1304" s="53"/>
      <x:c r="AB1304" s="53"/>
      <x:c r="AC1304" s="53"/>
      <x:c r="AD1304" s="53"/>
      <x:c r="AE1304" s="53"/>
      <x:c r="AF1304" s="53"/>
    </x:row>
    <x:row r="1305">
      <x:c r="A1305" s="53"/>
      <x:c r="B1305" s="53"/>
      <x:c r="C1305" s="53"/>
      <x:c r="D1305" s="53"/>
      <x:c r="E1305" s="53"/>
      <x:c r="F1305" s="53"/>
      <x:c r="G1305" s="53"/>
      <x:c r="H1305" s="53"/>
      <x:c r="I1305" s="53"/>
      <x:c r="J1305" s="53"/>
      <x:c r="K1305" s="53"/>
      <x:c r="L1305" s="53"/>
      <x:c r="M1305" s="53"/>
      <x:c r="N1305" s="53"/>
      <x:c r="O1305" s="53"/>
      <x:c r="P1305" s="53"/>
      <x:c r="Q1305" s="53"/>
      <x:c r="R1305" s="53"/>
      <x:c r="S1305" s="53"/>
      <x:c r="T1305" s="53"/>
      <x:c r="U1305" s="53"/>
      <x:c r="V1305" s="53"/>
      <x:c r="W1305" s="53"/>
      <x:c r="X1305" s="53"/>
      <x:c r="Y1305" s="53"/>
      <x:c r="Z1305" s="53"/>
      <x:c r="AA1305" s="53"/>
      <x:c r="AB1305" s="53"/>
      <x:c r="AC1305" s="53"/>
      <x:c r="AD1305" s="53"/>
      <x:c r="AE1305" s="53"/>
      <x:c r="AF1305" s="53"/>
    </x:row>
    <x:row r="1306">
      <x:c r="A1306" s="53"/>
      <x:c r="B1306" s="53"/>
      <x:c r="C1306" s="53"/>
      <x:c r="D1306" s="53"/>
      <x:c r="E1306" s="53"/>
      <x:c r="F1306" s="53"/>
      <x:c r="G1306" s="53"/>
      <x:c r="H1306" s="53"/>
      <x:c r="I1306" s="53"/>
      <x:c r="J1306" s="53"/>
      <x:c r="K1306" s="53"/>
      <x:c r="L1306" s="53"/>
      <x:c r="M1306" s="53"/>
      <x:c r="N1306" s="53"/>
      <x:c r="O1306" s="53"/>
      <x:c r="P1306" s="53"/>
      <x:c r="Q1306" s="53"/>
      <x:c r="R1306" s="53"/>
      <x:c r="S1306" s="53"/>
      <x:c r="T1306" s="53"/>
      <x:c r="U1306" s="53"/>
      <x:c r="V1306" s="53"/>
      <x:c r="W1306" s="53"/>
      <x:c r="X1306" s="53"/>
      <x:c r="Y1306" s="53"/>
      <x:c r="Z1306" s="53"/>
      <x:c r="AA1306" s="53"/>
      <x:c r="AB1306" s="53"/>
      <x:c r="AC1306" s="53"/>
      <x:c r="AD1306" s="53"/>
      <x:c r="AE1306" s="53"/>
      <x:c r="AF1306" s="53"/>
    </x:row>
    <x:row r="1307">
      <x:c r="A1307" s="53"/>
      <x:c r="B1307" s="53"/>
      <x:c r="C1307" s="53"/>
      <x:c r="D1307" s="53"/>
      <x:c r="E1307" s="53"/>
      <x:c r="F1307" s="53"/>
      <x:c r="G1307" s="53"/>
      <x:c r="H1307" s="53"/>
      <x:c r="I1307" s="53"/>
      <x:c r="J1307" s="53"/>
      <x:c r="K1307" s="53"/>
      <x:c r="L1307" s="53"/>
      <x:c r="M1307" s="53"/>
      <x:c r="N1307" s="53"/>
      <x:c r="O1307" s="53"/>
      <x:c r="P1307" s="53"/>
      <x:c r="Q1307" s="53"/>
      <x:c r="R1307" s="53"/>
      <x:c r="S1307" s="53"/>
      <x:c r="T1307" s="53"/>
      <x:c r="U1307" s="53"/>
      <x:c r="V1307" s="53"/>
      <x:c r="W1307" s="53"/>
      <x:c r="X1307" s="53"/>
      <x:c r="Y1307" s="53"/>
      <x:c r="Z1307" s="53"/>
      <x:c r="AA1307" s="53"/>
      <x:c r="AB1307" s="53"/>
      <x:c r="AC1307" s="53"/>
      <x:c r="AD1307" s="53"/>
      <x:c r="AE1307" s="53"/>
      <x:c r="AF1307" s="53"/>
    </x:row>
    <x:row r="1308">
      <x:c r="A1308" s="53"/>
      <x:c r="B1308" s="53"/>
      <x:c r="C1308" s="53"/>
      <x:c r="D1308" s="53"/>
      <x:c r="E1308" s="53"/>
      <x:c r="F1308" s="53"/>
      <x:c r="G1308" s="53"/>
      <x:c r="H1308" s="53"/>
      <x:c r="I1308" s="53"/>
      <x:c r="J1308" s="53"/>
      <x:c r="K1308" s="53"/>
      <x:c r="L1308" s="53"/>
      <x:c r="M1308" s="53"/>
      <x:c r="N1308" s="53"/>
      <x:c r="O1308" s="53"/>
      <x:c r="P1308" s="53"/>
      <x:c r="Q1308" s="53"/>
      <x:c r="R1308" s="53"/>
      <x:c r="S1308" s="53"/>
      <x:c r="T1308" s="53"/>
      <x:c r="U1308" s="53"/>
      <x:c r="V1308" s="53"/>
      <x:c r="W1308" s="53"/>
      <x:c r="X1308" s="53"/>
      <x:c r="Y1308" s="53"/>
      <x:c r="Z1308" s="53"/>
      <x:c r="AA1308" s="53"/>
      <x:c r="AB1308" s="53"/>
      <x:c r="AC1308" s="53"/>
      <x:c r="AD1308" s="53"/>
      <x:c r="AE1308" s="53"/>
      <x:c r="AF1308" s="53"/>
    </x:row>
    <x:row r="1309">
      <x:c r="A1309" s="53"/>
      <x:c r="B1309" s="53"/>
      <x:c r="C1309" s="53"/>
      <x:c r="D1309" s="53"/>
      <x:c r="E1309" s="53"/>
      <x:c r="F1309" s="53"/>
      <x:c r="G1309" s="53"/>
      <x:c r="H1309" s="53"/>
      <x:c r="I1309" s="53"/>
      <x:c r="J1309" s="53"/>
      <x:c r="K1309" s="53"/>
      <x:c r="L1309" s="53"/>
      <x:c r="M1309" s="53"/>
      <x:c r="N1309" s="53"/>
      <x:c r="O1309" s="53"/>
      <x:c r="P1309" s="53"/>
      <x:c r="Q1309" s="53"/>
      <x:c r="R1309" s="53"/>
      <x:c r="S1309" s="53"/>
      <x:c r="T1309" s="53"/>
      <x:c r="U1309" s="53"/>
      <x:c r="V1309" s="53"/>
      <x:c r="W1309" s="53"/>
      <x:c r="X1309" s="53"/>
      <x:c r="Y1309" s="53"/>
      <x:c r="Z1309" s="53"/>
      <x:c r="AA1309" s="53"/>
      <x:c r="AB1309" s="53"/>
      <x:c r="AC1309" s="53"/>
      <x:c r="AD1309" s="53"/>
      <x:c r="AE1309" s="53"/>
      <x:c r="AF1309" s="53"/>
    </x:row>
    <x:row r="1310">
      <x:c r="A1310" s="53"/>
      <x:c r="B1310" s="53"/>
      <x:c r="C1310" s="53"/>
      <x:c r="D1310" s="53"/>
      <x:c r="E1310" s="53"/>
      <x:c r="F1310" s="53"/>
      <x:c r="G1310" s="53"/>
      <x:c r="H1310" s="53"/>
      <x:c r="I1310" s="53"/>
      <x:c r="J1310" s="53"/>
      <x:c r="K1310" s="53"/>
      <x:c r="L1310" s="53"/>
      <x:c r="M1310" s="53"/>
      <x:c r="N1310" s="53"/>
      <x:c r="O1310" s="53"/>
      <x:c r="P1310" s="53"/>
      <x:c r="Q1310" s="53"/>
      <x:c r="R1310" s="53"/>
      <x:c r="S1310" s="53"/>
      <x:c r="T1310" s="53"/>
      <x:c r="U1310" s="53"/>
      <x:c r="V1310" s="53"/>
      <x:c r="W1310" s="53"/>
      <x:c r="X1310" s="53"/>
      <x:c r="Y1310" s="53"/>
      <x:c r="Z1310" s="53"/>
      <x:c r="AA1310" s="53"/>
      <x:c r="AB1310" s="53"/>
      <x:c r="AC1310" s="53"/>
      <x:c r="AD1310" s="53"/>
      <x:c r="AE1310" s="53"/>
      <x:c r="AF1310" s="53"/>
    </x:row>
    <x:row r="1311">
      <x:c r="A1311" s="53"/>
      <x:c r="B1311" s="53"/>
      <x:c r="C1311" s="53"/>
      <x:c r="D1311" s="53"/>
      <x:c r="E1311" s="53"/>
      <x:c r="F1311" s="53"/>
      <x:c r="G1311" s="53"/>
      <x:c r="H1311" s="53"/>
      <x:c r="I1311" s="53"/>
      <x:c r="J1311" s="53"/>
      <x:c r="K1311" s="53"/>
      <x:c r="L1311" s="53"/>
      <x:c r="M1311" s="53"/>
      <x:c r="N1311" s="53"/>
      <x:c r="O1311" s="53"/>
      <x:c r="P1311" s="53"/>
      <x:c r="Q1311" s="53"/>
      <x:c r="R1311" s="53"/>
      <x:c r="S1311" s="53"/>
      <x:c r="T1311" s="53"/>
      <x:c r="U1311" s="53"/>
      <x:c r="V1311" s="53"/>
      <x:c r="W1311" s="53"/>
      <x:c r="X1311" s="53"/>
      <x:c r="Y1311" s="53"/>
      <x:c r="Z1311" s="53"/>
      <x:c r="AA1311" s="53"/>
      <x:c r="AB1311" s="53"/>
      <x:c r="AC1311" s="53"/>
      <x:c r="AD1311" s="53"/>
      <x:c r="AE1311" s="53"/>
      <x:c r="AF1311" s="53"/>
    </x:row>
    <x:row r="1312">
      <x:c r="A1312" s="53"/>
      <x:c r="B1312" s="53"/>
      <x:c r="C1312" s="53"/>
      <x:c r="D1312" s="53"/>
      <x:c r="E1312" s="53"/>
      <x:c r="F1312" s="53"/>
      <x:c r="G1312" s="53"/>
      <x:c r="H1312" s="53"/>
      <x:c r="I1312" s="53"/>
      <x:c r="J1312" s="53"/>
      <x:c r="K1312" s="53"/>
      <x:c r="L1312" s="53"/>
      <x:c r="M1312" s="53"/>
      <x:c r="N1312" s="53"/>
      <x:c r="O1312" s="53"/>
      <x:c r="P1312" s="53"/>
      <x:c r="Q1312" s="53"/>
      <x:c r="R1312" s="53"/>
      <x:c r="S1312" s="53"/>
      <x:c r="T1312" s="53"/>
      <x:c r="U1312" s="53"/>
      <x:c r="V1312" s="53"/>
      <x:c r="W1312" s="53"/>
      <x:c r="X1312" s="53"/>
      <x:c r="Y1312" s="53"/>
      <x:c r="Z1312" s="53"/>
      <x:c r="AA1312" s="53"/>
      <x:c r="AB1312" s="53"/>
      <x:c r="AC1312" s="53"/>
      <x:c r="AD1312" s="53"/>
      <x:c r="AE1312" s="53"/>
      <x:c r="AF1312" s="53"/>
    </x:row>
    <x:row r="1313">
      <x:c r="A1313" s="53"/>
      <x:c r="B1313" s="53"/>
      <x:c r="C1313" s="53"/>
      <x:c r="D1313" s="53"/>
      <x:c r="E1313" s="53"/>
      <x:c r="F1313" s="53"/>
      <x:c r="G1313" s="53"/>
      <x:c r="H1313" s="53"/>
      <x:c r="I1313" s="53"/>
      <x:c r="J1313" s="53"/>
      <x:c r="K1313" s="53"/>
      <x:c r="L1313" s="53"/>
      <x:c r="M1313" s="53"/>
      <x:c r="N1313" s="53"/>
      <x:c r="O1313" s="53"/>
      <x:c r="P1313" s="53"/>
      <x:c r="Q1313" s="53"/>
      <x:c r="R1313" s="53"/>
      <x:c r="S1313" s="53"/>
      <x:c r="T1313" s="53"/>
      <x:c r="U1313" s="53"/>
      <x:c r="V1313" s="53"/>
      <x:c r="W1313" s="53"/>
      <x:c r="X1313" s="53"/>
      <x:c r="Y1313" s="53"/>
      <x:c r="Z1313" s="53"/>
      <x:c r="AA1313" s="53"/>
      <x:c r="AB1313" s="53"/>
      <x:c r="AC1313" s="53"/>
      <x:c r="AD1313" s="53"/>
      <x:c r="AE1313" s="53"/>
      <x:c r="AF1313" s="53"/>
    </x:row>
    <x:row r="1314">
      <x:c r="A1314" s="53"/>
      <x:c r="B1314" s="53"/>
      <x:c r="C1314" s="53"/>
      <x:c r="D1314" s="53"/>
      <x:c r="E1314" s="53"/>
      <x:c r="F1314" s="53"/>
      <x:c r="G1314" s="53"/>
      <x:c r="H1314" s="53"/>
      <x:c r="I1314" s="53"/>
      <x:c r="J1314" s="53"/>
      <x:c r="K1314" s="53"/>
      <x:c r="L1314" s="53"/>
      <x:c r="M1314" s="53"/>
      <x:c r="N1314" s="53"/>
      <x:c r="O1314" s="53"/>
      <x:c r="P1314" s="53"/>
      <x:c r="Q1314" s="53"/>
      <x:c r="R1314" s="53"/>
      <x:c r="S1314" s="53"/>
      <x:c r="T1314" s="53"/>
      <x:c r="U1314" s="53"/>
      <x:c r="V1314" s="53"/>
      <x:c r="W1314" s="53"/>
      <x:c r="X1314" s="53"/>
      <x:c r="Y1314" s="53"/>
      <x:c r="Z1314" s="53"/>
      <x:c r="AA1314" s="53"/>
      <x:c r="AB1314" s="53"/>
      <x:c r="AC1314" s="53"/>
      <x:c r="AD1314" s="53"/>
      <x:c r="AE1314" s="53"/>
      <x:c r="AF1314" s="53"/>
    </x:row>
    <x:row r="1315">
      <x:c r="A1315" s="53"/>
      <x:c r="B1315" s="53"/>
      <x:c r="C1315" s="53"/>
      <x:c r="D1315" s="53"/>
      <x:c r="E1315" s="53"/>
      <x:c r="F1315" s="53"/>
      <x:c r="G1315" s="53"/>
      <x:c r="H1315" s="53"/>
      <x:c r="I1315" s="53"/>
      <x:c r="J1315" s="53"/>
      <x:c r="K1315" s="53"/>
      <x:c r="L1315" s="53"/>
      <x:c r="M1315" s="53"/>
      <x:c r="N1315" s="53"/>
      <x:c r="O1315" s="53"/>
      <x:c r="P1315" s="53"/>
      <x:c r="Q1315" s="53"/>
      <x:c r="R1315" s="53"/>
      <x:c r="S1315" s="53"/>
      <x:c r="T1315" s="53"/>
      <x:c r="U1315" s="53"/>
      <x:c r="V1315" s="53"/>
      <x:c r="W1315" s="53"/>
      <x:c r="X1315" s="53"/>
      <x:c r="Y1315" s="53"/>
      <x:c r="Z1315" s="53"/>
      <x:c r="AA1315" s="53"/>
      <x:c r="AB1315" s="53"/>
      <x:c r="AC1315" s="53"/>
      <x:c r="AD1315" s="53"/>
      <x:c r="AE1315" s="53"/>
      <x:c r="AF1315" s="53"/>
    </x:row>
    <x:row r="1316">
      <x:c r="A1316" s="53"/>
      <x:c r="B1316" s="53"/>
      <x:c r="C1316" s="53"/>
      <x:c r="D1316" s="53"/>
      <x:c r="E1316" s="53"/>
      <x:c r="F1316" s="53"/>
      <x:c r="G1316" s="53"/>
      <x:c r="H1316" s="53"/>
      <x:c r="I1316" s="53"/>
      <x:c r="J1316" s="53"/>
      <x:c r="K1316" s="53"/>
      <x:c r="L1316" s="53"/>
      <x:c r="M1316" s="53"/>
      <x:c r="N1316" s="53"/>
      <x:c r="O1316" s="53"/>
      <x:c r="P1316" s="53"/>
      <x:c r="Q1316" s="53"/>
      <x:c r="R1316" s="53"/>
      <x:c r="S1316" s="53"/>
      <x:c r="T1316" s="53"/>
      <x:c r="U1316" s="53"/>
      <x:c r="V1316" s="53"/>
      <x:c r="W1316" s="53"/>
      <x:c r="X1316" s="53"/>
      <x:c r="Y1316" s="53"/>
      <x:c r="Z1316" s="53"/>
      <x:c r="AA1316" s="53"/>
      <x:c r="AB1316" s="53"/>
      <x:c r="AC1316" s="53"/>
      <x:c r="AD1316" s="53"/>
      <x:c r="AE1316" s="53"/>
      <x:c r="AF1316" s="53"/>
    </x:row>
    <x:row r="1317">
      <x:c r="A1317" s="53"/>
      <x:c r="B1317" s="53"/>
      <x:c r="C1317" s="53"/>
      <x:c r="D1317" s="53"/>
      <x:c r="E1317" s="53"/>
      <x:c r="F1317" s="53"/>
      <x:c r="G1317" s="53"/>
      <x:c r="H1317" s="53"/>
      <x:c r="I1317" s="53"/>
      <x:c r="J1317" s="53"/>
      <x:c r="K1317" s="53"/>
      <x:c r="L1317" s="53"/>
      <x:c r="M1317" s="53"/>
      <x:c r="N1317" s="53"/>
      <x:c r="O1317" s="53"/>
      <x:c r="P1317" s="53"/>
      <x:c r="Q1317" s="53"/>
      <x:c r="R1317" s="53"/>
      <x:c r="S1317" s="53"/>
      <x:c r="T1317" s="53"/>
      <x:c r="U1317" s="53"/>
      <x:c r="V1317" s="53"/>
      <x:c r="W1317" s="53"/>
      <x:c r="X1317" s="53"/>
      <x:c r="Y1317" s="53"/>
      <x:c r="Z1317" s="53"/>
      <x:c r="AA1317" s="53"/>
      <x:c r="AB1317" s="53"/>
      <x:c r="AC1317" s="53"/>
      <x:c r="AD1317" s="53"/>
      <x:c r="AE1317" s="53"/>
      <x:c r="AF1317" s="53"/>
    </x:row>
    <x:row r="1318">
      <x:c r="A1318" s="53"/>
      <x:c r="B1318" s="53"/>
      <x:c r="C1318" s="53"/>
      <x:c r="D1318" s="53"/>
      <x:c r="E1318" s="53"/>
      <x:c r="F1318" s="53"/>
      <x:c r="G1318" s="53"/>
      <x:c r="H1318" s="53"/>
      <x:c r="I1318" s="53"/>
      <x:c r="J1318" s="53"/>
      <x:c r="K1318" s="53"/>
      <x:c r="L1318" s="53"/>
      <x:c r="M1318" s="53"/>
      <x:c r="N1318" s="53"/>
      <x:c r="O1318" s="53"/>
      <x:c r="P1318" s="53"/>
      <x:c r="Q1318" s="53"/>
      <x:c r="R1318" s="53"/>
      <x:c r="S1318" s="53"/>
      <x:c r="T1318" s="53"/>
      <x:c r="U1318" s="53"/>
      <x:c r="V1318" s="53"/>
      <x:c r="W1318" s="53"/>
      <x:c r="X1318" s="53"/>
      <x:c r="Y1318" s="53"/>
      <x:c r="Z1318" s="53"/>
      <x:c r="AA1318" s="53"/>
      <x:c r="AB1318" s="53"/>
      <x:c r="AC1318" s="53"/>
      <x:c r="AD1318" s="53"/>
      <x:c r="AE1318" s="53"/>
      <x:c r="AF1318" s="53"/>
    </x:row>
    <x:row r="1319">
      <x:c r="A1319" s="53"/>
      <x:c r="B1319" s="53"/>
      <x:c r="C1319" s="53"/>
      <x:c r="D1319" s="53"/>
      <x:c r="E1319" s="53"/>
      <x:c r="F1319" s="53"/>
      <x:c r="G1319" s="53"/>
      <x:c r="H1319" s="53"/>
      <x:c r="I1319" s="53"/>
      <x:c r="J1319" s="53"/>
      <x:c r="K1319" s="53"/>
      <x:c r="L1319" s="53"/>
      <x:c r="M1319" s="53"/>
      <x:c r="N1319" s="53"/>
      <x:c r="O1319" s="53"/>
      <x:c r="P1319" s="53"/>
      <x:c r="Q1319" s="53"/>
      <x:c r="R1319" s="53"/>
      <x:c r="S1319" s="53"/>
      <x:c r="T1319" s="53"/>
      <x:c r="U1319" s="53"/>
      <x:c r="V1319" s="53"/>
      <x:c r="W1319" s="53"/>
      <x:c r="X1319" s="53"/>
      <x:c r="Y1319" s="53"/>
      <x:c r="Z1319" s="53"/>
      <x:c r="AA1319" s="53"/>
      <x:c r="AB1319" s="53"/>
      <x:c r="AC1319" s="53"/>
      <x:c r="AD1319" s="53"/>
      <x:c r="AE1319" s="53"/>
      <x:c r="AF1319" s="53"/>
    </x:row>
    <x:row r="1320">
      <x:c r="A1320" s="53"/>
      <x:c r="B1320" s="53"/>
      <x:c r="C1320" s="53"/>
      <x:c r="D1320" s="53"/>
      <x:c r="E1320" s="53"/>
      <x:c r="F1320" s="53"/>
      <x:c r="G1320" s="53"/>
      <x:c r="H1320" s="53"/>
      <x:c r="I1320" s="53"/>
      <x:c r="J1320" s="53"/>
      <x:c r="K1320" s="53"/>
      <x:c r="L1320" s="53"/>
      <x:c r="M1320" s="53"/>
      <x:c r="N1320" s="53"/>
      <x:c r="O1320" s="53"/>
      <x:c r="P1320" s="53"/>
      <x:c r="Q1320" s="53"/>
      <x:c r="R1320" s="53"/>
      <x:c r="S1320" s="53"/>
      <x:c r="T1320" s="53"/>
      <x:c r="U1320" s="53"/>
      <x:c r="V1320" s="53"/>
      <x:c r="W1320" s="53"/>
      <x:c r="X1320" s="53"/>
      <x:c r="Y1320" s="53"/>
      <x:c r="Z1320" s="53"/>
      <x:c r="AA1320" s="53"/>
      <x:c r="AB1320" s="53"/>
      <x:c r="AC1320" s="53"/>
      <x:c r="AD1320" s="53"/>
      <x:c r="AE1320" s="53"/>
      <x:c r="AF1320" s="53"/>
    </x:row>
    <x:row r="1321">
      <x:c r="A1321" s="53"/>
      <x:c r="B1321" s="53"/>
      <x:c r="C1321" s="53"/>
      <x:c r="D1321" s="53"/>
      <x:c r="E1321" s="53"/>
      <x:c r="F1321" s="53"/>
      <x:c r="G1321" s="53"/>
      <x:c r="H1321" s="53"/>
      <x:c r="I1321" s="53"/>
      <x:c r="J1321" s="53"/>
      <x:c r="K1321" s="53"/>
      <x:c r="L1321" s="53"/>
      <x:c r="M1321" s="53"/>
      <x:c r="N1321" s="53"/>
      <x:c r="O1321" s="53"/>
      <x:c r="P1321" s="53"/>
      <x:c r="Q1321" s="53"/>
      <x:c r="R1321" s="53"/>
      <x:c r="S1321" s="53"/>
      <x:c r="T1321" s="53"/>
      <x:c r="U1321" s="53"/>
      <x:c r="V1321" s="53"/>
      <x:c r="W1321" s="53"/>
      <x:c r="X1321" s="53"/>
      <x:c r="Y1321" s="53"/>
      <x:c r="Z1321" s="53"/>
      <x:c r="AA1321" s="53"/>
      <x:c r="AB1321" s="53"/>
      <x:c r="AC1321" s="53"/>
      <x:c r="AD1321" s="53"/>
      <x:c r="AE1321" s="53"/>
      <x:c r="AF1321" s="53"/>
    </x:row>
    <x:row r="1322">
      <x:c r="A1322" s="53"/>
      <x:c r="B1322" s="53"/>
      <x:c r="C1322" s="53"/>
      <x:c r="D1322" s="53"/>
      <x:c r="E1322" s="53"/>
      <x:c r="F1322" s="53"/>
      <x:c r="G1322" s="53"/>
      <x:c r="H1322" s="53"/>
      <x:c r="I1322" s="53"/>
      <x:c r="J1322" s="53"/>
      <x:c r="K1322" s="53"/>
      <x:c r="L1322" s="53"/>
      <x:c r="M1322" s="53"/>
      <x:c r="N1322" s="53"/>
      <x:c r="O1322" s="53"/>
      <x:c r="P1322" s="53"/>
      <x:c r="Q1322" s="53"/>
      <x:c r="R1322" s="53"/>
      <x:c r="S1322" s="53"/>
      <x:c r="T1322" s="53"/>
      <x:c r="U1322" s="53"/>
      <x:c r="V1322" s="53"/>
      <x:c r="W1322" s="53"/>
      <x:c r="X1322" s="53"/>
      <x:c r="Y1322" s="53"/>
      <x:c r="Z1322" s="53"/>
      <x:c r="AA1322" s="53"/>
      <x:c r="AB1322" s="53"/>
      <x:c r="AC1322" s="53"/>
      <x:c r="AD1322" s="53"/>
      <x:c r="AE1322" s="53"/>
      <x:c r="AF1322" s="53"/>
    </x:row>
    <x:row r="1323">
      <x:c r="A1323" s="53"/>
      <x:c r="B1323" s="53"/>
      <x:c r="C1323" s="53"/>
      <x:c r="D1323" s="53"/>
      <x:c r="E1323" s="53"/>
      <x:c r="F1323" s="53"/>
      <x:c r="G1323" s="53"/>
      <x:c r="H1323" s="53"/>
      <x:c r="I1323" s="53"/>
      <x:c r="J1323" s="53"/>
      <x:c r="K1323" s="53"/>
      <x:c r="L1323" s="53"/>
      <x:c r="M1323" s="53"/>
      <x:c r="N1323" s="53"/>
      <x:c r="O1323" s="53"/>
      <x:c r="P1323" s="53"/>
      <x:c r="Q1323" s="53"/>
      <x:c r="R1323" s="53"/>
      <x:c r="S1323" s="53"/>
      <x:c r="T1323" s="53"/>
      <x:c r="U1323" s="53"/>
      <x:c r="V1323" s="53"/>
      <x:c r="W1323" s="53"/>
      <x:c r="X1323" s="53"/>
      <x:c r="Y1323" s="53"/>
      <x:c r="Z1323" s="53"/>
      <x:c r="AA1323" s="53"/>
      <x:c r="AB1323" s="53"/>
      <x:c r="AC1323" s="53"/>
      <x:c r="AD1323" s="53"/>
      <x:c r="AE1323" s="53"/>
      <x:c r="AF1323" s="53"/>
    </x:row>
    <x:row r="1324">
      <x:c r="A1324" s="53"/>
      <x:c r="B1324" s="53"/>
      <x:c r="C1324" s="53"/>
      <x:c r="D1324" s="53"/>
      <x:c r="E1324" s="53"/>
      <x:c r="F1324" s="53"/>
      <x:c r="G1324" s="53"/>
      <x:c r="H1324" s="53"/>
      <x:c r="I1324" s="53"/>
      <x:c r="J1324" s="53"/>
      <x:c r="K1324" s="53"/>
      <x:c r="L1324" s="53"/>
      <x:c r="M1324" s="53"/>
      <x:c r="N1324" s="53"/>
      <x:c r="O1324" s="53"/>
      <x:c r="P1324" s="53"/>
      <x:c r="Q1324" s="53"/>
      <x:c r="R1324" s="53"/>
      <x:c r="S1324" s="53"/>
      <x:c r="T1324" s="53"/>
      <x:c r="U1324" s="53"/>
      <x:c r="V1324" s="53"/>
      <x:c r="W1324" s="53"/>
      <x:c r="X1324" s="53"/>
      <x:c r="Y1324" s="53"/>
      <x:c r="Z1324" s="53"/>
      <x:c r="AA1324" s="53"/>
      <x:c r="AB1324" s="53"/>
      <x:c r="AC1324" s="53"/>
      <x:c r="AD1324" s="53"/>
      <x:c r="AE1324" s="53"/>
      <x:c r="AF1324" s="53"/>
    </x:row>
    <x:row r="1325">
      <x:c r="A1325" s="53"/>
      <x:c r="B1325" s="53"/>
      <x:c r="C1325" s="53"/>
      <x:c r="D1325" s="53"/>
      <x:c r="E1325" s="53"/>
      <x:c r="F1325" s="53"/>
      <x:c r="G1325" s="53"/>
      <x:c r="H1325" s="53"/>
      <x:c r="I1325" s="53"/>
      <x:c r="J1325" s="53"/>
      <x:c r="K1325" s="53"/>
      <x:c r="L1325" s="53"/>
      <x:c r="M1325" s="53"/>
      <x:c r="N1325" s="53"/>
      <x:c r="O1325" s="53"/>
      <x:c r="P1325" s="53"/>
      <x:c r="Q1325" s="53"/>
      <x:c r="R1325" s="53"/>
      <x:c r="S1325" s="53"/>
      <x:c r="T1325" s="53"/>
      <x:c r="U1325" s="53"/>
      <x:c r="V1325" s="53"/>
      <x:c r="W1325" s="53"/>
      <x:c r="X1325" s="53"/>
      <x:c r="Y1325" s="53"/>
      <x:c r="Z1325" s="53"/>
      <x:c r="AA1325" s="53"/>
      <x:c r="AB1325" s="53"/>
      <x:c r="AC1325" s="53"/>
      <x:c r="AD1325" s="53"/>
      <x:c r="AE1325" s="53"/>
      <x:c r="AF1325" s="53"/>
    </x:row>
    <x:row r="1326">
      <x:c r="A1326" s="53"/>
      <x:c r="B1326" s="53"/>
      <x:c r="C1326" s="53"/>
      <x:c r="D1326" s="53"/>
      <x:c r="E1326" s="53"/>
      <x:c r="F1326" s="53"/>
      <x:c r="G1326" s="53"/>
      <x:c r="H1326" s="53"/>
      <x:c r="I1326" s="53"/>
      <x:c r="J1326" s="53"/>
      <x:c r="K1326" s="53"/>
      <x:c r="L1326" s="53"/>
      <x:c r="M1326" s="53"/>
      <x:c r="N1326" s="53"/>
      <x:c r="O1326" s="53"/>
      <x:c r="P1326" s="53"/>
      <x:c r="Q1326" s="53"/>
      <x:c r="R1326" s="53"/>
      <x:c r="S1326" s="53"/>
      <x:c r="T1326" s="53"/>
      <x:c r="U1326" s="53"/>
      <x:c r="V1326" s="53"/>
      <x:c r="W1326" s="53"/>
      <x:c r="X1326" s="53"/>
      <x:c r="Y1326" s="53"/>
      <x:c r="Z1326" s="53"/>
      <x:c r="AA1326" s="53"/>
      <x:c r="AB1326" s="53"/>
      <x:c r="AC1326" s="53"/>
      <x:c r="AD1326" s="53"/>
      <x:c r="AE1326" s="53"/>
      <x:c r="AF1326" s="53"/>
    </x:row>
    <x:row r="1327">
      <x:c r="A1327" s="53"/>
      <x:c r="B1327" s="53"/>
      <x:c r="C1327" s="53"/>
      <x:c r="D1327" s="53"/>
      <x:c r="E1327" s="53"/>
      <x:c r="F1327" s="53"/>
      <x:c r="G1327" s="53"/>
      <x:c r="H1327" s="53"/>
      <x:c r="I1327" s="53"/>
      <x:c r="J1327" s="53"/>
      <x:c r="K1327" s="53"/>
      <x:c r="L1327" s="53"/>
      <x:c r="M1327" s="53"/>
      <x:c r="N1327" s="53"/>
      <x:c r="O1327" s="53"/>
      <x:c r="P1327" s="53"/>
      <x:c r="Q1327" s="53"/>
      <x:c r="R1327" s="53"/>
      <x:c r="S1327" s="53"/>
      <x:c r="T1327" s="53"/>
      <x:c r="U1327" s="53"/>
      <x:c r="V1327" s="53"/>
      <x:c r="W1327" s="53"/>
      <x:c r="X1327" s="53"/>
      <x:c r="Y1327" s="53"/>
      <x:c r="Z1327" s="53"/>
      <x:c r="AA1327" s="53"/>
      <x:c r="AB1327" s="53"/>
      <x:c r="AC1327" s="53"/>
      <x:c r="AD1327" s="53"/>
      <x:c r="AE1327" s="53"/>
      <x:c r="AF1327" s="53"/>
    </x:row>
    <x:row r="1328">
      <x:c r="A1328" s="53"/>
      <x:c r="B1328" s="53"/>
      <x:c r="C1328" s="53"/>
      <x:c r="D1328" s="53"/>
      <x:c r="E1328" s="53"/>
      <x:c r="F1328" s="53"/>
      <x:c r="G1328" s="53"/>
      <x:c r="H1328" s="53"/>
      <x:c r="I1328" s="53"/>
      <x:c r="J1328" s="53"/>
      <x:c r="K1328" s="53"/>
      <x:c r="L1328" s="53"/>
      <x:c r="M1328" s="53"/>
      <x:c r="N1328" s="53"/>
      <x:c r="O1328" s="53"/>
      <x:c r="P1328" s="53"/>
      <x:c r="Q1328" s="53"/>
      <x:c r="R1328" s="53"/>
      <x:c r="S1328" s="53"/>
      <x:c r="T1328" s="53"/>
      <x:c r="U1328" s="53"/>
      <x:c r="V1328" s="53"/>
      <x:c r="W1328" s="53"/>
      <x:c r="X1328" s="53"/>
      <x:c r="Y1328" s="53"/>
      <x:c r="Z1328" s="53"/>
      <x:c r="AA1328" s="53"/>
      <x:c r="AB1328" s="53"/>
      <x:c r="AC1328" s="53"/>
      <x:c r="AD1328" s="53"/>
      <x:c r="AE1328" s="53"/>
      <x:c r="AF1328" s="53"/>
    </x:row>
    <x:row r="1329">
      <x:c r="A1329" s="53"/>
      <x:c r="B1329" s="53"/>
      <x:c r="C1329" s="53"/>
      <x:c r="D1329" s="53"/>
      <x:c r="E1329" s="53"/>
      <x:c r="F1329" s="53"/>
      <x:c r="G1329" s="53"/>
      <x:c r="H1329" s="53"/>
      <x:c r="I1329" s="53"/>
      <x:c r="J1329" s="53"/>
      <x:c r="K1329" s="53"/>
      <x:c r="L1329" s="53"/>
      <x:c r="M1329" s="53"/>
      <x:c r="N1329" s="53"/>
      <x:c r="O1329" s="53"/>
      <x:c r="P1329" s="53"/>
      <x:c r="Q1329" s="53"/>
      <x:c r="R1329" s="53"/>
      <x:c r="S1329" s="53"/>
      <x:c r="T1329" s="53"/>
      <x:c r="U1329" s="53"/>
      <x:c r="V1329" s="53"/>
      <x:c r="W1329" s="53"/>
      <x:c r="X1329" s="53"/>
      <x:c r="Y1329" s="53"/>
      <x:c r="Z1329" s="53"/>
      <x:c r="AA1329" s="53"/>
      <x:c r="AB1329" s="53"/>
      <x:c r="AC1329" s="53"/>
      <x:c r="AD1329" s="53"/>
      <x:c r="AE1329" s="53"/>
      <x:c r="AF1329" s="53"/>
    </x:row>
    <x:row r="1330">
      <x:c r="A1330" s="53"/>
      <x:c r="B1330" s="53"/>
      <x:c r="C1330" s="53"/>
      <x:c r="D1330" s="53"/>
      <x:c r="E1330" s="53"/>
      <x:c r="F1330" s="53"/>
      <x:c r="G1330" s="53"/>
      <x:c r="H1330" s="53"/>
      <x:c r="I1330" s="53"/>
      <x:c r="J1330" s="53"/>
      <x:c r="K1330" s="53"/>
      <x:c r="L1330" s="53"/>
      <x:c r="M1330" s="53"/>
      <x:c r="N1330" s="53"/>
      <x:c r="O1330" s="53"/>
      <x:c r="P1330" s="53"/>
      <x:c r="Q1330" s="53"/>
      <x:c r="R1330" s="53"/>
      <x:c r="S1330" s="53"/>
      <x:c r="T1330" s="53"/>
      <x:c r="U1330" s="53"/>
      <x:c r="V1330" s="53"/>
      <x:c r="W1330" s="53"/>
      <x:c r="X1330" s="53"/>
      <x:c r="Y1330" s="53"/>
      <x:c r="Z1330" s="53"/>
      <x:c r="AA1330" s="53"/>
      <x:c r="AB1330" s="53"/>
      <x:c r="AC1330" s="53"/>
      <x:c r="AD1330" s="53"/>
      <x:c r="AE1330" s="53"/>
      <x:c r="AF1330" s="53"/>
    </x:row>
    <x:row r="1331">
      <x:c r="A1331" s="53"/>
      <x:c r="B1331" s="53"/>
      <x:c r="C1331" s="53"/>
      <x:c r="D1331" s="53"/>
      <x:c r="E1331" s="53"/>
      <x:c r="F1331" s="53"/>
      <x:c r="G1331" s="53"/>
      <x:c r="H1331" s="53"/>
      <x:c r="I1331" s="53"/>
      <x:c r="J1331" s="53"/>
      <x:c r="K1331" s="53"/>
      <x:c r="L1331" s="53"/>
      <x:c r="M1331" s="53"/>
      <x:c r="N1331" s="53"/>
      <x:c r="O1331" s="53"/>
      <x:c r="P1331" s="53"/>
      <x:c r="Q1331" s="53"/>
      <x:c r="R1331" s="53"/>
      <x:c r="S1331" s="53"/>
      <x:c r="T1331" s="53"/>
      <x:c r="U1331" s="53"/>
      <x:c r="V1331" s="53"/>
      <x:c r="W1331" s="53"/>
      <x:c r="X1331" s="53"/>
      <x:c r="Y1331" s="53"/>
      <x:c r="Z1331" s="53"/>
      <x:c r="AA1331" s="53"/>
      <x:c r="AB1331" s="53"/>
      <x:c r="AC1331" s="53"/>
      <x:c r="AD1331" s="53"/>
      <x:c r="AE1331" s="53"/>
      <x:c r="AF1331" s="53"/>
    </x:row>
    <x:row r="1332">
      <x:c r="A1332" s="53"/>
      <x:c r="B1332" s="53"/>
      <x:c r="C1332" s="53"/>
      <x:c r="D1332" s="53"/>
      <x:c r="E1332" s="53"/>
      <x:c r="F1332" s="53"/>
      <x:c r="G1332" s="53"/>
      <x:c r="H1332" s="53"/>
      <x:c r="I1332" s="53"/>
      <x:c r="J1332" s="53"/>
      <x:c r="K1332" s="53"/>
      <x:c r="L1332" s="53"/>
      <x:c r="M1332" s="53"/>
      <x:c r="N1332" s="53"/>
      <x:c r="O1332" s="53"/>
      <x:c r="P1332" s="53"/>
      <x:c r="Q1332" s="53"/>
      <x:c r="R1332" s="53"/>
      <x:c r="S1332" s="53"/>
      <x:c r="T1332" s="53"/>
      <x:c r="U1332" s="53"/>
      <x:c r="V1332" s="53"/>
      <x:c r="W1332" s="53"/>
      <x:c r="X1332" s="53"/>
      <x:c r="Y1332" s="53"/>
      <x:c r="Z1332" s="53"/>
      <x:c r="AA1332" s="53"/>
      <x:c r="AB1332" s="53"/>
      <x:c r="AC1332" s="53"/>
      <x:c r="AD1332" s="53"/>
      <x:c r="AE1332" s="53"/>
      <x:c r="AF1332" s="53"/>
    </x:row>
    <x:row r="1333">
      <x:c r="A1333" s="53"/>
      <x:c r="B1333" s="53"/>
      <x:c r="C1333" s="53"/>
      <x:c r="D1333" s="53"/>
      <x:c r="E1333" s="53"/>
      <x:c r="F1333" s="53"/>
      <x:c r="G1333" s="53"/>
      <x:c r="H1333" s="53"/>
      <x:c r="I1333" s="53"/>
      <x:c r="J1333" s="53"/>
      <x:c r="K1333" s="53"/>
      <x:c r="L1333" s="53"/>
      <x:c r="M1333" s="53"/>
      <x:c r="N1333" s="53"/>
      <x:c r="O1333" s="53"/>
      <x:c r="P1333" s="53"/>
      <x:c r="Q1333" s="53"/>
      <x:c r="R1333" s="53"/>
      <x:c r="S1333" s="53"/>
      <x:c r="T1333" s="53"/>
      <x:c r="U1333" s="53"/>
      <x:c r="V1333" s="53"/>
      <x:c r="W1333" s="53"/>
      <x:c r="X1333" s="53"/>
      <x:c r="Y1333" s="53"/>
      <x:c r="Z1333" s="53"/>
      <x:c r="AA1333" s="53"/>
      <x:c r="AB1333" s="53"/>
      <x:c r="AC1333" s="53"/>
      <x:c r="AD1333" s="53"/>
      <x:c r="AE1333" s="53"/>
      <x:c r="AF1333" s="53"/>
    </x:row>
    <x:row r="1334">
      <x:c r="A1334" s="53"/>
      <x:c r="B1334" s="53"/>
      <x:c r="C1334" s="53"/>
      <x:c r="D1334" s="53"/>
      <x:c r="E1334" s="53"/>
      <x:c r="F1334" s="53"/>
      <x:c r="G1334" s="53"/>
      <x:c r="H1334" s="53"/>
      <x:c r="I1334" s="53"/>
      <x:c r="J1334" s="53"/>
      <x:c r="K1334" s="53"/>
      <x:c r="L1334" s="53"/>
      <x:c r="M1334" s="53"/>
      <x:c r="N1334" s="53"/>
      <x:c r="O1334" s="53"/>
      <x:c r="P1334" s="53"/>
      <x:c r="Q1334" s="53"/>
      <x:c r="R1334" s="53"/>
      <x:c r="S1334" s="53"/>
      <x:c r="T1334" s="53"/>
      <x:c r="U1334" s="53"/>
      <x:c r="V1334" s="53"/>
      <x:c r="W1334" s="53"/>
      <x:c r="X1334" s="53"/>
      <x:c r="Y1334" s="53"/>
      <x:c r="Z1334" s="53"/>
      <x:c r="AA1334" s="53"/>
      <x:c r="AB1334" s="53"/>
      <x:c r="AC1334" s="53"/>
      <x:c r="AD1334" s="53"/>
      <x:c r="AE1334" s="53"/>
      <x:c r="AF1334" s="53"/>
    </x:row>
    <x:row r="1335">
      <x:c r="A1335" s="53"/>
      <x:c r="B1335" s="53"/>
      <x:c r="C1335" s="53"/>
      <x:c r="D1335" s="53"/>
      <x:c r="E1335" s="53"/>
      <x:c r="F1335" s="53"/>
      <x:c r="G1335" s="53"/>
      <x:c r="H1335" s="53"/>
      <x:c r="I1335" s="53"/>
      <x:c r="J1335" s="53"/>
      <x:c r="K1335" s="53"/>
      <x:c r="L1335" s="53"/>
      <x:c r="M1335" s="53"/>
      <x:c r="N1335" s="53"/>
      <x:c r="O1335" s="53"/>
      <x:c r="P1335" s="53"/>
      <x:c r="Q1335" s="53"/>
      <x:c r="R1335" s="53"/>
      <x:c r="S1335" s="53"/>
      <x:c r="T1335" s="53"/>
      <x:c r="U1335" s="53"/>
      <x:c r="V1335" s="53"/>
      <x:c r="W1335" s="53"/>
      <x:c r="X1335" s="53"/>
      <x:c r="Y1335" s="53"/>
      <x:c r="Z1335" s="53"/>
      <x:c r="AA1335" s="53"/>
      <x:c r="AB1335" s="53"/>
      <x:c r="AC1335" s="53"/>
      <x:c r="AD1335" s="53"/>
      <x:c r="AE1335" s="53"/>
      <x:c r="AF1335" s="53"/>
    </x:row>
    <x:row r="1336">
      <x:c r="A1336" s="53"/>
      <x:c r="B1336" s="53"/>
      <x:c r="C1336" s="53"/>
      <x:c r="D1336" s="53"/>
      <x:c r="E1336" s="53"/>
      <x:c r="F1336" s="53"/>
      <x:c r="G1336" s="53"/>
      <x:c r="H1336" s="53"/>
      <x:c r="I1336" s="53"/>
      <x:c r="J1336" s="53"/>
      <x:c r="K1336" s="53"/>
      <x:c r="L1336" s="53"/>
      <x:c r="M1336" s="53"/>
      <x:c r="N1336" s="53"/>
      <x:c r="O1336" s="53"/>
      <x:c r="P1336" s="53"/>
      <x:c r="Q1336" s="53"/>
      <x:c r="R1336" s="53"/>
      <x:c r="S1336" s="53"/>
      <x:c r="T1336" s="53"/>
      <x:c r="U1336" s="53"/>
      <x:c r="V1336" s="53"/>
      <x:c r="W1336" s="53"/>
      <x:c r="X1336" s="53"/>
      <x:c r="Y1336" s="53"/>
      <x:c r="Z1336" s="53"/>
      <x:c r="AA1336" s="53"/>
      <x:c r="AB1336" s="53"/>
      <x:c r="AC1336" s="53"/>
      <x:c r="AD1336" s="53"/>
      <x:c r="AE1336" s="53"/>
      <x:c r="AF1336" s="53"/>
    </x:row>
    <x:row r="1337">
      <x:c r="A1337" s="53"/>
      <x:c r="B1337" s="53"/>
      <x:c r="C1337" s="53"/>
      <x:c r="D1337" s="53"/>
      <x:c r="E1337" s="53"/>
      <x:c r="F1337" s="53"/>
      <x:c r="G1337" s="53"/>
      <x:c r="H1337" s="53"/>
      <x:c r="I1337" s="53"/>
      <x:c r="J1337" s="53"/>
      <x:c r="K1337" s="53"/>
      <x:c r="L1337" s="53"/>
      <x:c r="M1337" s="53"/>
      <x:c r="N1337" s="53"/>
      <x:c r="O1337" s="53"/>
      <x:c r="P1337" s="53"/>
      <x:c r="Q1337" s="53"/>
      <x:c r="R1337" s="53"/>
      <x:c r="S1337" s="53"/>
      <x:c r="T1337" s="53"/>
      <x:c r="U1337" s="53"/>
      <x:c r="V1337" s="53"/>
      <x:c r="W1337" s="53"/>
      <x:c r="X1337" s="53"/>
      <x:c r="Y1337" s="53"/>
      <x:c r="Z1337" s="53"/>
      <x:c r="AA1337" s="53"/>
      <x:c r="AB1337" s="53"/>
      <x:c r="AC1337" s="53"/>
      <x:c r="AD1337" s="53"/>
      <x:c r="AE1337" s="53"/>
      <x:c r="AF1337" s="53"/>
    </x:row>
    <x:row r="1338">
      <x:c r="A1338" s="53"/>
      <x:c r="B1338" s="53"/>
      <x:c r="C1338" s="53"/>
      <x:c r="D1338" s="53"/>
      <x:c r="E1338" s="53"/>
      <x:c r="F1338" s="53"/>
      <x:c r="G1338" s="53"/>
      <x:c r="H1338" s="53"/>
      <x:c r="I1338" s="53"/>
      <x:c r="J1338" s="53"/>
      <x:c r="K1338" s="53"/>
      <x:c r="L1338" s="53"/>
      <x:c r="M1338" s="53"/>
      <x:c r="N1338" s="53"/>
      <x:c r="O1338" s="53"/>
      <x:c r="P1338" s="53"/>
      <x:c r="Q1338" s="53"/>
      <x:c r="R1338" s="53"/>
      <x:c r="S1338" s="53"/>
      <x:c r="T1338" s="53"/>
      <x:c r="U1338" s="53"/>
      <x:c r="V1338" s="53"/>
      <x:c r="W1338" s="53"/>
      <x:c r="X1338" s="53"/>
      <x:c r="Y1338" s="53"/>
      <x:c r="Z1338" s="53"/>
      <x:c r="AA1338" s="53"/>
      <x:c r="AB1338" s="53"/>
      <x:c r="AC1338" s="53"/>
      <x:c r="AD1338" s="53"/>
      <x:c r="AE1338" s="53"/>
      <x:c r="AF1338" s="53"/>
    </x:row>
    <x:row r="1339">
      <x:c r="A1339" s="53"/>
      <x:c r="B1339" s="53"/>
      <x:c r="C1339" s="53"/>
      <x:c r="D1339" s="53"/>
      <x:c r="E1339" s="53"/>
      <x:c r="F1339" s="53"/>
      <x:c r="G1339" s="53"/>
      <x:c r="H1339" s="53"/>
      <x:c r="I1339" s="53"/>
      <x:c r="J1339" s="53"/>
      <x:c r="K1339" s="53"/>
      <x:c r="L1339" s="53"/>
      <x:c r="M1339" s="53"/>
      <x:c r="N1339" s="53"/>
      <x:c r="O1339" s="53"/>
      <x:c r="P1339" s="53"/>
      <x:c r="Q1339" s="53"/>
      <x:c r="R1339" s="53"/>
      <x:c r="S1339" s="53"/>
      <x:c r="T1339" s="53"/>
      <x:c r="U1339" s="53"/>
      <x:c r="V1339" s="53"/>
      <x:c r="W1339" s="53"/>
      <x:c r="X1339" s="53"/>
      <x:c r="Y1339" s="53"/>
      <x:c r="Z1339" s="53"/>
      <x:c r="AA1339" s="53"/>
      <x:c r="AB1339" s="53"/>
      <x:c r="AC1339" s="53"/>
      <x:c r="AD1339" s="53"/>
      <x:c r="AE1339" s="53"/>
      <x:c r="AF1339" s="53"/>
    </x:row>
    <x:row r="1340">
      <x:c r="A1340" s="53"/>
      <x:c r="B1340" s="53"/>
      <x:c r="C1340" s="53"/>
      <x:c r="D1340" s="53"/>
      <x:c r="E1340" s="53"/>
      <x:c r="F1340" s="53"/>
      <x:c r="G1340" s="53"/>
      <x:c r="H1340" s="53"/>
      <x:c r="I1340" s="53"/>
      <x:c r="J1340" s="53"/>
      <x:c r="K1340" s="53"/>
      <x:c r="L1340" s="53"/>
      <x:c r="M1340" s="53"/>
      <x:c r="N1340" s="53"/>
      <x:c r="O1340" s="53"/>
      <x:c r="P1340" s="53"/>
      <x:c r="Q1340" s="53"/>
      <x:c r="R1340" s="53"/>
      <x:c r="S1340" s="53"/>
      <x:c r="T1340" s="53"/>
      <x:c r="U1340" s="53"/>
      <x:c r="V1340" s="53"/>
      <x:c r="W1340" s="53"/>
      <x:c r="X1340" s="53"/>
      <x:c r="Y1340" s="53"/>
      <x:c r="Z1340" s="53"/>
      <x:c r="AA1340" s="53"/>
      <x:c r="AB1340" s="53"/>
      <x:c r="AC1340" s="53"/>
      <x:c r="AD1340" s="53"/>
      <x:c r="AE1340" s="53"/>
      <x:c r="AF1340" s="53"/>
    </x:row>
    <x:row r="1341">
      <x:c r="A1341" s="53"/>
      <x:c r="B1341" s="53"/>
      <x:c r="C1341" s="53"/>
      <x:c r="D1341" s="53"/>
      <x:c r="E1341" s="53"/>
      <x:c r="F1341" s="53"/>
      <x:c r="G1341" s="53"/>
      <x:c r="H1341" s="53"/>
      <x:c r="I1341" s="53"/>
      <x:c r="J1341" s="53"/>
      <x:c r="K1341" s="53"/>
      <x:c r="L1341" s="53"/>
      <x:c r="M1341" s="53"/>
      <x:c r="N1341" s="53"/>
      <x:c r="O1341" s="53"/>
      <x:c r="P1341" s="53"/>
      <x:c r="Q1341" s="53"/>
      <x:c r="R1341" s="53"/>
      <x:c r="S1341" s="53"/>
      <x:c r="T1341" s="53"/>
      <x:c r="U1341" s="53"/>
      <x:c r="V1341" s="53"/>
      <x:c r="W1341" s="53"/>
      <x:c r="X1341" s="53"/>
      <x:c r="Y1341" s="53"/>
      <x:c r="Z1341" s="53"/>
      <x:c r="AA1341" s="53"/>
      <x:c r="AB1341" s="53"/>
      <x:c r="AC1341" s="53"/>
      <x:c r="AD1341" s="53"/>
      <x:c r="AE1341" s="53"/>
      <x:c r="AF1341" s="53"/>
    </x:row>
    <x:row r="1342">
      <x:c r="A1342" s="53"/>
      <x:c r="B1342" s="53"/>
      <x:c r="C1342" s="53"/>
      <x:c r="D1342" s="53"/>
      <x:c r="E1342" s="53"/>
      <x:c r="F1342" s="53"/>
      <x:c r="G1342" s="53"/>
      <x:c r="H1342" s="53"/>
      <x:c r="I1342" s="53"/>
      <x:c r="J1342" s="53"/>
      <x:c r="K1342" s="53"/>
      <x:c r="L1342" s="53"/>
      <x:c r="M1342" s="53"/>
      <x:c r="N1342" s="53"/>
      <x:c r="O1342" s="53"/>
      <x:c r="P1342" s="53"/>
      <x:c r="Q1342" s="53"/>
      <x:c r="R1342" s="53"/>
      <x:c r="S1342" s="53"/>
      <x:c r="T1342" s="53"/>
      <x:c r="U1342" s="53"/>
      <x:c r="V1342" s="53"/>
      <x:c r="W1342" s="53"/>
      <x:c r="X1342" s="53"/>
      <x:c r="Y1342" s="53"/>
      <x:c r="Z1342" s="53"/>
      <x:c r="AA1342" s="53"/>
      <x:c r="AB1342" s="53"/>
      <x:c r="AC1342" s="53"/>
      <x:c r="AD1342" s="53"/>
      <x:c r="AE1342" s="53"/>
      <x:c r="AF1342" s="53"/>
    </x:row>
    <x:row r="1343">
      <x:c r="A1343" s="53"/>
      <x:c r="B1343" s="53"/>
      <x:c r="C1343" s="53"/>
      <x:c r="D1343" s="53"/>
      <x:c r="E1343" s="53"/>
      <x:c r="F1343" s="53"/>
      <x:c r="G1343" s="53"/>
      <x:c r="H1343" s="53"/>
      <x:c r="I1343" s="53"/>
      <x:c r="J1343" s="53"/>
      <x:c r="K1343" s="53"/>
      <x:c r="L1343" s="53"/>
      <x:c r="M1343" s="53"/>
      <x:c r="N1343" s="53"/>
      <x:c r="O1343" s="53"/>
      <x:c r="P1343" s="53"/>
      <x:c r="Q1343" s="53"/>
      <x:c r="R1343" s="53"/>
      <x:c r="S1343" s="53"/>
      <x:c r="T1343" s="53"/>
      <x:c r="U1343" s="53"/>
      <x:c r="V1343" s="53"/>
      <x:c r="W1343" s="53"/>
      <x:c r="X1343" s="53"/>
      <x:c r="Y1343" s="53"/>
      <x:c r="Z1343" s="53"/>
      <x:c r="AA1343" s="53"/>
      <x:c r="AB1343" s="53"/>
      <x:c r="AC1343" s="53"/>
      <x:c r="AD1343" s="53"/>
      <x:c r="AE1343" s="53"/>
      <x:c r="AF1343" s="53"/>
    </x:row>
    <x:row r="1344">
      <x:c r="A1344" s="53"/>
      <x:c r="B1344" s="53"/>
      <x:c r="C1344" s="53"/>
      <x:c r="D1344" s="53"/>
      <x:c r="E1344" s="53"/>
      <x:c r="F1344" s="53"/>
      <x:c r="G1344" s="53"/>
      <x:c r="H1344" s="53"/>
      <x:c r="I1344" s="53"/>
      <x:c r="J1344" s="53"/>
      <x:c r="K1344" s="53"/>
      <x:c r="L1344" s="53"/>
      <x:c r="M1344" s="53"/>
      <x:c r="N1344" s="53"/>
      <x:c r="O1344" s="53"/>
      <x:c r="P1344" s="53"/>
      <x:c r="Q1344" s="53"/>
      <x:c r="R1344" s="53"/>
      <x:c r="S1344" s="53"/>
      <x:c r="T1344" s="53"/>
      <x:c r="U1344" s="53"/>
      <x:c r="V1344" s="53"/>
      <x:c r="W1344" s="53"/>
      <x:c r="X1344" s="53"/>
      <x:c r="Y1344" s="53"/>
      <x:c r="Z1344" s="53"/>
      <x:c r="AA1344" s="53"/>
      <x:c r="AB1344" s="53"/>
      <x:c r="AC1344" s="53"/>
      <x:c r="AD1344" s="53"/>
      <x:c r="AE1344" s="53"/>
      <x:c r="AF1344" s="53"/>
    </x:row>
    <x:row r="1345">
      <x:c r="A1345" s="53"/>
      <x:c r="B1345" s="53"/>
      <x:c r="C1345" s="53"/>
      <x:c r="D1345" s="53"/>
      <x:c r="E1345" s="53"/>
      <x:c r="F1345" s="53"/>
      <x:c r="G1345" s="53"/>
      <x:c r="H1345" s="53"/>
      <x:c r="I1345" s="53"/>
      <x:c r="J1345" s="53"/>
      <x:c r="K1345" s="53"/>
      <x:c r="L1345" s="53"/>
      <x:c r="M1345" s="53"/>
      <x:c r="N1345" s="53"/>
      <x:c r="O1345" s="53"/>
      <x:c r="P1345" s="53"/>
      <x:c r="Q1345" s="53"/>
      <x:c r="R1345" s="53"/>
      <x:c r="S1345" s="53"/>
      <x:c r="T1345" s="53"/>
      <x:c r="U1345" s="53"/>
      <x:c r="V1345" s="53"/>
      <x:c r="W1345" s="53"/>
      <x:c r="X1345" s="53"/>
      <x:c r="Y1345" s="53"/>
      <x:c r="Z1345" s="53"/>
      <x:c r="AA1345" s="53"/>
      <x:c r="AB1345" s="53"/>
      <x:c r="AC1345" s="53"/>
      <x:c r="AD1345" s="53"/>
      <x:c r="AE1345" s="53"/>
      <x:c r="AF1345" s="53"/>
    </x:row>
    <x:row r="1346">
      <x:c r="A1346" s="53"/>
      <x:c r="B1346" s="53"/>
      <x:c r="C1346" s="53"/>
      <x:c r="D1346" s="53"/>
      <x:c r="E1346" s="53"/>
      <x:c r="F1346" s="53"/>
      <x:c r="G1346" s="53"/>
      <x:c r="H1346" s="53"/>
      <x:c r="I1346" s="53"/>
      <x:c r="J1346" s="53"/>
      <x:c r="K1346" s="53"/>
      <x:c r="L1346" s="53"/>
      <x:c r="M1346" s="53"/>
      <x:c r="N1346" s="53"/>
      <x:c r="O1346" s="53"/>
      <x:c r="P1346" s="53"/>
      <x:c r="Q1346" s="53"/>
      <x:c r="R1346" s="53"/>
      <x:c r="S1346" s="53"/>
      <x:c r="T1346" s="53"/>
      <x:c r="U1346" s="53"/>
      <x:c r="V1346" s="53"/>
      <x:c r="W1346" s="53"/>
      <x:c r="X1346" s="53"/>
      <x:c r="Y1346" s="53"/>
      <x:c r="Z1346" s="53"/>
      <x:c r="AA1346" s="53"/>
      <x:c r="AB1346" s="53"/>
      <x:c r="AC1346" s="53"/>
      <x:c r="AD1346" s="53"/>
      <x:c r="AE1346" s="53"/>
      <x:c r="AF1346" s="53"/>
    </x:row>
    <x:row r="1347">
      <x:c r="A1347" s="53"/>
      <x:c r="B1347" s="53"/>
      <x:c r="C1347" s="53"/>
      <x:c r="D1347" s="53"/>
      <x:c r="E1347" s="53"/>
      <x:c r="F1347" s="53"/>
      <x:c r="G1347" s="53"/>
      <x:c r="H1347" s="53"/>
      <x:c r="I1347" s="53"/>
      <x:c r="J1347" s="53"/>
      <x:c r="K1347" s="53"/>
      <x:c r="L1347" s="53"/>
      <x:c r="M1347" s="53"/>
      <x:c r="N1347" s="53"/>
      <x:c r="O1347" s="53"/>
      <x:c r="P1347" s="53"/>
      <x:c r="Q1347" s="53"/>
      <x:c r="R1347" s="53"/>
      <x:c r="S1347" s="53"/>
      <x:c r="T1347" s="53"/>
      <x:c r="U1347" s="53"/>
      <x:c r="V1347" s="53"/>
      <x:c r="W1347" s="53"/>
      <x:c r="X1347" s="53"/>
      <x:c r="Y1347" s="53"/>
      <x:c r="Z1347" s="53"/>
      <x:c r="AA1347" s="53"/>
      <x:c r="AB1347" s="53"/>
      <x:c r="AC1347" s="53"/>
      <x:c r="AD1347" s="53"/>
      <x:c r="AE1347" s="53"/>
      <x:c r="AF1347" s="53"/>
    </x:row>
    <x:row r="1348">
      <x:c r="A1348" s="53"/>
      <x:c r="B1348" s="53"/>
      <x:c r="C1348" s="53"/>
      <x:c r="D1348" s="53"/>
      <x:c r="E1348" s="53"/>
      <x:c r="F1348" s="53"/>
      <x:c r="G1348" s="53"/>
      <x:c r="H1348" s="53"/>
      <x:c r="I1348" s="53"/>
      <x:c r="J1348" s="53"/>
      <x:c r="K1348" s="53"/>
      <x:c r="L1348" s="53"/>
      <x:c r="M1348" s="53"/>
      <x:c r="N1348" s="53"/>
      <x:c r="O1348" s="53"/>
      <x:c r="P1348" s="53"/>
      <x:c r="Q1348" s="53"/>
      <x:c r="R1348" s="53"/>
      <x:c r="S1348" s="53"/>
      <x:c r="T1348" s="53"/>
      <x:c r="U1348" s="53"/>
      <x:c r="V1348" s="53"/>
      <x:c r="W1348" s="53"/>
      <x:c r="X1348" s="53"/>
      <x:c r="Y1348" s="53"/>
      <x:c r="Z1348" s="53"/>
      <x:c r="AA1348" s="53"/>
      <x:c r="AB1348" s="53"/>
      <x:c r="AC1348" s="53"/>
      <x:c r="AD1348" s="53"/>
      <x:c r="AE1348" s="53"/>
      <x:c r="AF1348" s="53"/>
    </x:row>
    <x:row r="1349">
      <x:c r="A1349" s="53"/>
      <x:c r="B1349" s="53"/>
      <x:c r="C1349" s="53"/>
      <x:c r="D1349" s="53"/>
      <x:c r="E1349" s="53"/>
      <x:c r="F1349" s="53"/>
      <x:c r="G1349" s="53"/>
      <x:c r="H1349" s="53"/>
      <x:c r="I1349" s="53"/>
      <x:c r="J1349" s="53"/>
      <x:c r="K1349" s="53"/>
      <x:c r="L1349" s="53"/>
      <x:c r="M1349" s="53"/>
      <x:c r="N1349" s="53"/>
      <x:c r="O1349" s="53"/>
      <x:c r="P1349" s="53"/>
      <x:c r="Q1349" s="53"/>
      <x:c r="R1349" s="53"/>
      <x:c r="S1349" s="53"/>
      <x:c r="T1349" s="53"/>
      <x:c r="U1349" s="53"/>
      <x:c r="V1349" s="53"/>
      <x:c r="W1349" s="53"/>
      <x:c r="X1349" s="53"/>
      <x:c r="Y1349" s="53"/>
      <x:c r="Z1349" s="53"/>
      <x:c r="AA1349" s="53"/>
      <x:c r="AB1349" s="53"/>
      <x:c r="AC1349" s="53"/>
      <x:c r="AD1349" s="53"/>
      <x:c r="AE1349" s="53"/>
      <x:c r="AF1349" s="53"/>
    </x:row>
    <x:row r="1350">
      <x:c r="A1350" s="53"/>
      <x:c r="B1350" s="53"/>
      <x:c r="C1350" s="53"/>
      <x:c r="D1350" s="53"/>
      <x:c r="E1350" s="53"/>
      <x:c r="F1350" s="53"/>
      <x:c r="G1350" s="53"/>
      <x:c r="H1350" s="53"/>
      <x:c r="I1350" s="53"/>
      <x:c r="J1350" s="53"/>
      <x:c r="K1350" s="53"/>
      <x:c r="L1350" s="53"/>
      <x:c r="M1350" s="53"/>
      <x:c r="N1350" s="53"/>
      <x:c r="O1350" s="53"/>
      <x:c r="P1350" s="53"/>
      <x:c r="Q1350" s="53"/>
      <x:c r="R1350" s="53"/>
      <x:c r="S1350" s="53"/>
      <x:c r="T1350" s="53"/>
      <x:c r="U1350" s="53"/>
      <x:c r="V1350" s="53"/>
      <x:c r="W1350" s="53"/>
      <x:c r="X1350" s="53"/>
      <x:c r="Y1350" s="53"/>
      <x:c r="Z1350" s="53"/>
      <x:c r="AA1350" s="53"/>
      <x:c r="AB1350" s="53"/>
      <x:c r="AC1350" s="53"/>
      <x:c r="AD1350" s="53"/>
      <x:c r="AE1350" s="53"/>
      <x:c r="AF1350" s="53"/>
    </x:row>
    <x:row r="1351">
      <x:c r="A1351" s="53"/>
      <x:c r="B1351" s="53"/>
      <x:c r="C1351" s="53"/>
      <x:c r="D1351" s="53"/>
      <x:c r="E1351" s="53"/>
      <x:c r="F1351" s="53"/>
      <x:c r="G1351" s="53"/>
      <x:c r="H1351" s="53"/>
      <x:c r="I1351" s="53"/>
      <x:c r="J1351" s="53"/>
      <x:c r="K1351" s="53"/>
      <x:c r="L1351" s="53"/>
      <x:c r="M1351" s="53"/>
      <x:c r="N1351" s="53"/>
      <x:c r="O1351" s="53"/>
      <x:c r="P1351" s="53"/>
      <x:c r="Q1351" s="53"/>
      <x:c r="R1351" s="53"/>
      <x:c r="S1351" s="53"/>
      <x:c r="T1351" s="53"/>
      <x:c r="U1351" s="53"/>
      <x:c r="V1351" s="53"/>
      <x:c r="W1351" s="53"/>
      <x:c r="X1351" s="53"/>
      <x:c r="Y1351" s="53"/>
      <x:c r="Z1351" s="53"/>
      <x:c r="AA1351" s="53"/>
      <x:c r="AB1351" s="53"/>
      <x:c r="AC1351" s="53"/>
      <x:c r="AD1351" s="53"/>
      <x:c r="AE1351" s="53"/>
      <x:c r="AF1351" s="53"/>
    </x:row>
    <x:row r="1352">
      <x:c r="A1352" s="53"/>
      <x:c r="B1352" s="53"/>
      <x:c r="C1352" s="53"/>
      <x:c r="D1352" s="53"/>
      <x:c r="E1352" s="53"/>
      <x:c r="F1352" s="53"/>
      <x:c r="G1352" s="53"/>
      <x:c r="H1352" s="53"/>
      <x:c r="I1352" s="53"/>
      <x:c r="J1352" s="53"/>
      <x:c r="K1352" s="53"/>
      <x:c r="L1352" s="53"/>
      <x:c r="M1352" s="53"/>
      <x:c r="N1352" s="53"/>
      <x:c r="O1352" s="53"/>
      <x:c r="P1352" s="53"/>
      <x:c r="Q1352" s="53"/>
      <x:c r="R1352" s="53"/>
      <x:c r="S1352" s="53"/>
      <x:c r="T1352" s="53"/>
      <x:c r="U1352" s="53"/>
      <x:c r="V1352" s="53"/>
      <x:c r="W1352" s="53"/>
      <x:c r="X1352" s="53"/>
      <x:c r="Y1352" s="53"/>
      <x:c r="Z1352" s="53"/>
      <x:c r="AA1352" s="53"/>
      <x:c r="AB1352" s="53"/>
      <x:c r="AC1352" s="53"/>
      <x:c r="AD1352" s="53"/>
      <x:c r="AE1352" s="53"/>
      <x:c r="AF1352" s="53"/>
    </x:row>
    <x:row r="1353">
      <x:c r="A1353" s="53"/>
      <x:c r="B1353" s="53"/>
      <x:c r="C1353" s="53"/>
      <x:c r="D1353" s="53"/>
      <x:c r="E1353" s="53"/>
      <x:c r="F1353" s="53"/>
      <x:c r="G1353" s="53"/>
      <x:c r="H1353" s="53"/>
      <x:c r="I1353" s="53"/>
      <x:c r="J1353" s="53"/>
      <x:c r="K1353" s="53"/>
      <x:c r="L1353" s="53"/>
      <x:c r="M1353" s="53"/>
      <x:c r="N1353" s="53"/>
      <x:c r="O1353" s="53"/>
      <x:c r="P1353" s="53"/>
      <x:c r="Q1353" s="53"/>
      <x:c r="R1353" s="53"/>
      <x:c r="S1353" s="53"/>
      <x:c r="T1353" s="53"/>
      <x:c r="U1353" s="53"/>
      <x:c r="V1353" s="53"/>
      <x:c r="W1353" s="53"/>
      <x:c r="X1353" s="53"/>
      <x:c r="Y1353" s="53"/>
      <x:c r="Z1353" s="53"/>
      <x:c r="AA1353" s="53"/>
      <x:c r="AB1353" s="53"/>
      <x:c r="AC1353" s="53"/>
      <x:c r="AD1353" s="53"/>
      <x:c r="AE1353" s="53"/>
      <x:c r="AF1353" s="53"/>
    </x:row>
    <x:row r="1354">
      <x:c r="A1354" s="53"/>
      <x:c r="B1354" s="53"/>
      <x:c r="C1354" s="53"/>
      <x:c r="D1354" s="53"/>
      <x:c r="E1354" s="53"/>
      <x:c r="F1354" s="53"/>
      <x:c r="G1354" s="53"/>
      <x:c r="H1354" s="53"/>
      <x:c r="I1354" s="53"/>
      <x:c r="J1354" s="53"/>
      <x:c r="K1354" s="53"/>
      <x:c r="L1354" s="53"/>
      <x:c r="M1354" s="53"/>
      <x:c r="N1354" s="53"/>
      <x:c r="O1354" s="53"/>
      <x:c r="P1354" s="53"/>
      <x:c r="Q1354" s="53"/>
      <x:c r="R1354" s="53"/>
      <x:c r="S1354" s="53"/>
      <x:c r="T1354" s="53"/>
      <x:c r="U1354" s="53"/>
      <x:c r="V1354" s="53"/>
      <x:c r="W1354" s="53"/>
      <x:c r="X1354" s="53"/>
      <x:c r="Y1354" s="53"/>
      <x:c r="Z1354" s="53"/>
      <x:c r="AA1354" s="53"/>
      <x:c r="AB1354" s="53"/>
      <x:c r="AC1354" s="53"/>
      <x:c r="AD1354" s="53"/>
      <x:c r="AE1354" s="53"/>
      <x:c r="AF1354" s="53"/>
    </x:row>
    <x:row r="1355">
      <x:c r="A1355" s="53"/>
      <x:c r="B1355" s="53"/>
      <x:c r="C1355" s="53"/>
      <x:c r="D1355" s="53"/>
      <x:c r="E1355" s="53"/>
      <x:c r="F1355" s="53"/>
      <x:c r="G1355" s="53"/>
      <x:c r="H1355" s="53"/>
      <x:c r="I1355" s="53"/>
      <x:c r="J1355" s="53"/>
      <x:c r="K1355" s="53"/>
      <x:c r="L1355" s="53"/>
      <x:c r="M1355" s="53"/>
      <x:c r="N1355" s="53"/>
      <x:c r="O1355" s="53"/>
      <x:c r="P1355" s="53"/>
      <x:c r="Q1355" s="53"/>
      <x:c r="R1355" s="53"/>
      <x:c r="S1355" s="53"/>
      <x:c r="T1355" s="53"/>
      <x:c r="U1355" s="53"/>
      <x:c r="V1355" s="53"/>
      <x:c r="W1355" s="53"/>
      <x:c r="X1355" s="53"/>
      <x:c r="Y1355" s="53"/>
      <x:c r="Z1355" s="53"/>
      <x:c r="AA1355" s="53"/>
      <x:c r="AB1355" s="53"/>
      <x:c r="AC1355" s="53"/>
      <x:c r="AD1355" s="53"/>
      <x:c r="AE1355" s="53"/>
      <x:c r="AF1355" s="53"/>
    </x:row>
    <x:row r="1356">
      <x:c r="A1356" s="53"/>
      <x:c r="B1356" s="53"/>
      <x:c r="C1356" s="53"/>
      <x:c r="D1356" s="53"/>
      <x:c r="E1356" s="53"/>
      <x:c r="F1356" s="53"/>
      <x:c r="G1356" s="53"/>
      <x:c r="H1356" s="53"/>
      <x:c r="I1356" s="53"/>
      <x:c r="J1356" s="53"/>
      <x:c r="K1356" s="53"/>
      <x:c r="L1356" s="53"/>
      <x:c r="M1356" s="53"/>
      <x:c r="N1356" s="53"/>
      <x:c r="O1356" s="53"/>
      <x:c r="P1356" s="53"/>
      <x:c r="Q1356" s="53"/>
      <x:c r="R1356" s="53"/>
      <x:c r="S1356" s="53"/>
      <x:c r="T1356" s="53"/>
      <x:c r="U1356" s="53"/>
      <x:c r="V1356" s="53"/>
      <x:c r="W1356" s="53"/>
      <x:c r="X1356" s="53"/>
      <x:c r="Y1356" s="53"/>
      <x:c r="Z1356" s="53"/>
      <x:c r="AA1356" s="53"/>
      <x:c r="AB1356" s="53"/>
      <x:c r="AC1356" s="53"/>
      <x:c r="AD1356" s="53"/>
      <x:c r="AE1356" s="53"/>
      <x:c r="AF1356" s="53"/>
    </x:row>
    <x:row r="1357">
      <x:c r="A1357" s="53"/>
      <x:c r="B1357" s="53"/>
      <x:c r="C1357" s="53"/>
      <x:c r="D1357" s="53"/>
      <x:c r="E1357" s="53"/>
      <x:c r="F1357" s="53"/>
      <x:c r="G1357" s="53"/>
      <x:c r="H1357" s="53"/>
      <x:c r="I1357" s="53"/>
      <x:c r="J1357" s="53"/>
      <x:c r="K1357" s="53"/>
      <x:c r="L1357" s="53"/>
      <x:c r="M1357" s="53"/>
      <x:c r="N1357" s="53"/>
      <x:c r="O1357" s="53"/>
      <x:c r="P1357" s="53"/>
      <x:c r="Q1357" s="53"/>
      <x:c r="R1357" s="53"/>
      <x:c r="S1357" s="53"/>
      <x:c r="T1357" s="53"/>
      <x:c r="U1357" s="53"/>
      <x:c r="V1357" s="53"/>
      <x:c r="W1357" s="53"/>
      <x:c r="X1357" s="53"/>
      <x:c r="Y1357" s="53"/>
      <x:c r="Z1357" s="53"/>
      <x:c r="AA1357" s="53"/>
      <x:c r="AB1357" s="53"/>
      <x:c r="AC1357" s="53"/>
      <x:c r="AD1357" s="53"/>
      <x:c r="AE1357" s="53"/>
      <x:c r="AF1357" s="53"/>
    </x:row>
    <x:row r="1358">
      <x:c r="A1358" s="53"/>
      <x:c r="B1358" s="53"/>
      <x:c r="C1358" s="53"/>
      <x:c r="D1358" s="53"/>
      <x:c r="E1358" s="53"/>
      <x:c r="F1358" s="53"/>
      <x:c r="G1358" s="53"/>
      <x:c r="H1358" s="53"/>
      <x:c r="I1358" s="53"/>
      <x:c r="J1358" s="53"/>
      <x:c r="K1358" s="53"/>
      <x:c r="L1358" s="53"/>
      <x:c r="M1358" s="53"/>
      <x:c r="N1358" s="53"/>
      <x:c r="O1358" s="53"/>
      <x:c r="P1358" s="53"/>
      <x:c r="Q1358" s="53"/>
      <x:c r="R1358" s="53"/>
      <x:c r="S1358" s="53"/>
      <x:c r="T1358" s="53"/>
      <x:c r="U1358" s="53"/>
      <x:c r="V1358" s="53"/>
      <x:c r="W1358" s="53"/>
      <x:c r="X1358" s="53"/>
      <x:c r="Y1358" s="53"/>
      <x:c r="Z1358" s="53"/>
      <x:c r="AA1358" s="53"/>
      <x:c r="AB1358" s="53"/>
      <x:c r="AC1358" s="53"/>
      <x:c r="AD1358" s="53"/>
      <x:c r="AE1358" s="53"/>
      <x:c r="AF1358" s="53"/>
    </x:row>
    <x:row r="1359">
      <x:c r="A1359" s="53"/>
      <x:c r="B1359" s="53"/>
      <x:c r="C1359" s="53"/>
      <x:c r="D1359" s="53"/>
      <x:c r="E1359" s="53"/>
      <x:c r="F1359" s="53"/>
      <x:c r="G1359" s="53"/>
      <x:c r="H1359" s="53"/>
      <x:c r="I1359" s="53"/>
      <x:c r="J1359" s="53"/>
      <x:c r="K1359" s="53"/>
      <x:c r="L1359" s="53"/>
      <x:c r="M1359" s="53"/>
      <x:c r="N1359" s="53"/>
      <x:c r="O1359" s="53"/>
      <x:c r="P1359" s="53"/>
      <x:c r="Q1359" s="53"/>
      <x:c r="R1359" s="53"/>
      <x:c r="S1359" s="53"/>
      <x:c r="T1359" s="53"/>
      <x:c r="U1359" s="53"/>
      <x:c r="V1359" s="53"/>
      <x:c r="W1359" s="53"/>
      <x:c r="X1359" s="53"/>
      <x:c r="Y1359" s="53"/>
      <x:c r="Z1359" s="53"/>
      <x:c r="AA1359" s="53"/>
      <x:c r="AB1359" s="53"/>
      <x:c r="AC1359" s="53"/>
      <x:c r="AD1359" s="53"/>
      <x:c r="AE1359" s="53"/>
      <x:c r="AF1359" s="53"/>
    </x:row>
    <x:row r="1360">
      <x:c r="A1360" s="53"/>
      <x:c r="B1360" s="53"/>
      <x:c r="C1360" s="53"/>
      <x:c r="D1360" s="53"/>
      <x:c r="E1360" s="53"/>
      <x:c r="F1360" s="53"/>
      <x:c r="G1360" s="53"/>
      <x:c r="H1360" s="53"/>
      <x:c r="I1360" s="53"/>
      <x:c r="J1360" s="53"/>
      <x:c r="K1360" s="53"/>
      <x:c r="L1360" s="53"/>
      <x:c r="M1360" s="53"/>
      <x:c r="N1360" s="53"/>
      <x:c r="O1360" s="53"/>
      <x:c r="P1360" s="53"/>
      <x:c r="Q1360" s="53"/>
      <x:c r="R1360" s="53"/>
      <x:c r="S1360" s="53"/>
      <x:c r="T1360" s="53"/>
      <x:c r="U1360" s="53"/>
      <x:c r="V1360" s="53"/>
      <x:c r="W1360" s="53"/>
      <x:c r="X1360" s="53"/>
      <x:c r="Y1360" s="53"/>
      <x:c r="Z1360" s="53"/>
      <x:c r="AA1360" s="53"/>
      <x:c r="AB1360" s="53"/>
      <x:c r="AC1360" s="53"/>
      <x:c r="AD1360" s="53"/>
      <x:c r="AE1360" s="53"/>
      <x:c r="AF1360" s="53"/>
    </x:row>
    <x:row r="1361">
      <x:c r="A1361" s="53"/>
      <x:c r="B1361" s="53"/>
      <x:c r="C1361" s="53"/>
      <x:c r="D1361" s="53"/>
      <x:c r="E1361" s="53"/>
      <x:c r="F1361" s="53"/>
      <x:c r="G1361" s="53"/>
      <x:c r="H1361" s="53"/>
      <x:c r="I1361" s="53"/>
      <x:c r="J1361" s="53"/>
      <x:c r="K1361" s="53"/>
      <x:c r="L1361" s="53"/>
      <x:c r="M1361" s="53"/>
      <x:c r="N1361" s="53"/>
      <x:c r="O1361" s="53"/>
      <x:c r="P1361" s="53"/>
      <x:c r="Q1361" s="53"/>
      <x:c r="R1361" s="53"/>
      <x:c r="S1361" s="53"/>
      <x:c r="T1361" s="53"/>
      <x:c r="U1361" s="53"/>
      <x:c r="V1361" s="53"/>
      <x:c r="W1361" s="53"/>
      <x:c r="X1361" s="53"/>
      <x:c r="Y1361" s="53"/>
      <x:c r="Z1361" s="53"/>
      <x:c r="AA1361" s="53"/>
      <x:c r="AB1361" s="53"/>
      <x:c r="AC1361" s="53"/>
      <x:c r="AD1361" s="53"/>
      <x:c r="AE1361" s="53"/>
      <x:c r="AF1361" s="53"/>
    </x:row>
    <x:row r="1362">
      <x:c r="A1362" s="53"/>
      <x:c r="B1362" s="53"/>
      <x:c r="C1362" s="53"/>
      <x:c r="D1362" s="53"/>
      <x:c r="E1362" s="53"/>
      <x:c r="F1362" s="53"/>
      <x:c r="G1362" s="53"/>
      <x:c r="H1362" s="53"/>
      <x:c r="I1362" s="53"/>
      <x:c r="J1362" s="53"/>
      <x:c r="K1362" s="53"/>
      <x:c r="L1362" s="53"/>
      <x:c r="M1362" s="53"/>
      <x:c r="N1362" s="53"/>
      <x:c r="O1362" s="53"/>
      <x:c r="P1362" s="53"/>
      <x:c r="Q1362" s="53"/>
      <x:c r="R1362" s="53"/>
      <x:c r="S1362" s="53"/>
      <x:c r="T1362" s="53"/>
      <x:c r="U1362" s="53"/>
      <x:c r="V1362" s="53"/>
      <x:c r="W1362" s="53"/>
      <x:c r="X1362" s="53"/>
      <x:c r="Y1362" s="53"/>
      <x:c r="Z1362" s="53"/>
      <x:c r="AA1362" s="53"/>
      <x:c r="AB1362" s="53"/>
      <x:c r="AC1362" s="53"/>
      <x:c r="AD1362" s="53"/>
      <x:c r="AE1362" s="53"/>
      <x:c r="AF1362" s="53"/>
    </x:row>
    <x:row r="1363">
      <x:c r="A1363" s="53"/>
      <x:c r="B1363" s="53"/>
      <x:c r="C1363" s="53"/>
      <x:c r="D1363" s="53"/>
      <x:c r="E1363" s="53"/>
      <x:c r="F1363" s="53"/>
      <x:c r="G1363" s="53"/>
      <x:c r="H1363" s="53"/>
      <x:c r="I1363" s="53"/>
      <x:c r="J1363" s="53"/>
      <x:c r="K1363" s="53"/>
      <x:c r="L1363" s="53"/>
      <x:c r="M1363" s="53"/>
      <x:c r="N1363" s="53"/>
      <x:c r="O1363" s="53"/>
      <x:c r="P1363" s="53"/>
      <x:c r="Q1363" s="53"/>
      <x:c r="R1363" s="53"/>
      <x:c r="S1363" s="53"/>
      <x:c r="T1363" s="53"/>
      <x:c r="U1363" s="53"/>
      <x:c r="V1363" s="53"/>
      <x:c r="W1363" s="53"/>
      <x:c r="X1363" s="53"/>
      <x:c r="Y1363" s="53"/>
      <x:c r="Z1363" s="53"/>
      <x:c r="AA1363" s="53"/>
      <x:c r="AB1363" s="53"/>
      <x:c r="AC1363" s="53"/>
      <x:c r="AD1363" s="53"/>
      <x:c r="AE1363" s="53"/>
      <x:c r="AF1363" s="53"/>
    </x:row>
    <x:row r="1364">
      <x:c r="A1364" s="53"/>
      <x:c r="B1364" s="53"/>
      <x:c r="C1364" s="53"/>
      <x:c r="D1364" s="53"/>
      <x:c r="E1364" s="53"/>
      <x:c r="F1364" s="53"/>
      <x:c r="G1364" s="53"/>
      <x:c r="H1364" s="53"/>
      <x:c r="I1364" s="53"/>
      <x:c r="J1364" s="53"/>
      <x:c r="K1364" s="53"/>
      <x:c r="L1364" s="53"/>
      <x:c r="M1364" s="53"/>
      <x:c r="N1364" s="53"/>
      <x:c r="O1364" s="53"/>
      <x:c r="P1364" s="53"/>
      <x:c r="Q1364" s="53"/>
      <x:c r="R1364" s="53"/>
      <x:c r="S1364" s="53"/>
      <x:c r="T1364" s="53"/>
      <x:c r="U1364" s="53"/>
      <x:c r="V1364" s="53"/>
      <x:c r="W1364" s="53"/>
      <x:c r="X1364" s="53"/>
      <x:c r="Y1364" s="53"/>
      <x:c r="Z1364" s="53"/>
      <x:c r="AA1364" s="53"/>
      <x:c r="AB1364" s="53"/>
      <x:c r="AC1364" s="53"/>
      <x:c r="AD1364" s="53"/>
      <x:c r="AE1364" s="53"/>
      <x:c r="AF1364" s="53"/>
    </x:row>
    <x:row r="1365">
      <x:c r="A1365" s="53"/>
      <x:c r="B1365" s="53"/>
      <x:c r="C1365" s="53"/>
      <x:c r="D1365" s="53"/>
      <x:c r="E1365" s="53"/>
      <x:c r="F1365" s="53"/>
      <x:c r="G1365" s="53"/>
      <x:c r="H1365" s="53"/>
      <x:c r="I1365" s="53"/>
      <x:c r="J1365" s="53"/>
      <x:c r="K1365" s="53"/>
      <x:c r="L1365" s="53"/>
      <x:c r="M1365" s="53"/>
      <x:c r="N1365" s="53"/>
      <x:c r="O1365" s="53"/>
      <x:c r="P1365" s="53"/>
      <x:c r="Q1365" s="53"/>
      <x:c r="R1365" s="53"/>
      <x:c r="S1365" s="53"/>
      <x:c r="T1365" s="53"/>
      <x:c r="U1365" s="53"/>
      <x:c r="V1365" s="53"/>
      <x:c r="W1365" s="53"/>
      <x:c r="X1365" s="53"/>
      <x:c r="Y1365" s="53"/>
      <x:c r="Z1365" s="53"/>
      <x:c r="AA1365" s="53"/>
      <x:c r="AB1365" s="53"/>
      <x:c r="AC1365" s="53"/>
      <x:c r="AD1365" s="53"/>
      <x:c r="AE1365" s="53"/>
      <x:c r="AF1365" s="53"/>
    </x:row>
    <x:row r="1366">
      <x:c r="A1366" s="53"/>
      <x:c r="B1366" s="53"/>
      <x:c r="C1366" s="53"/>
      <x:c r="D1366" s="53"/>
      <x:c r="E1366" s="53"/>
      <x:c r="F1366" s="53"/>
      <x:c r="G1366" s="53"/>
      <x:c r="H1366" s="53"/>
      <x:c r="I1366" s="53"/>
      <x:c r="J1366" s="53"/>
      <x:c r="K1366" s="53"/>
      <x:c r="L1366" s="53"/>
      <x:c r="M1366" s="53"/>
      <x:c r="N1366" s="53"/>
      <x:c r="O1366" s="53"/>
      <x:c r="P1366" s="53"/>
      <x:c r="Q1366" s="53"/>
      <x:c r="R1366" s="53"/>
      <x:c r="S1366" s="53"/>
      <x:c r="T1366" s="53"/>
      <x:c r="U1366" s="53"/>
      <x:c r="V1366" s="53"/>
      <x:c r="W1366" s="53"/>
      <x:c r="X1366" s="53"/>
      <x:c r="Y1366" s="53"/>
      <x:c r="Z1366" s="53"/>
      <x:c r="AA1366" s="53"/>
      <x:c r="AB1366" s="53"/>
      <x:c r="AC1366" s="53"/>
      <x:c r="AD1366" s="53"/>
      <x:c r="AE1366" s="53"/>
      <x:c r="AF1366" s="53"/>
    </x:row>
    <x:row r="1367">
      <x:c r="A1367" s="53"/>
      <x:c r="B1367" s="53"/>
      <x:c r="C1367" s="53"/>
      <x:c r="D1367" s="53"/>
      <x:c r="E1367" s="53"/>
      <x:c r="F1367" s="53"/>
      <x:c r="G1367" s="53"/>
      <x:c r="H1367" s="53"/>
      <x:c r="I1367" s="53"/>
      <x:c r="J1367" s="53"/>
      <x:c r="K1367" s="53"/>
      <x:c r="L1367" s="53"/>
      <x:c r="M1367" s="53"/>
      <x:c r="N1367" s="53"/>
      <x:c r="O1367" s="53"/>
      <x:c r="P1367" s="53"/>
      <x:c r="Q1367" s="53"/>
      <x:c r="R1367" s="53"/>
      <x:c r="S1367" s="53"/>
      <x:c r="T1367" s="53"/>
      <x:c r="U1367" s="53"/>
      <x:c r="V1367" s="53"/>
      <x:c r="W1367" s="53"/>
      <x:c r="X1367" s="53"/>
      <x:c r="Y1367" s="53"/>
      <x:c r="Z1367" s="53"/>
      <x:c r="AA1367" s="53"/>
      <x:c r="AB1367" s="53"/>
      <x:c r="AC1367" s="53"/>
      <x:c r="AD1367" s="53"/>
      <x:c r="AE1367" s="53"/>
      <x:c r="AF1367" s="53"/>
    </x:row>
    <x:row r="1368">
      <x:c r="A1368" s="53"/>
      <x:c r="B1368" s="53"/>
      <x:c r="C1368" s="53"/>
      <x:c r="D1368" s="53"/>
      <x:c r="E1368" s="53"/>
      <x:c r="F1368" s="53"/>
      <x:c r="G1368" s="53"/>
      <x:c r="H1368" s="53"/>
      <x:c r="I1368" s="53"/>
      <x:c r="J1368" s="53"/>
      <x:c r="K1368" s="53"/>
      <x:c r="L1368" s="53"/>
      <x:c r="M1368" s="53"/>
      <x:c r="N1368" s="53"/>
      <x:c r="O1368" s="53"/>
      <x:c r="P1368" s="53"/>
      <x:c r="Q1368" s="53"/>
      <x:c r="R1368" s="53"/>
      <x:c r="S1368" s="53"/>
      <x:c r="T1368" s="53"/>
      <x:c r="U1368" s="53"/>
      <x:c r="V1368" s="53"/>
      <x:c r="W1368" s="53"/>
      <x:c r="X1368" s="53"/>
      <x:c r="Y1368" s="53"/>
      <x:c r="Z1368" s="53"/>
      <x:c r="AA1368" s="53"/>
      <x:c r="AB1368" s="53"/>
      <x:c r="AC1368" s="53"/>
      <x:c r="AD1368" s="53"/>
      <x:c r="AE1368" s="53"/>
      <x:c r="AF1368" s="53"/>
    </x:row>
    <x:row r="1369">
      <x:c r="A1369" s="53"/>
      <x:c r="B1369" s="53"/>
      <x:c r="C1369" s="53"/>
      <x:c r="D1369" s="53"/>
      <x:c r="E1369" s="53"/>
      <x:c r="F1369" s="53"/>
      <x:c r="G1369" s="53"/>
      <x:c r="H1369" s="53"/>
      <x:c r="I1369" s="53"/>
      <x:c r="J1369" s="53"/>
      <x:c r="K1369" s="53"/>
      <x:c r="L1369" s="53"/>
      <x:c r="M1369" s="53"/>
      <x:c r="N1369" s="53"/>
      <x:c r="O1369" s="53"/>
      <x:c r="P1369" s="53"/>
      <x:c r="Q1369" s="53"/>
      <x:c r="R1369" s="53"/>
      <x:c r="S1369" s="53"/>
      <x:c r="T1369" s="53"/>
      <x:c r="U1369" s="53"/>
      <x:c r="V1369" s="53"/>
      <x:c r="W1369" s="53"/>
      <x:c r="X1369" s="53"/>
      <x:c r="Y1369" s="53"/>
      <x:c r="Z1369" s="53"/>
      <x:c r="AA1369" s="53"/>
      <x:c r="AB1369" s="53"/>
      <x:c r="AC1369" s="53"/>
      <x:c r="AD1369" s="53"/>
      <x:c r="AE1369" s="53"/>
      <x:c r="AF1369" s="53"/>
    </x:row>
    <x:row r="1370">
      <x:c r="A1370" s="53"/>
      <x:c r="B1370" s="53"/>
      <x:c r="C1370" s="53"/>
      <x:c r="D1370" s="53"/>
      <x:c r="E1370" s="53"/>
      <x:c r="F1370" s="53"/>
      <x:c r="G1370" s="53"/>
      <x:c r="H1370" s="53"/>
      <x:c r="I1370" s="53"/>
      <x:c r="J1370" s="53"/>
      <x:c r="K1370" s="53"/>
      <x:c r="L1370" s="53"/>
      <x:c r="M1370" s="53"/>
      <x:c r="N1370" s="53"/>
      <x:c r="O1370" s="53"/>
      <x:c r="P1370" s="53"/>
      <x:c r="Q1370" s="53"/>
      <x:c r="R1370" s="53"/>
      <x:c r="S1370" s="53"/>
      <x:c r="T1370" s="53"/>
      <x:c r="U1370" s="53"/>
      <x:c r="V1370" s="53"/>
      <x:c r="W1370" s="53"/>
      <x:c r="X1370" s="53"/>
      <x:c r="Y1370" s="53"/>
      <x:c r="Z1370" s="53"/>
      <x:c r="AA1370" s="53"/>
      <x:c r="AB1370" s="53"/>
      <x:c r="AC1370" s="53"/>
      <x:c r="AD1370" s="53"/>
      <x:c r="AE1370" s="53"/>
      <x:c r="AF1370" s="53"/>
    </x:row>
    <x:row r="1371">
      <x:c r="A1371" s="53"/>
      <x:c r="B1371" s="53"/>
      <x:c r="C1371" s="53"/>
      <x:c r="D1371" s="53"/>
      <x:c r="E1371" s="53"/>
      <x:c r="F1371" s="53"/>
      <x:c r="G1371" s="53"/>
      <x:c r="H1371" s="53"/>
      <x:c r="I1371" s="53"/>
      <x:c r="J1371" s="53"/>
      <x:c r="K1371" s="53"/>
      <x:c r="L1371" s="53"/>
      <x:c r="M1371" s="53"/>
      <x:c r="N1371" s="53"/>
      <x:c r="O1371" s="53"/>
      <x:c r="P1371" s="53"/>
      <x:c r="Q1371" s="53"/>
      <x:c r="R1371" s="53"/>
      <x:c r="S1371" s="53"/>
      <x:c r="T1371" s="53"/>
      <x:c r="U1371" s="53"/>
      <x:c r="V1371" s="53"/>
      <x:c r="W1371" s="53"/>
      <x:c r="X1371" s="53"/>
      <x:c r="Y1371" s="53"/>
      <x:c r="Z1371" s="53"/>
      <x:c r="AA1371" s="53"/>
      <x:c r="AB1371" s="53"/>
      <x:c r="AC1371" s="53"/>
      <x:c r="AD1371" s="53"/>
      <x:c r="AE1371" s="53"/>
      <x:c r="AF1371" s="53"/>
    </x:row>
    <x:row r="1372">
      <x:c r="A1372" s="53"/>
      <x:c r="B1372" s="53"/>
      <x:c r="C1372" s="53"/>
      <x:c r="D1372" s="53"/>
      <x:c r="E1372" s="53"/>
      <x:c r="F1372" s="53"/>
      <x:c r="G1372" s="53"/>
      <x:c r="H1372" s="53"/>
      <x:c r="I1372" s="53"/>
      <x:c r="J1372" s="53"/>
      <x:c r="K1372" s="53"/>
      <x:c r="L1372" s="53"/>
      <x:c r="M1372" s="53"/>
      <x:c r="N1372" s="53"/>
      <x:c r="O1372" s="53"/>
      <x:c r="P1372" s="53"/>
      <x:c r="Q1372" s="53"/>
      <x:c r="R1372" s="53"/>
      <x:c r="S1372" s="53"/>
      <x:c r="T1372" s="53"/>
      <x:c r="U1372" s="53"/>
      <x:c r="V1372" s="53"/>
      <x:c r="W1372" s="53"/>
      <x:c r="X1372" s="53"/>
      <x:c r="Y1372" s="53"/>
      <x:c r="Z1372" s="53"/>
      <x:c r="AA1372" s="53"/>
      <x:c r="AB1372" s="53"/>
      <x:c r="AC1372" s="53"/>
      <x:c r="AD1372" s="53"/>
      <x:c r="AE1372" s="53"/>
      <x:c r="AF1372" s="53"/>
    </x:row>
    <x:row r="1373">
      <x:c r="A1373" s="53"/>
      <x:c r="B1373" s="53"/>
      <x:c r="C1373" s="53"/>
      <x:c r="D1373" s="53"/>
      <x:c r="E1373" s="53"/>
      <x:c r="F1373" s="53"/>
      <x:c r="G1373" s="53"/>
      <x:c r="H1373" s="53"/>
      <x:c r="I1373" s="53"/>
      <x:c r="J1373" s="53"/>
      <x:c r="K1373" s="53"/>
      <x:c r="L1373" s="53"/>
      <x:c r="M1373" s="53"/>
      <x:c r="N1373" s="53"/>
      <x:c r="O1373" s="53"/>
      <x:c r="P1373" s="53"/>
      <x:c r="Q1373" s="53"/>
      <x:c r="R1373" s="53"/>
      <x:c r="S1373" s="53"/>
      <x:c r="T1373" s="53"/>
      <x:c r="U1373" s="53"/>
      <x:c r="V1373" s="53"/>
      <x:c r="W1373" s="53"/>
      <x:c r="X1373" s="53"/>
      <x:c r="Y1373" s="53"/>
      <x:c r="Z1373" s="53"/>
      <x:c r="AA1373" s="53"/>
      <x:c r="AB1373" s="53"/>
      <x:c r="AC1373" s="53"/>
      <x:c r="AD1373" s="53"/>
      <x:c r="AE1373" s="53"/>
      <x:c r="AF1373" s="53"/>
    </x:row>
    <x:row r="1374">
      <x:c r="A1374" s="53"/>
      <x:c r="B1374" s="53"/>
      <x:c r="C1374" s="53"/>
      <x:c r="D1374" s="53"/>
      <x:c r="E1374" s="53"/>
      <x:c r="F1374" s="53"/>
      <x:c r="G1374" s="53"/>
      <x:c r="H1374" s="53"/>
      <x:c r="I1374" s="53"/>
      <x:c r="J1374" s="53"/>
      <x:c r="K1374" s="53"/>
      <x:c r="L1374" s="53"/>
      <x:c r="M1374" s="53"/>
      <x:c r="N1374" s="53"/>
      <x:c r="O1374" s="53"/>
      <x:c r="P1374" s="53"/>
      <x:c r="Q1374" s="53"/>
      <x:c r="R1374" s="53"/>
      <x:c r="S1374" s="53"/>
      <x:c r="T1374" s="53"/>
      <x:c r="U1374" s="53"/>
      <x:c r="V1374" s="53"/>
      <x:c r="W1374" s="53"/>
      <x:c r="X1374" s="53"/>
      <x:c r="Y1374" s="53"/>
      <x:c r="Z1374" s="53"/>
      <x:c r="AA1374" s="53"/>
      <x:c r="AB1374" s="53"/>
      <x:c r="AC1374" s="53"/>
      <x:c r="AD1374" s="53"/>
      <x:c r="AE1374" s="53"/>
      <x:c r="AF1374" s="53"/>
    </x:row>
    <x:row r="1375">
      <x:c r="A1375" s="53"/>
      <x:c r="B1375" s="53"/>
      <x:c r="C1375" s="53"/>
      <x:c r="D1375" s="53"/>
      <x:c r="E1375" s="53"/>
      <x:c r="F1375" s="53"/>
      <x:c r="G1375" s="53"/>
      <x:c r="H1375" s="53"/>
      <x:c r="I1375" s="53"/>
      <x:c r="J1375" s="53"/>
      <x:c r="K1375" s="53"/>
      <x:c r="L1375" s="53"/>
      <x:c r="M1375" s="53"/>
      <x:c r="N1375" s="53"/>
      <x:c r="O1375" s="53"/>
      <x:c r="P1375" s="53"/>
      <x:c r="Q1375" s="53"/>
      <x:c r="R1375" s="53"/>
      <x:c r="S1375" s="53"/>
      <x:c r="T1375" s="53"/>
      <x:c r="U1375" s="53"/>
      <x:c r="V1375" s="53"/>
      <x:c r="W1375" s="53"/>
      <x:c r="X1375" s="53"/>
      <x:c r="Y1375" s="53"/>
      <x:c r="Z1375" s="53"/>
      <x:c r="AA1375" s="53"/>
      <x:c r="AB1375" s="53"/>
      <x:c r="AC1375" s="53"/>
      <x:c r="AD1375" s="53"/>
      <x:c r="AE1375" s="53"/>
      <x:c r="AF1375" s="53"/>
    </x:row>
    <x:row r="1376">
      <x:c r="A1376" s="53"/>
      <x:c r="B1376" s="53"/>
      <x:c r="C1376" s="53"/>
      <x:c r="D1376" s="53"/>
      <x:c r="E1376" s="53"/>
      <x:c r="F1376" s="53"/>
      <x:c r="G1376" s="53"/>
      <x:c r="H1376" s="53"/>
      <x:c r="I1376" s="53"/>
      <x:c r="J1376" s="53"/>
      <x:c r="K1376" s="53"/>
      <x:c r="L1376" s="53"/>
      <x:c r="M1376" s="53"/>
      <x:c r="N1376" s="53"/>
      <x:c r="O1376" s="53"/>
      <x:c r="P1376" s="53"/>
      <x:c r="Q1376" s="53"/>
      <x:c r="R1376" s="53"/>
      <x:c r="S1376" s="53"/>
      <x:c r="T1376" s="53"/>
      <x:c r="U1376" s="53"/>
      <x:c r="V1376" s="53"/>
      <x:c r="W1376" s="53"/>
      <x:c r="X1376" s="53"/>
      <x:c r="Y1376" s="53"/>
      <x:c r="Z1376" s="53"/>
      <x:c r="AA1376" s="53"/>
      <x:c r="AB1376" s="53"/>
      <x:c r="AC1376" s="53"/>
      <x:c r="AD1376" s="53"/>
      <x:c r="AE1376" s="53"/>
      <x:c r="AF1376" s="53"/>
    </x:row>
    <x:row r="1377">
      <x:c r="A1377" s="53"/>
      <x:c r="B1377" s="53"/>
      <x:c r="C1377" s="53"/>
      <x:c r="D1377" s="53"/>
      <x:c r="E1377" s="53"/>
      <x:c r="F1377" s="53"/>
      <x:c r="G1377" s="53"/>
      <x:c r="H1377" s="53"/>
      <x:c r="I1377" s="53"/>
      <x:c r="J1377" s="53"/>
      <x:c r="K1377" s="53"/>
      <x:c r="L1377" s="53"/>
      <x:c r="M1377" s="53"/>
      <x:c r="N1377" s="53"/>
      <x:c r="O1377" s="53"/>
      <x:c r="P1377" s="53"/>
      <x:c r="Q1377" s="53"/>
      <x:c r="R1377" s="53"/>
      <x:c r="S1377" s="53"/>
      <x:c r="T1377" s="53"/>
      <x:c r="U1377" s="53"/>
      <x:c r="V1377" s="53"/>
      <x:c r="W1377" s="53"/>
      <x:c r="X1377" s="53"/>
      <x:c r="Y1377" s="53"/>
      <x:c r="Z1377" s="53"/>
      <x:c r="AA1377" s="53"/>
      <x:c r="AB1377" s="53"/>
      <x:c r="AC1377" s="53"/>
      <x:c r="AD1377" s="53"/>
      <x:c r="AE1377" s="53"/>
      <x:c r="AF1377" s="53"/>
    </x:row>
    <x:row r="1378">
      <x:c r="A1378" s="53"/>
      <x:c r="B1378" s="53"/>
      <x:c r="C1378" s="53"/>
      <x:c r="D1378" s="53"/>
      <x:c r="E1378" s="53"/>
      <x:c r="F1378" s="53"/>
      <x:c r="G1378" s="53"/>
      <x:c r="H1378" s="53"/>
      <x:c r="I1378" s="53"/>
      <x:c r="J1378" s="53"/>
      <x:c r="K1378" s="53"/>
      <x:c r="L1378" s="53"/>
      <x:c r="M1378" s="53"/>
      <x:c r="N1378" s="53"/>
      <x:c r="O1378" s="53"/>
      <x:c r="P1378" s="53"/>
      <x:c r="Q1378" s="53"/>
      <x:c r="R1378" s="53"/>
      <x:c r="S1378" s="53"/>
      <x:c r="T1378" s="53"/>
      <x:c r="U1378" s="53"/>
      <x:c r="V1378" s="53"/>
      <x:c r="W1378" s="53"/>
      <x:c r="X1378" s="53"/>
      <x:c r="Y1378" s="53"/>
      <x:c r="Z1378" s="53"/>
      <x:c r="AA1378" s="53"/>
      <x:c r="AB1378" s="53"/>
      <x:c r="AC1378" s="53"/>
      <x:c r="AD1378" s="53"/>
      <x:c r="AE1378" s="53"/>
      <x:c r="AF1378" s="53"/>
    </x:row>
    <x:row r="1379">
      <x:c r="A1379" s="53"/>
      <x:c r="B1379" s="53"/>
      <x:c r="C1379" s="53"/>
      <x:c r="D1379" s="53"/>
      <x:c r="E1379" s="53"/>
      <x:c r="F1379" s="53"/>
      <x:c r="G1379" s="53"/>
      <x:c r="H1379" s="53"/>
      <x:c r="I1379" s="53"/>
      <x:c r="J1379" s="53"/>
      <x:c r="K1379" s="53"/>
      <x:c r="L1379" s="53"/>
      <x:c r="M1379" s="53"/>
      <x:c r="N1379" s="53"/>
      <x:c r="O1379" s="53"/>
      <x:c r="P1379" s="53"/>
      <x:c r="Q1379" s="53"/>
      <x:c r="R1379" s="53"/>
      <x:c r="S1379" s="53"/>
      <x:c r="T1379" s="53"/>
      <x:c r="U1379" s="53"/>
      <x:c r="V1379" s="53"/>
      <x:c r="W1379" s="53"/>
      <x:c r="X1379" s="53"/>
      <x:c r="Y1379" s="53"/>
      <x:c r="Z1379" s="53"/>
      <x:c r="AA1379" s="53"/>
      <x:c r="AB1379" s="53"/>
      <x:c r="AC1379" s="53"/>
      <x:c r="AD1379" s="53"/>
      <x:c r="AE1379" s="53"/>
      <x:c r="AF1379" s="53"/>
    </x:row>
    <x:row r="1380">
      <x:c r="A1380" s="53"/>
      <x:c r="B1380" s="53"/>
      <x:c r="C1380" s="53"/>
      <x:c r="D1380" s="53"/>
      <x:c r="E1380" s="53"/>
      <x:c r="F1380" s="53"/>
      <x:c r="G1380" s="53"/>
      <x:c r="H1380" s="53"/>
      <x:c r="I1380" s="53"/>
      <x:c r="J1380" s="53"/>
      <x:c r="K1380" s="53"/>
      <x:c r="L1380" s="53"/>
      <x:c r="M1380" s="53"/>
      <x:c r="N1380" s="53"/>
      <x:c r="O1380" s="53"/>
      <x:c r="P1380" s="53"/>
      <x:c r="Q1380" s="53"/>
      <x:c r="R1380" s="53"/>
      <x:c r="S1380" s="53"/>
      <x:c r="T1380" s="53"/>
      <x:c r="U1380" s="53"/>
      <x:c r="V1380" s="53"/>
      <x:c r="W1380" s="53"/>
      <x:c r="X1380" s="53"/>
      <x:c r="Y1380" s="53"/>
      <x:c r="Z1380" s="53"/>
      <x:c r="AA1380" s="53"/>
      <x:c r="AB1380" s="53"/>
      <x:c r="AC1380" s="53"/>
      <x:c r="AD1380" s="53"/>
      <x:c r="AE1380" s="53"/>
      <x:c r="AF1380" s="53"/>
    </x:row>
    <x:row r="1381">
      <x:c r="A1381" s="53"/>
      <x:c r="B1381" s="53"/>
      <x:c r="C1381" s="53"/>
      <x:c r="D1381" s="53"/>
      <x:c r="E1381" s="53"/>
      <x:c r="F1381" s="53"/>
      <x:c r="G1381" s="53"/>
      <x:c r="H1381" s="53"/>
      <x:c r="I1381" s="53"/>
      <x:c r="J1381" s="53"/>
      <x:c r="K1381" s="53"/>
      <x:c r="L1381" s="53"/>
      <x:c r="M1381" s="53"/>
      <x:c r="N1381" s="53"/>
      <x:c r="O1381" s="53"/>
      <x:c r="P1381" s="53"/>
      <x:c r="Q1381" s="53"/>
      <x:c r="R1381" s="53"/>
      <x:c r="S1381" s="53"/>
      <x:c r="T1381" s="53"/>
      <x:c r="U1381" s="53"/>
      <x:c r="V1381" s="53"/>
      <x:c r="W1381" s="53"/>
      <x:c r="X1381" s="53"/>
      <x:c r="Y1381" s="53"/>
      <x:c r="Z1381" s="53"/>
      <x:c r="AA1381" s="53"/>
      <x:c r="AB1381" s="53"/>
      <x:c r="AC1381" s="53"/>
      <x:c r="AD1381" s="53"/>
      <x:c r="AE1381" s="53"/>
      <x:c r="AF1381" s="53"/>
    </x:row>
    <x:row r="1382">
      <x:c r="A1382" s="53"/>
      <x:c r="B1382" s="53"/>
      <x:c r="C1382" s="53"/>
      <x:c r="D1382" s="53"/>
      <x:c r="E1382" s="53"/>
      <x:c r="F1382" s="53"/>
      <x:c r="G1382" s="53"/>
      <x:c r="H1382" s="53"/>
      <x:c r="I1382" s="53"/>
      <x:c r="J1382" s="53"/>
      <x:c r="K1382" s="53"/>
      <x:c r="L1382" s="53"/>
      <x:c r="M1382" s="53"/>
      <x:c r="N1382" s="53"/>
      <x:c r="O1382" s="53"/>
      <x:c r="P1382" s="53"/>
      <x:c r="Q1382" s="53"/>
      <x:c r="R1382" s="53"/>
      <x:c r="S1382" s="53"/>
      <x:c r="T1382" s="53"/>
      <x:c r="U1382" s="53"/>
      <x:c r="V1382" s="53"/>
      <x:c r="W1382" s="53"/>
      <x:c r="X1382" s="53"/>
      <x:c r="Y1382" s="53"/>
      <x:c r="Z1382" s="53"/>
      <x:c r="AA1382" s="53"/>
      <x:c r="AB1382" s="53"/>
      <x:c r="AC1382" s="53"/>
      <x:c r="AD1382" s="53"/>
      <x:c r="AE1382" s="53"/>
      <x:c r="AF1382" s="53"/>
    </x:row>
    <x:row r="1383">
      <x:c r="A1383" s="53"/>
      <x:c r="B1383" s="53"/>
      <x:c r="C1383" s="53"/>
      <x:c r="D1383" s="53"/>
      <x:c r="E1383" s="53"/>
      <x:c r="F1383" s="53"/>
      <x:c r="G1383" s="53"/>
      <x:c r="H1383" s="53"/>
      <x:c r="I1383" s="53"/>
      <x:c r="J1383" s="53"/>
      <x:c r="K1383" s="53"/>
      <x:c r="L1383" s="53"/>
      <x:c r="M1383" s="53"/>
      <x:c r="N1383" s="53"/>
      <x:c r="O1383" s="53"/>
      <x:c r="P1383" s="53"/>
      <x:c r="Q1383" s="53"/>
      <x:c r="R1383" s="53"/>
      <x:c r="S1383" s="53"/>
      <x:c r="T1383" s="53"/>
      <x:c r="U1383" s="53"/>
      <x:c r="V1383" s="53"/>
      <x:c r="W1383" s="53"/>
      <x:c r="X1383" s="53"/>
      <x:c r="Y1383" s="53"/>
      <x:c r="Z1383" s="53"/>
      <x:c r="AA1383" s="53"/>
      <x:c r="AB1383" s="53"/>
      <x:c r="AC1383" s="53"/>
      <x:c r="AD1383" s="53"/>
      <x:c r="AE1383" s="53"/>
      <x:c r="AF1383" s="53"/>
    </x:row>
    <x:row r="1384">
      <x:c r="A1384" s="53"/>
      <x:c r="B1384" s="53"/>
      <x:c r="C1384" s="53"/>
      <x:c r="D1384" s="53"/>
      <x:c r="E1384" s="53"/>
      <x:c r="F1384" s="53"/>
      <x:c r="G1384" s="53"/>
      <x:c r="H1384" s="53"/>
      <x:c r="I1384" s="53"/>
      <x:c r="J1384" s="53"/>
      <x:c r="K1384" s="53"/>
      <x:c r="L1384" s="53"/>
      <x:c r="M1384" s="53"/>
      <x:c r="N1384" s="53"/>
      <x:c r="O1384" s="53"/>
      <x:c r="P1384" s="53"/>
      <x:c r="Q1384" s="53"/>
      <x:c r="R1384" s="53"/>
      <x:c r="S1384" s="53"/>
      <x:c r="T1384" s="53"/>
      <x:c r="U1384" s="53"/>
      <x:c r="V1384" s="53"/>
      <x:c r="W1384" s="53"/>
      <x:c r="X1384" s="53"/>
      <x:c r="Y1384" s="53"/>
      <x:c r="Z1384" s="53"/>
      <x:c r="AA1384" s="53"/>
      <x:c r="AB1384" s="53"/>
      <x:c r="AC1384" s="53"/>
      <x:c r="AD1384" s="53"/>
      <x:c r="AE1384" s="53"/>
      <x:c r="AF1384" s="53"/>
    </x:row>
    <x:row r="1385">
      <x:c r="A1385" s="53"/>
      <x:c r="B1385" s="53"/>
      <x:c r="C1385" s="53"/>
      <x:c r="D1385" s="53"/>
      <x:c r="E1385" s="53"/>
      <x:c r="F1385" s="53"/>
      <x:c r="G1385" s="53"/>
      <x:c r="H1385" s="53"/>
      <x:c r="I1385" s="53"/>
      <x:c r="J1385" s="53"/>
      <x:c r="K1385" s="53"/>
      <x:c r="L1385" s="53"/>
      <x:c r="M1385" s="53"/>
      <x:c r="N1385" s="53"/>
      <x:c r="O1385" s="53"/>
      <x:c r="P1385" s="53"/>
      <x:c r="Q1385" s="53"/>
      <x:c r="R1385" s="53"/>
      <x:c r="S1385" s="53"/>
      <x:c r="T1385" s="53"/>
      <x:c r="U1385" s="53"/>
      <x:c r="V1385" s="53"/>
      <x:c r="W1385" s="53"/>
      <x:c r="X1385" s="53"/>
      <x:c r="Y1385" s="53"/>
      <x:c r="Z1385" s="53"/>
      <x:c r="AA1385" s="53"/>
      <x:c r="AB1385" s="53"/>
      <x:c r="AC1385" s="53"/>
      <x:c r="AD1385" s="53"/>
      <x:c r="AE1385" s="53"/>
      <x:c r="AF1385" s="53"/>
    </x:row>
    <x:row r="1386">
      <x:c r="A1386" s="53"/>
      <x:c r="B1386" s="53"/>
      <x:c r="C1386" s="53"/>
      <x:c r="D1386" s="53"/>
      <x:c r="E1386" s="53"/>
      <x:c r="F1386" s="53"/>
      <x:c r="G1386" s="53"/>
      <x:c r="H1386" s="53"/>
      <x:c r="I1386" s="53"/>
      <x:c r="J1386" s="53"/>
      <x:c r="K1386" s="53"/>
      <x:c r="L1386" s="53"/>
      <x:c r="M1386" s="53"/>
      <x:c r="N1386" s="53"/>
      <x:c r="O1386" s="53"/>
      <x:c r="P1386" s="53"/>
      <x:c r="Q1386" s="53"/>
      <x:c r="R1386" s="53"/>
      <x:c r="S1386" s="53"/>
      <x:c r="T1386" s="53"/>
      <x:c r="U1386" s="53"/>
      <x:c r="V1386" s="53"/>
      <x:c r="W1386" s="53"/>
      <x:c r="X1386" s="53"/>
      <x:c r="Y1386" s="53"/>
      <x:c r="Z1386" s="53"/>
      <x:c r="AA1386" s="53"/>
      <x:c r="AB1386" s="53"/>
      <x:c r="AC1386" s="53"/>
      <x:c r="AD1386" s="53"/>
      <x:c r="AE1386" s="53"/>
      <x:c r="AF1386" s="53"/>
    </x:row>
    <x:row r="1387">
      <x:c r="A1387" s="53"/>
      <x:c r="B1387" s="53"/>
      <x:c r="C1387" s="53"/>
      <x:c r="D1387" s="53"/>
      <x:c r="E1387" s="53"/>
      <x:c r="F1387" s="53"/>
      <x:c r="G1387" s="53"/>
      <x:c r="H1387" s="53"/>
      <x:c r="I1387" s="53"/>
      <x:c r="J1387" s="53"/>
      <x:c r="K1387" s="53"/>
      <x:c r="L1387" s="53"/>
      <x:c r="M1387" s="53"/>
      <x:c r="N1387" s="53"/>
      <x:c r="O1387" s="53"/>
      <x:c r="P1387" s="53"/>
      <x:c r="Q1387" s="53"/>
      <x:c r="R1387" s="53"/>
      <x:c r="S1387" s="53"/>
      <x:c r="T1387" s="53"/>
      <x:c r="U1387" s="53"/>
      <x:c r="V1387" s="53"/>
      <x:c r="W1387" s="53"/>
      <x:c r="X1387" s="53"/>
      <x:c r="Y1387" s="53"/>
      <x:c r="Z1387" s="53"/>
      <x:c r="AA1387" s="53"/>
      <x:c r="AB1387" s="53"/>
      <x:c r="AC1387" s="53"/>
      <x:c r="AD1387" s="53"/>
      <x:c r="AE1387" s="53"/>
      <x:c r="AF1387" s="53"/>
    </x:row>
    <x:row r="1388">
      <x:c r="A1388" s="53"/>
      <x:c r="B1388" s="53"/>
      <x:c r="C1388" s="53"/>
      <x:c r="D1388" s="53"/>
      <x:c r="E1388" s="53"/>
      <x:c r="F1388" s="53"/>
      <x:c r="G1388" s="53"/>
      <x:c r="H1388" s="53"/>
      <x:c r="I1388" s="53"/>
      <x:c r="J1388" s="53"/>
      <x:c r="K1388" s="53"/>
      <x:c r="L1388" s="53"/>
      <x:c r="M1388" s="53"/>
      <x:c r="N1388" s="53"/>
      <x:c r="O1388" s="53"/>
      <x:c r="P1388" s="53"/>
      <x:c r="Q1388" s="53"/>
      <x:c r="R1388" s="53"/>
      <x:c r="S1388" s="53"/>
      <x:c r="T1388" s="53"/>
      <x:c r="U1388" s="53"/>
      <x:c r="V1388" s="53"/>
      <x:c r="W1388" s="53"/>
      <x:c r="X1388" s="53"/>
      <x:c r="Y1388" s="53"/>
      <x:c r="Z1388" s="53"/>
      <x:c r="AA1388" s="53"/>
      <x:c r="AB1388" s="53"/>
      <x:c r="AC1388" s="53"/>
      <x:c r="AD1388" s="53"/>
      <x:c r="AE1388" s="53"/>
      <x:c r="AF1388" s="53"/>
    </x:row>
    <x:row r="1389">
      <x:c r="A1389" s="53"/>
      <x:c r="B1389" s="53"/>
      <x:c r="C1389" s="53"/>
      <x:c r="D1389" s="53"/>
      <x:c r="E1389" s="53"/>
      <x:c r="F1389" s="53"/>
      <x:c r="G1389" s="53"/>
      <x:c r="H1389" s="53"/>
      <x:c r="I1389" s="53"/>
      <x:c r="J1389" s="53"/>
      <x:c r="K1389" s="53"/>
      <x:c r="L1389" s="53"/>
      <x:c r="M1389" s="53"/>
      <x:c r="N1389" s="53"/>
      <x:c r="O1389" s="53"/>
      <x:c r="P1389" s="53"/>
      <x:c r="Q1389" s="53"/>
      <x:c r="R1389" s="53"/>
      <x:c r="S1389" s="53"/>
      <x:c r="T1389" s="53"/>
      <x:c r="U1389" s="53"/>
      <x:c r="V1389" s="53"/>
      <x:c r="W1389" s="53"/>
      <x:c r="X1389" s="53"/>
      <x:c r="Y1389" s="53"/>
      <x:c r="Z1389" s="53"/>
      <x:c r="AA1389" s="53"/>
      <x:c r="AB1389" s="53"/>
      <x:c r="AC1389" s="53"/>
      <x:c r="AD1389" s="53"/>
      <x:c r="AE1389" s="53"/>
      <x:c r="AF1389" s="53"/>
    </x:row>
    <x:row r="1390">
      <x:c r="A1390" s="53"/>
      <x:c r="B1390" s="53"/>
      <x:c r="C1390" s="53"/>
      <x:c r="D1390" s="53"/>
      <x:c r="E1390" s="53"/>
      <x:c r="F1390" s="53"/>
      <x:c r="G1390" s="53"/>
      <x:c r="H1390" s="53"/>
      <x:c r="I1390" s="53"/>
      <x:c r="J1390" s="53"/>
      <x:c r="K1390" s="53"/>
      <x:c r="L1390" s="53"/>
      <x:c r="M1390" s="53"/>
      <x:c r="N1390" s="53"/>
      <x:c r="O1390" s="53"/>
      <x:c r="P1390" s="53"/>
      <x:c r="Q1390" s="53"/>
      <x:c r="R1390" s="53"/>
      <x:c r="S1390" s="53"/>
      <x:c r="T1390" s="53"/>
      <x:c r="U1390" s="53"/>
      <x:c r="V1390" s="53"/>
      <x:c r="W1390" s="53"/>
      <x:c r="X1390" s="53"/>
      <x:c r="Y1390" s="53"/>
      <x:c r="Z1390" s="53"/>
      <x:c r="AA1390" s="53"/>
      <x:c r="AB1390" s="53"/>
      <x:c r="AC1390" s="53"/>
      <x:c r="AD1390" s="53"/>
      <x:c r="AE1390" s="53"/>
      <x:c r="AF1390" s="53"/>
    </x:row>
    <x:row r="1391">
      <x:c r="A1391" s="53"/>
      <x:c r="B1391" s="53"/>
      <x:c r="C1391" s="53"/>
      <x:c r="D1391" s="53"/>
      <x:c r="E1391" s="53"/>
      <x:c r="F1391" s="53"/>
      <x:c r="G1391" s="53"/>
      <x:c r="H1391" s="53"/>
      <x:c r="I1391" s="53"/>
      <x:c r="J1391" s="53"/>
      <x:c r="K1391" s="53"/>
      <x:c r="L1391" s="53"/>
      <x:c r="M1391" s="53"/>
      <x:c r="N1391" s="53"/>
      <x:c r="O1391" s="53"/>
      <x:c r="P1391" s="53"/>
      <x:c r="Q1391" s="53"/>
      <x:c r="R1391" s="53"/>
      <x:c r="S1391" s="53"/>
      <x:c r="T1391" s="53"/>
      <x:c r="U1391" s="53"/>
      <x:c r="V1391" s="53"/>
      <x:c r="W1391" s="53"/>
      <x:c r="X1391" s="53"/>
      <x:c r="Y1391" s="53"/>
      <x:c r="Z1391" s="53"/>
      <x:c r="AA1391" s="53"/>
      <x:c r="AB1391" s="53"/>
      <x:c r="AC1391" s="53"/>
      <x:c r="AD1391" s="53"/>
      <x:c r="AE1391" s="53"/>
      <x:c r="AF1391" s="53"/>
    </x:row>
    <x:row r="1392">
      <x:c r="A1392" s="53"/>
      <x:c r="B1392" s="53"/>
      <x:c r="C1392" s="53"/>
      <x:c r="D1392" s="53"/>
      <x:c r="E1392" s="53"/>
      <x:c r="F1392" s="53"/>
      <x:c r="G1392" s="53"/>
      <x:c r="H1392" s="53"/>
      <x:c r="I1392" s="53"/>
      <x:c r="J1392" s="53"/>
      <x:c r="K1392" s="53"/>
      <x:c r="L1392" s="53"/>
      <x:c r="M1392" s="53"/>
      <x:c r="N1392" s="53"/>
      <x:c r="O1392" s="53"/>
      <x:c r="P1392" s="53"/>
      <x:c r="Q1392" s="53"/>
      <x:c r="R1392" s="53"/>
      <x:c r="S1392" s="53"/>
      <x:c r="T1392" s="53"/>
      <x:c r="U1392" s="53"/>
      <x:c r="V1392" s="53"/>
      <x:c r="W1392" s="53"/>
      <x:c r="X1392" s="53"/>
      <x:c r="Y1392" s="53"/>
      <x:c r="Z1392" s="53"/>
      <x:c r="AA1392" s="53"/>
      <x:c r="AB1392" s="53"/>
      <x:c r="AC1392" s="53"/>
      <x:c r="AD1392" s="53"/>
      <x:c r="AE1392" s="53"/>
      <x:c r="AF1392" s="53"/>
    </x:row>
    <x:row r="1393">
      <x:c r="A1393" s="53"/>
      <x:c r="B1393" s="53"/>
      <x:c r="C1393" s="53"/>
      <x:c r="D1393" s="53"/>
      <x:c r="E1393" s="53"/>
      <x:c r="F1393" s="53"/>
      <x:c r="G1393" s="53"/>
      <x:c r="H1393" s="53"/>
      <x:c r="I1393" s="53"/>
      <x:c r="J1393" s="53"/>
      <x:c r="K1393" s="53"/>
      <x:c r="L1393" s="53"/>
      <x:c r="M1393" s="53"/>
      <x:c r="N1393" s="53"/>
      <x:c r="O1393" s="53"/>
      <x:c r="P1393" s="53"/>
      <x:c r="Q1393" s="53"/>
      <x:c r="R1393" s="53"/>
      <x:c r="S1393" s="53"/>
      <x:c r="T1393" s="53"/>
      <x:c r="U1393" s="53"/>
      <x:c r="V1393" s="53"/>
      <x:c r="W1393" s="53"/>
      <x:c r="X1393" s="53"/>
      <x:c r="Y1393" s="53"/>
      <x:c r="Z1393" s="53"/>
      <x:c r="AA1393" s="53"/>
      <x:c r="AB1393" s="53"/>
      <x:c r="AC1393" s="53"/>
      <x:c r="AD1393" s="53"/>
      <x:c r="AE1393" s="53"/>
      <x:c r="AF1393" s="53"/>
    </x:row>
    <x:row r="1394">
      <x:c r="A1394" s="53"/>
      <x:c r="B1394" s="53"/>
      <x:c r="C1394" s="53"/>
      <x:c r="D1394" s="53"/>
      <x:c r="E1394" s="53"/>
      <x:c r="F1394" s="53"/>
      <x:c r="G1394" s="53"/>
      <x:c r="H1394" s="53"/>
      <x:c r="I1394" s="53"/>
      <x:c r="J1394" s="53"/>
      <x:c r="K1394" s="53"/>
      <x:c r="L1394" s="53"/>
      <x:c r="M1394" s="53"/>
      <x:c r="N1394" s="53"/>
      <x:c r="O1394" s="53"/>
      <x:c r="P1394" s="53"/>
      <x:c r="Q1394" s="53"/>
      <x:c r="R1394" s="53"/>
      <x:c r="S1394" s="53"/>
      <x:c r="T1394" s="53"/>
      <x:c r="U1394" s="53"/>
      <x:c r="V1394" s="53"/>
      <x:c r="W1394" s="53"/>
      <x:c r="X1394" s="53"/>
      <x:c r="Y1394" s="53"/>
      <x:c r="Z1394" s="53"/>
      <x:c r="AA1394" s="53"/>
      <x:c r="AB1394" s="53"/>
      <x:c r="AC1394" s="53"/>
      <x:c r="AD1394" s="53"/>
      <x:c r="AE1394" s="53"/>
      <x:c r="AF1394" s="53"/>
    </x:row>
    <x:row r="1395">
      <x:c r="A1395" s="53"/>
      <x:c r="B1395" s="53"/>
      <x:c r="C1395" s="53"/>
      <x:c r="D1395" s="53"/>
      <x:c r="E1395" s="53"/>
      <x:c r="F1395" s="53"/>
      <x:c r="G1395" s="53"/>
      <x:c r="H1395" s="53"/>
      <x:c r="I1395" s="53"/>
      <x:c r="J1395" s="53"/>
      <x:c r="K1395" s="53"/>
      <x:c r="L1395" s="53"/>
      <x:c r="M1395" s="53"/>
      <x:c r="N1395" s="53"/>
      <x:c r="O1395" s="53"/>
      <x:c r="P1395" s="53"/>
      <x:c r="Q1395" s="53"/>
      <x:c r="R1395" s="53"/>
      <x:c r="S1395" s="53"/>
      <x:c r="T1395" s="53"/>
      <x:c r="U1395" s="53"/>
      <x:c r="V1395" s="53"/>
      <x:c r="W1395" s="53"/>
      <x:c r="X1395" s="53"/>
      <x:c r="Y1395" s="53"/>
      <x:c r="Z1395" s="53"/>
      <x:c r="AA1395" s="53"/>
      <x:c r="AB1395" s="53"/>
      <x:c r="AC1395" s="53"/>
      <x:c r="AD1395" s="53"/>
      <x:c r="AE1395" s="53"/>
      <x:c r="AF1395" s="53"/>
    </x:row>
    <x:row r="1396">
      <x:c r="A1396" s="53"/>
      <x:c r="B1396" s="53"/>
      <x:c r="C1396" s="53"/>
      <x:c r="D1396" s="53"/>
      <x:c r="E1396" s="53"/>
      <x:c r="F1396" s="53"/>
      <x:c r="G1396" s="53"/>
      <x:c r="H1396" s="53"/>
      <x:c r="I1396" s="53"/>
      <x:c r="J1396" s="53"/>
      <x:c r="K1396" s="53"/>
      <x:c r="L1396" s="53"/>
      <x:c r="M1396" s="53"/>
      <x:c r="N1396" s="53"/>
      <x:c r="O1396" s="53"/>
      <x:c r="P1396" s="53"/>
      <x:c r="Q1396" s="53"/>
      <x:c r="R1396" s="53"/>
      <x:c r="S1396" s="53"/>
      <x:c r="T1396" s="53"/>
      <x:c r="U1396" s="53"/>
      <x:c r="V1396" s="53"/>
      <x:c r="W1396" s="53"/>
      <x:c r="X1396" s="53"/>
      <x:c r="Y1396" s="53"/>
      <x:c r="Z1396" s="53"/>
      <x:c r="AA1396" s="53"/>
      <x:c r="AB1396" s="53"/>
      <x:c r="AC1396" s="53"/>
      <x:c r="AD1396" s="53"/>
      <x:c r="AE1396" s="53"/>
      <x:c r="AF1396" s="53"/>
    </x:row>
    <x:row r="1397">
      <x:c r="A1397" s="53"/>
      <x:c r="B1397" s="53"/>
      <x:c r="C1397" s="53"/>
      <x:c r="D1397" s="53"/>
      <x:c r="E1397" s="53"/>
      <x:c r="F1397" s="53"/>
      <x:c r="G1397" s="53"/>
      <x:c r="H1397" s="53"/>
      <x:c r="I1397" s="53"/>
      <x:c r="J1397" s="53"/>
      <x:c r="K1397" s="53"/>
      <x:c r="L1397" s="53"/>
      <x:c r="M1397" s="53"/>
      <x:c r="N1397" s="53"/>
      <x:c r="O1397" s="53"/>
      <x:c r="P1397" s="53"/>
      <x:c r="Q1397" s="53"/>
      <x:c r="R1397" s="53"/>
      <x:c r="S1397" s="53"/>
      <x:c r="T1397" s="53"/>
      <x:c r="U1397" s="53"/>
      <x:c r="V1397" s="53"/>
      <x:c r="W1397" s="53"/>
      <x:c r="X1397" s="53"/>
      <x:c r="Y1397" s="53"/>
      <x:c r="Z1397" s="53"/>
      <x:c r="AA1397" s="53"/>
      <x:c r="AB1397" s="53"/>
      <x:c r="AC1397" s="53"/>
      <x:c r="AD1397" s="53"/>
      <x:c r="AE1397" s="53"/>
      <x:c r="AF1397" s="53"/>
    </x:row>
    <x:row r="1398">
      <x:c r="A1398" s="53"/>
      <x:c r="B1398" s="53"/>
      <x:c r="C1398" s="53"/>
      <x:c r="D1398" s="53"/>
      <x:c r="E1398" s="53"/>
      <x:c r="F1398" s="53"/>
      <x:c r="G1398" s="53"/>
      <x:c r="H1398" s="53"/>
      <x:c r="I1398" s="53"/>
      <x:c r="J1398" s="53"/>
      <x:c r="K1398" s="53"/>
      <x:c r="L1398" s="53"/>
      <x:c r="M1398" s="53"/>
      <x:c r="N1398" s="53"/>
      <x:c r="O1398" s="53"/>
      <x:c r="P1398" s="53"/>
      <x:c r="Q1398" s="53"/>
      <x:c r="R1398" s="53"/>
      <x:c r="S1398" s="53"/>
      <x:c r="T1398" s="53"/>
      <x:c r="U1398" s="53"/>
      <x:c r="V1398" s="53"/>
      <x:c r="W1398" s="53"/>
      <x:c r="X1398" s="53"/>
      <x:c r="Y1398" s="53"/>
      <x:c r="Z1398" s="53"/>
      <x:c r="AA1398" s="53"/>
      <x:c r="AB1398" s="53"/>
      <x:c r="AC1398" s="53"/>
      <x:c r="AD1398" s="53"/>
      <x:c r="AE1398" s="53"/>
      <x:c r="AF1398" s="53"/>
    </x:row>
    <x:row r="1399">
      <x:c r="A1399" s="53"/>
      <x:c r="B1399" s="53"/>
      <x:c r="C1399" s="53"/>
      <x:c r="D1399" s="53"/>
      <x:c r="E1399" s="53"/>
      <x:c r="F1399" s="53"/>
      <x:c r="G1399" s="53"/>
      <x:c r="H1399" s="53"/>
      <x:c r="I1399" s="53"/>
      <x:c r="J1399" s="53"/>
      <x:c r="K1399" s="53"/>
      <x:c r="L1399" s="53"/>
      <x:c r="M1399" s="53"/>
      <x:c r="N1399" s="53"/>
      <x:c r="O1399" s="53"/>
      <x:c r="P1399" s="53"/>
      <x:c r="Q1399" s="53"/>
      <x:c r="R1399" s="53"/>
      <x:c r="S1399" s="53"/>
      <x:c r="T1399" s="53"/>
      <x:c r="U1399" s="53"/>
      <x:c r="V1399" s="53"/>
      <x:c r="W1399" s="53"/>
      <x:c r="X1399" s="53"/>
      <x:c r="Y1399" s="53"/>
      <x:c r="Z1399" s="53"/>
      <x:c r="AA1399" s="53"/>
      <x:c r="AB1399" s="53"/>
      <x:c r="AC1399" s="53"/>
      <x:c r="AD1399" s="53"/>
      <x:c r="AE1399" s="53"/>
      <x:c r="AF1399" s="53"/>
    </x:row>
    <x:row r="1400">
      <x:c r="A1400" s="53"/>
      <x:c r="B1400" s="53"/>
      <x:c r="C1400" s="53"/>
      <x:c r="D1400" s="53"/>
      <x:c r="E1400" s="53"/>
      <x:c r="F1400" s="53"/>
      <x:c r="G1400" s="53"/>
      <x:c r="H1400" s="53"/>
      <x:c r="I1400" s="53"/>
      <x:c r="J1400" s="53"/>
      <x:c r="K1400" s="53"/>
      <x:c r="L1400" s="53"/>
      <x:c r="M1400" s="53"/>
      <x:c r="N1400" s="53"/>
      <x:c r="O1400" s="53"/>
      <x:c r="P1400" s="53"/>
      <x:c r="Q1400" s="53"/>
      <x:c r="R1400" s="53"/>
      <x:c r="S1400" s="53"/>
      <x:c r="T1400" s="53"/>
      <x:c r="U1400" s="53"/>
      <x:c r="V1400" s="53"/>
      <x:c r="W1400" s="53"/>
      <x:c r="X1400" s="53"/>
      <x:c r="Y1400" s="53"/>
      <x:c r="Z1400" s="53"/>
      <x:c r="AA1400" s="53"/>
      <x:c r="AB1400" s="53"/>
      <x:c r="AC1400" s="53"/>
      <x:c r="AD1400" s="53"/>
      <x:c r="AE1400" s="53"/>
      <x:c r="AF1400" s="53"/>
    </x:row>
    <x:row r="1401">
      <x:c r="A1401" s="53"/>
      <x:c r="B1401" s="53"/>
      <x:c r="C1401" s="53"/>
      <x:c r="D1401" s="53"/>
      <x:c r="E1401" s="53"/>
      <x:c r="F1401" s="53"/>
      <x:c r="G1401" s="53"/>
      <x:c r="H1401" s="53"/>
      <x:c r="I1401" s="53"/>
      <x:c r="J1401" s="53"/>
      <x:c r="K1401" s="53"/>
      <x:c r="L1401" s="53"/>
      <x:c r="M1401" s="53"/>
      <x:c r="N1401" s="53"/>
      <x:c r="O1401" s="53"/>
      <x:c r="P1401" s="53"/>
      <x:c r="Q1401" s="53"/>
      <x:c r="R1401" s="53"/>
      <x:c r="S1401" s="53"/>
      <x:c r="T1401" s="53"/>
      <x:c r="U1401" s="53"/>
      <x:c r="V1401" s="53"/>
      <x:c r="W1401" s="53"/>
      <x:c r="X1401" s="53"/>
      <x:c r="Y1401" s="53"/>
      <x:c r="Z1401" s="53"/>
      <x:c r="AA1401" s="53"/>
      <x:c r="AB1401" s="53"/>
      <x:c r="AC1401" s="53"/>
      <x:c r="AD1401" s="53"/>
      <x:c r="AE1401" s="53"/>
      <x:c r="AF1401" s="53"/>
    </x:row>
    <x:row r="1402">
      <x:c r="A1402" s="53"/>
      <x:c r="B1402" s="53"/>
      <x:c r="C1402" s="53"/>
      <x:c r="D1402" s="53"/>
      <x:c r="E1402" s="53"/>
      <x:c r="F1402" s="53"/>
      <x:c r="G1402" s="53"/>
      <x:c r="H1402" s="53"/>
      <x:c r="I1402" s="53"/>
      <x:c r="J1402" s="53"/>
      <x:c r="K1402" s="53"/>
      <x:c r="L1402" s="53"/>
      <x:c r="M1402" s="53"/>
      <x:c r="N1402" s="53"/>
      <x:c r="O1402" s="53"/>
      <x:c r="P1402" s="53"/>
      <x:c r="Q1402" s="53"/>
      <x:c r="R1402" s="53"/>
      <x:c r="S1402" s="53"/>
      <x:c r="T1402" s="53"/>
      <x:c r="U1402" s="53"/>
      <x:c r="V1402" s="53"/>
      <x:c r="W1402" s="53"/>
      <x:c r="X1402" s="53"/>
      <x:c r="Y1402" s="53"/>
      <x:c r="Z1402" s="53"/>
      <x:c r="AA1402" s="53"/>
      <x:c r="AB1402" s="53"/>
      <x:c r="AC1402" s="53"/>
      <x:c r="AD1402" s="53"/>
      <x:c r="AE1402" s="53"/>
      <x:c r="AF1402" s="53"/>
    </x:row>
    <x:row r="1403">
      <x:c r="A1403" s="53"/>
      <x:c r="B1403" s="53"/>
      <x:c r="C1403" s="53"/>
      <x:c r="D1403" s="53"/>
      <x:c r="E1403" s="53"/>
      <x:c r="F1403" s="53"/>
      <x:c r="G1403" s="53"/>
      <x:c r="H1403" s="53"/>
      <x:c r="I1403" s="53"/>
      <x:c r="J1403" s="53"/>
      <x:c r="K1403" s="53"/>
      <x:c r="L1403" s="53"/>
      <x:c r="M1403" s="53"/>
      <x:c r="N1403" s="53"/>
      <x:c r="O1403" s="53"/>
      <x:c r="P1403" s="53"/>
      <x:c r="Q1403" s="53"/>
      <x:c r="R1403" s="53"/>
      <x:c r="S1403" s="53"/>
      <x:c r="T1403" s="53"/>
      <x:c r="U1403" s="53"/>
      <x:c r="V1403" s="53"/>
      <x:c r="W1403" s="53"/>
      <x:c r="X1403" s="53"/>
      <x:c r="Y1403" s="53"/>
      <x:c r="Z1403" s="53"/>
      <x:c r="AA1403" s="53"/>
      <x:c r="AB1403" s="53"/>
      <x:c r="AC1403" s="53"/>
      <x:c r="AD1403" s="53"/>
      <x:c r="AE1403" s="53"/>
      <x:c r="AF1403" s="53"/>
    </x:row>
    <x:row r="1404">
      <x:c r="A1404" s="53"/>
      <x:c r="B1404" s="53"/>
      <x:c r="C1404" s="53"/>
      <x:c r="D1404" s="53"/>
      <x:c r="E1404" s="53"/>
      <x:c r="F1404" s="53"/>
      <x:c r="G1404" s="53"/>
      <x:c r="H1404" s="53"/>
      <x:c r="I1404" s="53"/>
      <x:c r="J1404" s="53"/>
      <x:c r="K1404" s="53"/>
      <x:c r="L1404" s="53"/>
      <x:c r="M1404" s="53"/>
      <x:c r="N1404" s="53"/>
      <x:c r="O1404" s="53"/>
      <x:c r="P1404" s="53"/>
      <x:c r="Q1404" s="53"/>
      <x:c r="R1404" s="53"/>
      <x:c r="S1404" s="53"/>
      <x:c r="T1404" s="53"/>
      <x:c r="U1404" s="53"/>
      <x:c r="V1404" s="53"/>
      <x:c r="W1404" s="53"/>
      <x:c r="X1404" s="53"/>
      <x:c r="Y1404" s="53"/>
      <x:c r="Z1404" s="53"/>
      <x:c r="AA1404" s="53"/>
      <x:c r="AB1404" s="53"/>
      <x:c r="AC1404" s="53"/>
      <x:c r="AD1404" s="53"/>
      <x:c r="AE1404" s="53"/>
      <x:c r="AF1404" s="53"/>
    </x:row>
    <x:row r="1405">
      <x:c r="A1405" s="53"/>
      <x:c r="B1405" s="53"/>
      <x:c r="C1405" s="53"/>
      <x:c r="D1405" s="53"/>
      <x:c r="E1405" s="53"/>
      <x:c r="F1405" s="53"/>
      <x:c r="G1405" s="53"/>
      <x:c r="H1405" s="53"/>
      <x:c r="I1405" s="53"/>
      <x:c r="J1405" s="53"/>
      <x:c r="K1405" s="53"/>
      <x:c r="L1405" s="53"/>
      <x:c r="M1405" s="53"/>
      <x:c r="N1405" s="53"/>
      <x:c r="O1405" s="53"/>
      <x:c r="P1405" s="53"/>
      <x:c r="Q1405" s="53"/>
      <x:c r="R1405" s="53"/>
      <x:c r="S1405" s="53"/>
      <x:c r="T1405" s="53"/>
      <x:c r="U1405" s="53"/>
      <x:c r="V1405" s="53"/>
      <x:c r="W1405" s="53"/>
      <x:c r="X1405" s="53"/>
      <x:c r="Y1405" s="53"/>
      <x:c r="Z1405" s="53"/>
      <x:c r="AA1405" s="53"/>
      <x:c r="AB1405" s="53"/>
      <x:c r="AC1405" s="53"/>
      <x:c r="AD1405" s="53"/>
      <x:c r="AE1405" s="53"/>
      <x:c r="AF1405" s="53"/>
    </x:row>
    <x:row r="1406">
      <x:c r="A1406" s="53"/>
      <x:c r="B1406" s="53"/>
      <x:c r="C1406" s="53"/>
      <x:c r="D1406" s="53"/>
      <x:c r="E1406" s="53"/>
      <x:c r="F1406" s="53"/>
      <x:c r="G1406" s="53"/>
      <x:c r="H1406" s="53"/>
      <x:c r="I1406" s="53"/>
      <x:c r="J1406" s="53"/>
      <x:c r="K1406" s="53"/>
      <x:c r="L1406" s="53"/>
      <x:c r="M1406" s="53"/>
      <x:c r="N1406" s="53"/>
      <x:c r="O1406" s="53"/>
      <x:c r="P1406" s="53"/>
      <x:c r="Q1406" s="53"/>
      <x:c r="R1406" s="53"/>
      <x:c r="S1406" s="53"/>
      <x:c r="T1406" s="53"/>
      <x:c r="U1406" s="53"/>
      <x:c r="V1406" s="53"/>
      <x:c r="W1406" s="53"/>
      <x:c r="X1406" s="53"/>
      <x:c r="Y1406" s="53"/>
      <x:c r="Z1406" s="53"/>
      <x:c r="AA1406" s="53"/>
      <x:c r="AB1406" s="53"/>
      <x:c r="AC1406" s="53"/>
      <x:c r="AD1406" s="53"/>
      <x:c r="AE1406" s="53"/>
      <x:c r="AF1406" s="53"/>
    </x:row>
    <x:row r="1407">
      <x:c r="A1407" s="53"/>
      <x:c r="B1407" s="53"/>
      <x:c r="C1407" s="53"/>
      <x:c r="D1407" s="53"/>
      <x:c r="E1407" s="53"/>
      <x:c r="F1407" s="53"/>
      <x:c r="G1407" s="53"/>
      <x:c r="H1407" s="53"/>
      <x:c r="I1407" s="53"/>
      <x:c r="J1407" s="53"/>
      <x:c r="K1407" s="53"/>
      <x:c r="L1407" s="53"/>
      <x:c r="M1407" s="53"/>
      <x:c r="N1407" s="53"/>
      <x:c r="O1407" s="53"/>
      <x:c r="P1407" s="53"/>
      <x:c r="Q1407" s="53"/>
      <x:c r="R1407" s="53"/>
      <x:c r="S1407" s="53"/>
      <x:c r="T1407" s="53"/>
      <x:c r="U1407" s="53"/>
      <x:c r="V1407" s="53"/>
      <x:c r="W1407" s="53"/>
      <x:c r="X1407" s="53"/>
      <x:c r="Y1407" s="53"/>
      <x:c r="Z1407" s="53"/>
      <x:c r="AA1407" s="53"/>
      <x:c r="AB1407" s="53"/>
      <x:c r="AC1407" s="53"/>
      <x:c r="AD1407" s="53"/>
      <x:c r="AE1407" s="53"/>
      <x:c r="AF1407" s="53"/>
    </x:row>
    <x:row r="1408">
      <x:c r="A1408" s="53"/>
      <x:c r="B1408" s="53"/>
      <x:c r="C1408" s="53"/>
      <x:c r="D1408" s="53"/>
      <x:c r="E1408" s="53"/>
      <x:c r="F1408" s="53"/>
      <x:c r="G1408" s="53"/>
      <x:c r="H1408" s="53"/>
      <x:c r="I1408" s="53"/>
      <x:c r="J1408" s="53"/>
      <x:c r="K1408" s="53"/>
      <x:c r="L1408" s="53"/>
      <x:c r="M1408" s="53"/>
      <x:c r="N1408" s="53"/>
      <x:c r="O1408" s="53"/>
      <x:c r="P1408" s="53"/>
      <x:c r="Q1408" s="53"/>
      <x:c r="R1408" s="53"/>
      <x:c r="S1408" s="53"/>
      <x:c r="T1408" s="53"/>
      <x:c r="U1408" s="53"/>
      <x:c r="V1408" s="53"/>
      <x:c r="W1408" s="53"/>
      <x:c r="X1408" s="53"/>
      <x:c r="Y1408" s="53"/>
      <x:c r="Z1408" s="53"/>
      <x:c r="AA1408" s="53"/>
      <x:c r="AB1408" s="53"/>
      <x:c r="AC1408" s="53"/>
      <x:c r="AD1408" s="53"/>
      <x:c r="AE1408" s="53"/>
      <x:c r="AF1408" s="53"/>
    </x:row>
    <x:row r="1409">
      <x:c r="A1409" s="53"/>
      <x:c r="B1409" s="53"/>
      <x:c r="C1409" s="53"/>
      <x:c r="D1409" s="53"/>
      <x:c r="E1409" s="53"/>
      <x:c r="F1409" s="53"/>
      <x:c r="G1409" s="53"/>
      <x:c r="H1409" s="53"/>
      <x:c r="I1409" s="53"/>
      <x:c r="J1409" s="53"/>
      <x:c r="K1409" s="53"/>
      <x:c r="L1409" s="53"/>
      <x:c r="M1409" s="53"/>
      <x:c r="N1409" s="53"/>
      <x:c r="O1409" s="53"/>
      <x:c r="P1409" s="53"/>
      <x:c r="Q1409" s="53"/>
      <x:c r="R1409" s="53"/>
      <x:c r="S1409" s="53"/>
      <x:c r="T1409" s="53"/>
      <x:c r="U1409" s="53"/>
      <x:c r="V1409" s="53"/>
      <x:c r="W1409" s="53"/>
      <x:c r="X1409" s="53"/>
      <x:c r="Y1409" s="53"/>
      <x:c r="Z1409" s="53"/>
      <x:c r="AA1409" s="53"/>
      <x:c r="AB1409" s="53"/>
      <x:c r="AC1409" s="53"/>
      <x:c r="AD1409" s="53"/>
      <x:c r="AE1409" s="53"/>
      <x:c r="AF1409" s="53"/>
    </x:row>
    <x:row r="1410">
      <x:c r="A1410" s="53"/>
      <x:c r="B1410" s="53"/>
      <x:c r="C1410" s="53"/>
      <x:c r="D1410" s="53"/>
      <x:c r="E1410" s="53"/>
      <x:c r="F1410" s="53"/>
      <x:c r="G1410" s="53"/>
      <x:c r="H1410" s="53"/>
      <x:c r="I1410" s="53"/>
      <x:c r="J1410" s="53"/>
      <x:c r="K1410" s="53"/>
      <x:c r="L1410" s="53"/>
      <x:c r="M1410" s="53"/>
      <x:c r="N1410" s="53"/>
      <x:c r="O1410" s="53"/>
      <x:c r="P1410" s="53"/>
      <x:c r="Q1410" s="53"/>
      <x:c r="R1410" s="53"/>
      <x:c r="S1410" s="53"/>
      <x:c r="T1410" s="53"/>
      <x:c r="U1410" s="53"/>
      <x:c r="V1410" s="53"/>
      <x:c r="W1410" s="53"/>
      <x:c r="X1410" s="53"/>
      <x:c r="Y1410" s="53"/>
      <x:c r="Z1410" s="53"/>
      <x:c r="AA1410" s="53"/>
      <x:c r="AB1410" s="53"/>
      <x:c r="AC1410" s="53"/>
      <x:c r="AD1410" s="53"/>
      <x:c r="AE1410" s="53"/>
      <x:c r="AF1410" s="53"/>
    </x:row>
    <x:row r="1411">
      <x:c r="A1411" s="53"/>
      <x:c r="B1411" s="53"/>
      <x:c r="C1411" s="53"/>
      <x:c r="D1411" s="53"/>
      <x:c r="E1411" s="53"/>
      <x:c r="F1411" s="53"/>
      <x:c r="G1411" s="53"/>
      <x:c r="H1411" s="53"/>
      <x:c r="I1411" s="53"/>
      <x:c r="J1411" s="53"/>
      <x:c r="K1411" s="53"/>
      <x:c r="L1411" s="53"/>
      <x:c r="M1411" s="53"/>
      <x:c r="N1411" s="53"/>
      <x:c r="O1411" s="53"/>
      <x:c r="P1411" s="53"/>
      <x:c r="Q1411" s="53"/>
      <x:c r="R1411" s="53"/>
      <x:c r="S1411" s="53"/>
      <x:c r="T1411" s="53"/>
      <x:c r="U1411" s="53"/>
      <x:c r="V1411" s="53"/>
      <x:c r="W1411" s="53"/>
      <x:c r="X1411" s="53"/>
      <x:c r="Y1411" s="53"/>
      <x:c r="Z1411" s="53"/>
      <x:c r="AA1411" s="53"/>
      <x:c r="AB1411" s="53"/>
      <x:c r="AC1411" s="53"/>
      <x:c r="AD1411" s="53"/>
      <x:c r="AE1411" s="53"/>
      <x:c r="AF1411" s="53"/>
    </x:row>
    <x:row r="1412">
      <x:c r="A1412" s="53"/>
      <x:c r="B1412" s="53"/>
      <x:c r="C1412" s="53"/>
      <x:c r="D1412" s="53"/>
      <x:c r="E1412" s="53"/>
      <x:c r="F1412" s="53"/>
      <x:c r="G1412" s="53"/>
      <x:c r="H1412" s="53"/>
      <x:c r="I1412" s="53"/>
      <x:c r="J1412" s="53"/>
      <x:c r="K1412" s="53"/>
      <x:c r="L1412" s="53"/>
      <x:c r="M1412" s="53"/>
      <x:c r="N1412" s="53"/>
      <x:c r="O1412" s="53"/>
      <x:c r="P1412" s="53"/>
      <x:c r="Q1412" s="53"/>
      <x:c r="R1412" s="53"/>
      <x:c r="S1412" s="53"/>
      <x:c r="T1412" s="53"/>
      <x:c r="U1412" s="53"/>
      <x:c r="V1412" s="53"/>
      <x:c r="W1412" s="53"/>
      <x:c r="X1412" s="53"/>
      <x:c r="Y1412" s="53"/>
      <x:c r="Z1412" s="53"/>
      <x:c r="AA1412" s="53"/>
      <x:c r="AB1412" s="53"/>
      <x:c r="AC1412" s="53"/>
      <x:c r="AD1412" s="53"/>
      <x:c r="AE1412" s="53"/>
      <x:c r="AF1412" s="53"/>
    </x:row>
    <x:row r="1413">
      <x:c r="A1413" s="53"/>
      <x:c r="B1413" s="53"/>
      <x:c r="C1413" s="53"/>
      <x:c r="D1413" s="53"/>
      <x:c r="E1413" s="53"/>
      <x:c r="F1413" s="53"/>
      <x:c r="G1413" s="53"/>
      <x:c r="H1413" s="53"/>
      <x:c r="I1413" s="53"/>
      <x:c r="J1413" s="53"/>
      <x:c r="K1413" s="53"/>
      <x:c r="L1413" s="53"/>
      <x:c r="M1413" s="53"/>
      <x:c r="N1413" s="53"/>
      <x:c r="O1413" s="53"/>
      <x:c r="P1413" s="53"/>
      <x:c r="Q1413" s="53"/>
      <x:c r="R1413" s="53"/>
      <x:c r="S1413" s="53"/>
      <x:c r="T1413" s="53"/>
      <x:c r="U1413" s="53"/>
      <x:c r="V1413" s="53"/>
      <x:c r="W1413" s="53"/>
      <x:c r="X1413" s="53"/>
      <x:c r="Y1413" s="53"/>
      <x:c r="Z1413" s="53"/>
      <x:c r="AA1413" s="53"/>
      <x:c r="AB1413" s="53"/>
      <x:c r="AC1413" s="53"/>
      <x:c r="AD1413" s="53"/>
      <x:c r="AE1413" s="53"/>
      <x:c r="AF1413" s="53"/>
    </x:row>
    <x:row r="1414">
      <x:c r="A1414" s="53"/>
      <x:c r="B1414" s="53"/>
      <x:c r="C1414" s="53"/>
      <x:c r="D1414" s="53"/>
      <x:c r="E1414" s="53"/>
      <x:c r="F1414" s="53"/>
      <x:c r="G1414" s="53"/>
      <x:c r="H1414" s="53"/>
      <x:c r="I1414" s="53"/>
      <x:c r="J1414" s="53"/>
      <x:c r="K1414" s="53"/>
      <x:c r="L1414" s="53"/>
      <x:c r="M1414" s="53"/>
      <x:c r="N1414" s="53"/>
      <x:c r="O1414" s="53"/>
      <x:c r="P1414" s="53"/>
      <x:c r="Q1414" s="53"/>
      <x:c r="R1414" s="53"/>
      <x:c r="S1414" s="53"/>
      <x:c r="T1414" s="53"/>
      <x:c r="U1414" s="53"/>
      <x:c r="V1414" s="53"/>
      <x:c r="W1414" s="53"/>
      <x:c r="X1414" s="53"/>
      <x:c r="Y1414" s="53"/>
      <x:c r="Z1414" s="53"/>
      <x:c r="AA1414" s="53"/>
      <x:c r="AB1414" s="53"/>
      <x:c r="AC1414" s="53"/>
      <x:c r="AD1414" s="53"/>
      <x:c r="AE1414" s="53"/>
      <x:c r="AF1414" s="53"/>
    </x:row>
    <x:row r="1415">
      <x:c r="A1415" s="53"/>
      <x:c r="B1415" s="53"/>
      <x:c r="C1415" s="53"/>
      <x:c r="D1415" s="53"/>
      <x:c r="E1415" s="53"/>
      <x:c r="F1415" s="53"/>
      <x:c r="G1415" s="53"/>
      <x:c r="H1415" s="53"/>
      <x:c r="I1415" s="53"/>
      <x:c r="J1415" s="53"/>
      <x:c r="K1415" s="53"/>
      <x:c r="L1415" s="53"/>
      <x:c r="M1415" s="53"/>
      <x:c r="N1415" s="53"/>
      <x:c r="O1415" s="53"/>
      <x:c r="P1415" s="53"/>
      <x:c r="Q1415" s="53"/>
      <x:c r="R1415" s="53"/>
      <x:c r="S1415" s="53"/>
      <x:c r="T1415" s="53"/>
      <x:c r="U1415" s="53"/>
      <x:c r="V1415" s="53"/>
      <x:c r="W1415" s="53"/>
      <x:c r="X1415" s="53"/>
      <x:c r="Y1415" s="53"/>
      <x:c r="Z1415" s="53"/>
      <x:c r="AA1415" s="53"/>
      <x:c r="AB1415" s="53"/>
      <x:c r="AC1415" s="53"/>
      <x:c r="AD1415" s="53"/>
      <x:c r="AE1415" s="53"/>
      <x:c r="AF1415" s="53"/>
    </x:row>
    <x:row r="1416">
      <x:c r="A1416" s="53"/>
      <x:c r="B1416" s="53"/>
      <x:c r="C1416" s="53"/>
      <x:c r="D1416" s="53"/>
      <x:c r="E1416" s="53"/>
      <x:c r="F1416" s="53"/>
      <x:c r="G1416" s="53"/>
      <x:c r="H1416" s="53"/>
      <x:c r="I1416" s="53"/>
      <x:c r="J1416" s="53"/>
      <x:c r="K1416" s="53"/>
      <x:c r="L1416" s="53"/>
      <x:c r="M1416" s="53"/>
      <x:c r="N1416" s="53"/>
      <x:c r="O1416" s="53"/>
      <x:c r="P1416" s="53"/>
      <x:c r="Q1416" s="53"/>
      <x:c r="R1416" s="53"/>
      <x:c r="S1416" s="53"/>
      <x:c r="T1416" s="53"/>
      <x:c r="U1416" s="53"/>
      <x:c r="V1416" s="53"/>
      <x:c r="W1416" s="53"/>
      <x:c r="X1416" s="53"/>
      <x:c r="Y1416" s="53"/>
      <x:c r="Z1416" s="53"/>
      <x:c r="AA1416" s="53"/>
      <x:c r="AB1416" s="53"/>
      <x:c r="AC1416" s="53"/>
      <x:c r="AD1416" s="53"/>
      <x:c r="AE1416" s="53"/>
      <x:c r="AF1416" s="53"/>
    </x:row>
    <x:row r="1417">
      <x:c r="A1417" s="53"/>
      <x:c r="B1417" s="53"/>
      <x:c r="C1417" s="53"/>
      <x:c r="D1417" s="53"/>
      <x:c r="E1417" s="53"/>
      <x:c r="F1417" s="53"/>
      <x:c r="G1417" s="53"/>
      <x:c r="H1417" s="53"/>
      <x:c r="I1417" s="53"/>
      <x:c r="J1417" s="53"/>
      <x:c r="K1417" s="53"/>
      <x:c r="L1417" s="53"/>
      <x:c r="M1417" s="53"/>
      <x:c r="N1417" s="53"/>
      <x:c r="O1417" s="53"/>
      <x:c r="P1417" s="53"/>
      <x:c r="Q1417" s="53"/>
      <x:c r="R1417" s="53"/>
      <x:c r="S1417" s="53"/>
      <x:c r="T1417" s="53"/>
      <x:c r="U1417" s="53"/>
      <x:c r="V1417" s="53"/>
      <x:c r="W1417" s="53"/>
      <x:c r="X1417" s="53"/>
      <x:c r="Y1417" s="53"/>
      <x:c r="Z1417" s="53"/>
      <x:c r="AA1417" s="53"/>
      <x:c r="AB1417" s="53"/>
      <x:c r="AC1417" s="53"/>
      <x:c r="AD1417" s="53"/>
      <x:c r="AE1417" s="53"/>
      <x:c r="AF1417" s="53"/>
    </x:row>
    <x:row r="1418">
      <x:c r="A1418" s="53"/>
      <x:c r="B1418" s="53"/>
      <x:c r="C1418" s="53"/>
      <x:c r="D1418" s="53"/>
      <x:c r="E1418" s="53"/>
      <x:c r="F1418" s="53"/>
      <x:c r="G1418" s="53"/>
      <x:c r="H1418" s="53"/>
      <x:c r="I1418" s="53"/>
      <x:c r="J1418" s="53"/>
      <x:c r="K1418" s="53"/>
      <x:c r="L1418" s="53"/>
      <x:c r="M1418" s="53"/>
      <x:c r="N1418" s="53"/>
      <x:c r="O1418" s="53"/>
      <x:c r="P1418" s="53"/>
      <x:c r="Q1418" s="53"/>
      <x:c r="R1418" s="53"/>
      <x:c r="S1418" s="53"/>
      <x:c r="T1418" s="53"/>
      <x:c r="U1418" s="53"/>
      <x:c r="V1418" s="53"/>
      <x:c r="W1418" s="53"/>
      <x:c r="X1418" s="53"/>
      <x:c r="Y1418" s="53"/>
      <x:c r="Z1418" s="53"/>
      <x:c r="AA1418" s="53"/>
      <x:c r="AB1418" s="53"/>
      <x:c r="AC1418" s="53"/>
      <x:c r="AD1418" s="53"/>
      <x:c r="AE1418" s="53"/>
      <x:c r="AF1418" s="53"/>
    </x:row>
    <x:row r="1419">
      <x:c r="A1419" s="53"/>
      <x:c r="B1419" s="53"/>
      <x:c r="C1419" s="53"/>
      <x:c r="D1419" s="53"/>
      <x:c r="E1419" s="53"/>
      <x:c r="F1419" s="53"/>
      <x:c r="G1419" s="53"/>
      <x:c r="H1419" s="53"/>
      <x:c r="I1419" s="53"/>
      <x:c r="J1419" s="53"/>
      <x:c r="K1419" s="53"/>
      <x:c r="L1419" s="53"/>
      <x:c r="M1419" s="53"/>
      <x:c r="N1419" s="53"/>
      <x:c r="O1419" s="53"/>
      <x:c r="P1419" s="53"/>
      <x:c r="Q1419" s="53"/>
      <x:c r="R1419" s="53"/>
      <x:c r="S1419" s="53"/>
      <x:c r="T1419" s="53"/>
      <x:c r="U1419" s="53"/>
      <x:c r="V1419" s="53"/>
      <x:c r="W1419" s="53"/>
      <x:c r="X1419" s="53"/>
      <x:c r="Y1419" s="53"/>
      <x:c r="Z1419" s="53"/>
      <x:c r="AA1419" s="53"/>
      <x:c r="AB1419" s="53"/>
      <x:c r="AC1419" s="53"/>
      <x:c r="AD1419" s="53"/>
      <x:c r="AE1419" s="53"/>
      <x:c r="AF1419" s="53"/>
    </x:row>
    <x:row r="1420">
      <x:c r="A1420" s="53"/>
      <x:c r="B1420" s="53"/>
      <x:c r="C1420" s="53"/>
      <x:c r="D1420" s="53"/>
      <x:c r="E1420" s="53"/>
      <x:c r="F1420" s="53"/>
      <x:c r="G1420" s="53"/>
      <x:c r="H1420" s="53"/>
      <x:c r="I1420" s="53"/>
      <x:c r="J1420" s="53"/>
      <x:c r="K1420" s="53"/>
      <x:c r="L1420" s="53"/>
      <x:c r="M1420" s="53"/>
      <x:c r="N1420" s="53"/>
      <x:c r="O1420" s="53"/>
      <x:c r="P1420" s="53"/>
      <x:c r="Q1420" s="53"/>
      <x:c r="R1420" s="53"/>
      <x:c r="S1420" s="53"/>
      <x:c r="T1420" s="53"/>
      <x:c r="U1420" s="53"/>
      <x:c r="V1420" s="53"/>
      <x:c r="W1420" s="53"/>
      <x:c r="X1420" s="53"/>
      <x:c r="Y1420" s="53"/>
      <x:c r="Z1420" s="53"/>
      <x:c r="AA1420" s="53"/>
      <x:c r="AB1420" s="53"/>
      <x:c r="AC1420" s="53"/>
      <x:c r="AD1420" s="53"/>
      <x:c r="AE1420" s="53"/>
      <x:c r="AF1420" s="53"/>
    </x:row>
    <x:row r="1421">
      <x:c r="A1421" s="53"/>
      <x:c r="B1421" s="53"/>
      <x:c r="C1421" s="53"/>
      <x:c r="D1421" s="53"/>
      <x:c r="E1421" s="53"/>
      <x:c r="F1421" s="53"/>
      <x:c r="G1421" s="53"/>
      <x:c r="H1421" s="53"/>
      <x:c r="I1421" s="53"/>
      <x:c r="J1421" s="53"/>
      <x:c r="K1421" s="53"/>
      <x:c r="L1421" s="53"/>
      <x:c r="M1421" s="53"/>
      <x:c r="N1421" s="53"/>
      <x:c r="O1421" s="53"/>
      <x:c r="P1421" s="53"/>
      <x:c r="Q1421" s="53"/>
      <x:c r="R1421" s="53"/>
      <x:c r="S1421" s="53"/>
      <x:c r="T1421" s="53"/>
      <x:c r="U1421" s="53"/>
      <x:c r="V1421" s="53"/>
      <x:c r="W1421" s="53"/>
      <x:c r="X1421" s="53"/>
      <x:c r="Y1421" s="53"/>
      <x:c r="Z1421" s="53"/>
      <x:c r="AA1421" s="53"/>
      <x:c r="AB1421" s="53"/>
      <x:c r="AC1421" s="53"/>
      <x:c r="AD1421" s="53"/>
      <x:c r="AE1421" s="53"/>
      <x:c r="AF1421" s="53"/>
    </x:row>
    <x:row r="1422">
      <x:c r="A1422" s="53"/>
      <x:c r="B1422" s="53"/>
      <x:c r="C1422" s="53"/>
      <x:c r="D1422" s="53"/>
      <x:c r="E1422" s="53"/>
      <x:c r="F1422" s="53"/>
      <x:c r="G1422" s="53"/>
      <x:c r="H1422" s="53"/>
      <x:c r="I1422" s="53"/>
      <x:c r="J1422" s="53"/>
      <x:c r="K1422" s="53"/>
      <x:c r="L1422" s="53"/>
      <x:c r="M1422" s="53"/>
      <x:c r="N1422" s="53"/>
      <x:c r="O1422" s="53"/>
      <x:c r="P1422" s="53"/>
      <x:c r="Q1422" s="53"/>
      <x:c r="R1422" s="53"/>
      <x:c r="S1422" s="53"/>
      <x:c r="T1422" s="53"/>
      <x:c r="U1422" s="53"/>
      <x:c r="V1422" s="53"/>
      <x:c r="W1422" s="53"/>
      <x:c r="X1422" s="53"/>
      <x:c r="Y1422" s="53"/>
      <x:c r="Z1422" s="53"/>
      <x:c r="AA1422" s="53"/>
      <x:c r="AB1422" s="53"/>
      <x:c r="AC1422" s="53"/>
      <x:c r="AD1422" s="53"/>
      <x:c r="AE1422" s="53"/>
      <x:c r="AF1422" s="53"/>
    </x:row>
    <x:row r="1423">
      <x:c r="A1423" s="53"/>
      <x:c r="B1423" s="53"/>
      <x:c r="C1423" s="53"/>
      <x:c r="D1423" s="53"/>
      <x:c r="E1423" s="53"/>
      <x:c r="F1423" s="53"/>
      <x:c r="G1423" s="53"/>
      <x:c r="H1423" s="53"/>
      <x:c r="I1423" s="53"/>
      <x:c r="J1423" s="53"/>
      <x:c r="K1423" s="53"/>
      <x:c r="L1423" s="53"/>
      <x:c r="M1423" s="53"/>
      <x:c r="N1423" s="53"/>
      <x:c r="O1423" s="53"/>
      <x:c r="P1423" s="53"/>
      <x:c r="Q1423" s="53"/>
      <x:c r="R1423" s="53"/>
      <x:c r="S1423" s="53"/>
      <x:c r="T1423" s="53"/>
      <x:c r="U1423" s="53"/>
      <x:c r="V1423" s="53"/>
      <x:c r="W1423" s="53"/>
      <x:c r="X1423" s="53"/>
      <x:c r="Y1423" s="53"/>
      <x:c r="Z1423" s="53"/>
      <x:c r="AA1423" s="53"/>
      <x:c r="AB1423" s="53"/>
      <x:c r="AC1423" s="53"/>
      <x:c r="AD1423" s="53"/>
      <x:c r="AE1423" s="53"/>
      <x:c r="AF1423" s="53"/>
    </x:row>
    <x:row r="1424">
      <x:c r="A1424" s="53"/>
      <x:c r="B1424" s="53"/>
      <x:c r="C1424" s="53"/>
      <x:c r="D1424" s="53"/>
      <x:c r="E1424" s="53"/>
      <x:c r="F1424" s="53"/>
      <x:c r="G1424" s="53"/>
      <x:c r="H1424" s="53"/>
      <x:c r="I1424" s="53"/>
      <x:c r="J1424" s="53"/>
      <x:c r="K1424" s="53"/>
      <x:c r="L1424" s="53"/>
      <x:c r="M1424" s="53"/>
      <x:c r="N1424" s="53"/>
      <x:c r="O1424" s="53"/>
      <x:c r="P1424" s="53"/>
      <x:c r="Q1424" s="53"/>
      <x:c r="R1424" s="53"/>
      <x:c r="S1424" s="53"/>
      <x:c r="T1424" s="53"/>
      <x:c r="U1424" s="53"/>
      <x:c r="V1424" s="53"/>
      <x:c r="W1424" s="53"/>
      <x:c r="X1424" s="53"/>
      <x:c r="Y1424" s="53"/>
      <x:c r="Z1424" s="53"/>
      <x:c r="AA1424" s="53"/>
      <x:c r="AB1424" s="53"/>
      <x:c r="AC1424" s="53"/>
      <x:c r="AD1424" s="53"/>
      <x:c r="AE1424" s="53"/>
      <x:c r="AF1424" s="53"/>
    </x:row>
    <x:row r="1425">
      <x:c r="A1425" s="53"/>
      <x:c r="B1425" s="53"/>
      <x:c r="C1425" s="53"/>
      <x:c r="D1425" s="53"/>
      <x:c r="E1425" s="53"/>
      <x:c r="F1425" s="53"/>
      <x:c r="G1425" s="53"/>
      <x:c r="H1425" s="53"/>
      <x:c r="I1425" s="53"/>
      <x:c r="J1425" s="53"/>
      <x:c r="K1425" s="53"/>
      <x:c r="L1425" s="53"/>
      <x:c r="M1425" s="53"/>
      <x:c r="N1425" s="53"/>
      <x:c r="O1425" s="53"/>
      <x:c r="P1425" s="53"/>
      <x:c r="Q1425" s="53"/>
      <x:c r="R1425" s="53"/>
      <x:c r="S1425" s="53"/>
      <x:c r="T1425" s="53"/>
      <x:c r="U1425" s="53"/>
      <x:c r="V1425" s="53"/>
      <x:c r="W1425" s="53"/>
      <x:c r="X1425" s="53"/>
      <x:c r="Y1425" s="53"/>
      <x:c r="Z1425" s="53"/>
      <x:c r="AA1425" s="53"/>
      <x:c r="AB1425" s="53"/>
      <x:c r="AC1425" s="53"/>
      <x:c r="AD1425" s="53"/>
      <x:c r="AE1425" s="53"/>
      <x:c r="AF1425" s="53"/>
    </x:row>
    <x:row r="1426">
      <x:c r="A1426" s="53"/>
      <x:c r="B1426" s="53"/>
      <x:c r="C1426" s="53"/>
      <x:c r="D1426" s="53"/>
      <x:c r="E1426" s="53"/>
      <x:c r="F1426" s="53"/>
      <x:c r="G1426" s="53"/>
      <x:c r="H1426" s="53"/>
      <x:c r="I1426" s="53"/>
      <x:c r="J1426" s="53"/>
      <x:c r="K1426" s="53"/>
      <x:c r="L1426" s="53"/>
      <x:c r="M1426" s="53"/>
      <x:c r="N1426" s="53"/>
      <x:c r="O1426" s="53"/>
      <x:c r="P1426" s="53"/>
      <x:c r="Q1426" s="53"/>
      <x:c r="R1426" s="53"/>
      <x:c r="S1426" s="53"/>
      <x:c r="T1426" s="53"/>
      <x:c r="U1426" s="53"/>
      <x:c r="V1426" s="53"/>
      <x:c r="W1426" s="53"/>
      <x:c r="X1426" s="53"/>
      <x:c r="Y1426" s="53"/>
      <x:c r="Z1426" s="53"/>
      <x:c r="AA1426" s="53"/>
      <x:c r="AB1426" s="53"/>
      <x:c r="AC1426" s="53"/>
      <x:c r="AD1426" s="53"/>
      <x:c r="AE1426" s="53"/>
      <x:c r="AF1426" s="53"/>
    </x:row>
    <x:row r="1427">
      <x:c r="A1427" s="53"/>
      <x:c r="B1427" s="53"/>
      <x:c r="C1427" s="53"/>
      <x:c r="D1427" s="53"/>
      <x:c r="E1427" s="53"/>
      <x:c r="F1427" s="53"/>
      <x:c r="G1427" s="53"/>
      <x:c r="H1427" s="53"/>
      <x:c r="I1427" s="53"/>
      <x:c r="J1427" s="53"/>
      <x:c r="K1427" s="53"/>
      <x:c r="L1427" s="53"/>
      <x:c r="M1427" s="53"/>
      <x:c r="N1427" s="53"/>
      <x:c r="O1427" s="53"/>
      <x:c r="P1427" s="53"/>
      <x:c r="Q1427" s="53"/>
      <x:c r="R1427" s="53"/>
      <x:c r="S1427" s="53"/>
      <x:c r="T1427" s="53"/>
      <x:c r="U1427" s="53"/>
      <x:c r="V1427" s="53"/>
      <x:c r="W1427" s="53"/>
      <x:c r="X1427" s="53"/>
      <x:c r="Y1427" s="53"/>
      <x:c r="Z1427" s="53"/>
      <x:c r="AA1427" s="53"/>
      <x:c r="AB1427" s="53"/>
      <x:c r="AC1427" s="53"/>
      <x:c r="AD1427" s="53"/>
      <x:c r="AE1427" s="53"/>
      <x:c r="AF1427" s="53"/>
    </x:row>
    <x:row r="1428">
      <x:c r="A1428" s="53"/>
      <x:c r="B1428" s="53"/>
      <x:c r="C1428" s="53"/>
      <x:c r="D1428" s="53"/>
      <x:c r="E1428" s="53"/>
      <x:c r="F1428" s="53"/>
      <x:c r="G1428" s="53"/>
      <x:c r="H1428" s="53"/>
      <x:c r="I1428" s="53"/>
      <x:c r="J1428" s="53"/>
      <x:c r="K1428" s="53"/>
      <x:c r="L1428" s="53"/>
      <x:c r="M1428" s="53"/>
      <x:c r="N1428" s="53"/>
      <x:c r="O1428" s="53"/>
      <x:c r="P1428" s="53"/>
      <x:c r="Q1428" s="53"/>
      <x:c r="R1428" s="53"/>
      <x:c r="S1428" s="53"/>
      <x:c r="T1428" s="53"/>
      <x:c r="U1428" s="53"/>
      <x:c r="V1428" s="53"/>
      <x:c r="W1428" s="53"/>
      <x:c r="X1428" s="53"/>
      <x:c r="Y1428" s="53"/>
      <x:c r="Z1428" s="53"/>
      <x:c r="AA1428" s="53"/>
      <x:c r="AB1428" s="53"/>
      <x:c r="AC1428" s="53"/>
      <x:c r="AD1428" s="53"/>
      <x:c r="AE1428" s="53"/>
      <x:c r="AF1428" s="53"/>
    </x:row>
    <x:row r="1429">
      <x:c r="A1429" s="53"/>
      <x:c r="B1429" s="53"/>
      <x:c r="C1429" s="53"/>
      <x:c r="D1429" s="53"/>
      <x:c r="E1429" s="53"/>
      <x:c r="F1429" s="53"/>
      <x:c r="G1429" s="53"/>
      <x:c r="H1429" s="53"/>
      <x:c r="I1429" s="53"/>
      <x:c r="J1429" s="53"/>
      <x:c r="K1429" s="53"/>
      <x:c r="L1429" s="53"/>
      <x:c r="M1429" s="53"/>
      <x:c r="N1429" s="53"/>
      <x:c r="O1429" s="53"/>
      <x:c r="P1429" s="53"/>
      <x:c r="Q1429" s="53"/>
      <x:c r="R1429" s="53"/>
      <x:c r="S1429" s="53"/>
      <x:c r="T1429" s="53"/>
      <x:c r="U1429" s="53"/>
      <x:c r="V1429" s="53"/>
      <x:c r="W1429" s="53"/>
      <x:c r="X1429" s="53"/>
      <x:c r="Y1429" s="53"/>
      <x:c r="Z1429" s="53"/>
      <x:c r="AA1429" s="53"/>
      <x:c r="AB1429" s="53"/>
      <x:c r="AC1429" s="53"/>
      <x:c r="AD1429" s="53"/>
      <x:c r="AE1429" s="53"/>
      <x:c r="AF1429" s="53"/>
    </x:row>
    <x:row r="1430">
      <x:c r="A1430" s="53"/>
      <x:c r="B1430" s="53"/>
      <x:c r="C1430" s="53"/>
      <x:c r="D1430" s="53"/>
      <x:c r="E1430" s="53"/>
      <x:c r="F1430" s="53"/>
      <x:c r="G1430" s="53"/>
      <x:c r="H1430" s="53"/>
      <x:c r="I1430" s="53"/>
      <x:c r="J1430" s="53"/>
      <x:c r="K1430" s="53"/>
      <x:c r="L1430" s="53"/>
      <x:c r="M1430" s="53"/>
      <x:c r="N1430" s="53"/>
      <x:c r="O1430" s="53"/>
      <x:c r="P1430" s="53"/>
      <x:c r="Q1430" s="53"/>
      <x:c r="R1430" s="53"/>
      <x:c r="S1430" s="53"/>
      <x:c r="T1430" s="53"/>
      <x:c r="U1430" s="53"/>
      <x:c r="V1430" s="53"/>
      <x:c r="W1430" s="53"/>
      <x:c r="X1430" s="53"/>
      <x:c r="Y1430" s="53"/>
      <x:c r="Z1430" s="53"/>
      <x:c r="AA1430" s="53"/>
      <x:c r="AB1430" s="53"/>
      <x:c r="AC1430" s="53"/>
      <x:c r="AD1430" s="53"/>
      <x:c r="AE1430" s="53"/>
      <x:c r="AF1430" s="53"/>
    </x:row>
    <x:row r="1431">
      <x:c r="A1431" s="53"/>
      <x:c r="B1431" s="53"/>
      <x:c r="C1431" s="53"/>
      <x:c r="D1431" s="53"/>
      <x:c r="E1431" s="53"/>
      <x:c r="F1431" s="53"/>
      <x:c r="G1431" s="53"/>
      <x:c r="H1431" s="53"/>
      <x:c r="I1431" s="53"/>
      <x:c r="J1431" s="53"/>
      <x:c r="K1431" s="53"/>
      <x:c r="L1431" s="53"/>
      <x:c r="M1431" s="53"/>
      <x:c r="N1431" s="53"/>
      <x:c r="O1431" s="53"/>
      <x:c r="P1431" s="53"/>
      <x:c r="Q1431" s="53"/>
      <x:c r="R1431" s="53"/>
      <x:c r="S1431" s="53"/>
      <x:c r="T1431" s="53"/>
      <x:c r="U1431" s="53"/>
      <x:c r="V1431" s="53"/>
      <x:c r="W1431" s="53"/>
      <x:c r="X1431" s="53"/>
      <x:c r="Y1431" s="53"/>
      <x:c r="Z1431" s="53"/>
      <x:c r="AA1431" s="53"/>
      <x:c r="AB1431" s="53"/>
      <x:c r="AC1431" s="53"/>
      <x:c r="AD1431" s="53"/>
      <x:c r="AE1431" s="53"/>
      <x:c r="AF1431" s="53"/>
    </x:row>
    <x:row r="1432">
      <x:c r="A1432" s="53"/>
      <x:c r="B1432" s="53"/>
      <x:c r="C1432" s="53"/>
      <x:c r="D1432" s="53"/>
      <x:c r="E1432" s="53"/>
      <x:c r="F1432" s="53"/>
      <x:c r="G1432" s="53"/>
      <x:c r="H1432" s="53"/>
      <x:c r="I1432" s="53"/>
      <x:c r="J1432" s="53"/>
      <x:c r="K1432" s="53"/>
      <x:c r="L1432" s="53"/>
      <x:c r="M1432" s="53"/>
      <x:c r="N1432" s="53"/>
      <x:c r="O1432" s="53"/>
      <x:c r="P1432" s="53"/>
      <x:c r="Q1432" s="53"/>
      <x:c r="R1432" s="53"/>
      <x:c r="S1432" s="53"/>
      <x:c r="T1432" s="53"/>
      <x:c r="U1432" s="53"/>
      <x:c r="V1432" s="53"/>
      <x:c r="W1432" s="53"/>
      <x:c r="X1432" s="53"/>
      <x:c r="Y1432" s="53"/>
      <x:c r="Z1432" s="53"/>
      <x:c r="AA1432" s="53"/>
      <x:c r="AB1432" s="53"/>
      <x:c r="AC1432" s="53"/>
      <x:c r="AD1432" s="53"/>
      <x:c r="AE1432" s="53"/>
      <x:c r="AF1432" s="53"/>
    </x:row>
    <x:row r="1433">
      <x:c r="A1433" s="53"/>
      <x:c r="B1433" s="53"/>
      <x:c r="C1433" s="53"/>
      <x:c r="D1433" s="53"/>
      <x:c r="E1433" s="53"/>
      <x:c r="F1433" s="53"/>
      <x:c r="G1433" s="53"/>
      <x:c r="H1433" s="53"/>
      <x:c r="I1433" s="53"/>
      <x:c r="J1433" s="53"/>
      <x:c r="K1433" s="53"/>
      <x:c r="L1433" s="53"/>
      <x:c r="M1433" s="53"/>
      <x:c r="N1433" s="53"/>
      <x:c r="O1433" s="53"/>
      <x:c r="P1433" s="53"/>
      <x:c r="Q1433" s="53"/>
      <x:c r="R1433" s="53"/>
      <x:c r="S1433" s="53"/>
      <x:c r="T1433" s="53"/>
      <x:c r="U1433" s="53"/>
      <x:c r="V1433" s="53"/>
      <x:c r="W1433" s="53"/>
      <x:c r="X1433" s="53"/>
      <x:c r="Y1433" s="53"/>
      <x:c r="Z1433" s="53"/>
      <x:c r="AA1433" s="53"/>
      <x:c r="AB1433" s="53"/>
      <x:c r="AC1433" s="53"/>
      <x:c r="AD1433" s="53"/>
      <x:c r="AE1433" s="53"/>
      <x:c r="AF1433" s="53"/>
    </x:row>
    <x:row r="1434">
      <x:c r="A1434" s="53"/>
      <x:c r="B1434" s="53"/>
      <x:c r="C1434" s="53"/>
      <x:c r="D1434" s="53"/>
      <x:c r="E1434" s="53"/>
      <x:c r="F1434" s="53"/>
      <x:c r="G1434" s="53"/>
      <x:c r="H1434" s="53"/>
      <x:c r="I1434" s="53"/>
      <x:c r="J1434" s="53"/>
      <x:c r="K1434" s="53"/>
      <x:c r="L1434" s="53"/>
      <x:c r="M1434" s="53"/>
      <x:c r="N1434" s="53"/>
      <x:c r="O1434" s="53"/>
      <x:c r="P1434" s="53"/>
      <x:c r="Q1434" s="53"/>
      <x:c r="R1434" s="53"/>
      <x:c r="S1434" s="53"/>
      <x:c r="T1434" s="53"/>
      <x:c r="U1434" s="53"/>
      <x:c r="V1434" s="53"/>
      <x:c r="W1434" s="53"/>
      <x:c r="X1434" s="53"/>
      <x:c r="Y1434" s="53"/>
      <x:c r="Z1434" s="53"/>
      <x:c r="AA1434" s="53"/>
      <x:c r="AB1434" s="53"/>
      <x:c r="AC1434" s="53"/>
      <x:c r="AD1434" s="53"/>
      <x:c r="AE1434" s="53"/>
      <x:c r="AF1434" s="53"/>
    </x:row>
    <x:row r="1435">
      <x:c r="A1435" s="53"/>
      <x:c r="B1435" s="53"/>
      <x:c r="C1435" s="53"/>
      <x:c r="D1435" s="53"/>
      <x:c r="E1435" s="53"/>
      <x:c r="F1435" s="53"/>
      <x:c r="G1435" s="53"/>
      <x:c r="H1435" s="53"/>
      <x:c r="I1435" s="53"/>
      <x:c r="J1435" s="53"/>
      <x:c r="K1435" s="53"/>
      <x:c r="L1435" s="53"/>
      <x:c r="M1435" s="53"/>
      <x:c r="N1435" s="53"/>
      <x:c r="O1435" s="53"/>
      <x:c r="P1435" s="53"/>
      <x:c r="Q1435" s="53"/>
      <x:c r="R1435" s="53"/>
      <x:c r="S1435" s="53"/>
      <x:c r="T1435" s="53"/>
      <x:c r="U1435" s="53"/>
      <x:c r="V1435" s="53"/>
      <x:c r="W1435" s="53"/>
      <x:c r="X1435" s="53"/>
      <x:c r="Y1435" s="53"/>
      <x:c r="Z1435" s="53"/>
      <x:c r="AA1435" s="53"/>
      <x:c r="AB1435" s="53"/>
      <x:c r="AC1435" s="53"/>
      <x:c r="AD1435" s="53"/>
      <x:c r="AE1435" s="53"/>
      <x:c r="AF1435" s="53"/>
    </x:row>
    <x:row r="1436">
      <x:c r="A1436" s="53"/>
      <x:c r="B1436" s="53"/>
      <x:c r="C1436" s="53"/>
      <x:c r="D1436" s="53"/>
      <x:c r="E1436" s="53"/>
      <x:c r="F1436" s="53"/>
      <x:c r="G1436" s="53"/>
      <x:c r="H1436" s="53"/>
      <x:c r="I1436" s="53"/>
      <x:c r="J1436" s="53"/>
      <x:c r="K1436" s="53"/>
      <x:c r="L1436" s="53"/>
      <x:c r="M1436" s="53"/>
      <x:c r="N1436" s="53"/>
      <x:c r="O1436" s="53"/>
      <x:c r="P1436" s="53"/>
      <x:c r="Q1436" s="53"/>
      <x:c r="R1436" s="53"/>
      <x:c r="S1436" s="53"/>
      <x:c r="T1436" s="53"/>
      <x:c r="U1436" s="53"/>
      <x:c r="V1436" s="53"/>
      <x:c r="W1436" s="53"/>
      <x:c r="X1436" s="53"/>
      <x:c r="Y1436" s="53"/>
      <x:c r="Z1436" s="53"/>
      <x:c r="AA1436" s="53"/>
      <x:c r="AB1436" s="53"/>
      <x:c r="AC1436" s="53"/>
      <x:c r="AD1436" s="53"/>
      <x:c r="AE1436" s="53"/>
      <x:c r="AF1436" s="53"/>
    </x:row>
    <x:row r="1437">
      <x:c r="A1437" s="53"/>
      <x:c r="B1437" s="53"/>
      <x:c r="C1437" s="53"/>
      <x:c r="D1437" s="53"/>
      <x:c r="E1437" s="53"/>
      <x:c r="F1437" s="53"/>
      <x:c r="G1437" s="53"/>
      <x:c r="H1437" s="53"/>
      <x:c r="I1437" s="53"/>
      <x:c r="J1437" s="53"/>
      <x:c r="K1437" s="53"/>
      <x:c r="L1437" s="53"/>
      <x:c r="M1437" s="53"/>
      <x:c r="N1437" s="53"/>
      <x:c r="O1437" s="53"/>
      <x:c r="P1437" s="53"/>
      <x:c r="Q1437" s="53"/>
      <x:c r="R1437" s="53"/>
      <x:c r="S1437" s="53"/>
      <x:c r="T1437" s="53"/>
      <x:c r="U1437" s="53"/>
      <x:c r="V1437" s="53"/>
      <x:c r="W1437" s="53"/>
      <x:c r="X1437" s="53"/>
      <x:c r="Y1437" s="53"/>
      <x:c r="Z1437" s="53"/>
      <x:c r="AA1437" s="53"/>
      <x:c r="AB1437" s="53"/>
      <x:c r="AC1437" s="53"/>
      <x:c r="AD1437" s="53"/>
      <x:c r="AE1437" s="53"/>
      <x:c r="AF1437" s="53"/>
    </x:row>
    <x:row r="1438">
      <x:c r="A1438" s="53"/>
      <x:c r="B1438" s="53"/>
      <x:c r="C1438" s="53"/>
      <x:c r="D1438" s="53"/>
      <x:c r="E1438" s="53"/>
      <x:c r="F1438" s="53"/>
      <x:c r="G1438" s="53"/>
      <x:c r="H1438" s="53"/>
      <x:c r="I1438" s="53"/>
      <x:c r="J1438" s="53"/>
      <x:c r="K1438" s="53"/>
      <x:c r="L1438" s="53"/>
      <x:c r="M1438" s="53"/>
      <x:c r="N1438" s="53"/>
      <x:c r="O1438" s="53"/>
      <x:c r="P1438" s="53"/>
      <x:c r="Q1438" s="53"/>
      <x:c r="R1438" s="53"/>
      <x:c r="S1438" s="53"/>
      <x:c r="T1438" s="53"/>
      <x:c r="U1438" s="53"/>
      <x:c r="V1438" s="53"/>
      <x:c r="W1438" s="53"/>
      <x:c r="X1438" s="53"/>
      <x:c r="Y1438" s="53"/>
      <x:c r="Z1438" s="53"/>
      <x:c r="AA1438" s="53"/>
      <x:c r="AB1438" s="53"/>
      <x:c r="AC1438" s="53"/>
      <x:c r="AD1438" s="53"/>
      <x:c r="AE1438" s="53"/>
      <x:c r="AF1438" s="53"/>
    </x:row>
    <x:row r="1439">
      <x:c r="A1439" s="53"/>
      <x:c r="B1439" s="53"/>
      <x:c r="C1439" s="53"/>
      <x:c r="D1439" s="53"/>
      <x:c r="E1439" s="53"/>
      <x:c r="F1439" s="53"/>
      <x:c r="G1439" s="53"/>
      <x:c r="H1439" s="53"/>
      <x:c r="I1439" s="53"/>
      <x:c r="J1439" s="53"/>
      <x:c r="K1439" s="53"/>
      <x:c r="L1439" s="53"/>
      <x:c r="M1439" s="53"/>
      <x:c r="N1439" s="53"/>
      <x:c r="O1439" s="53"/>
      <x:c r="P1439" s="53"/>
      <x:c r="Q1439" s="53"/>
      <x:c r="R1439" s="53"/>
      <x:c r="S1439" s="53"/>
      <x:c r="T1439" s="53"/>
      <x:c r="U1439" s="53"/>
      <x:c r="V1439" s="53"/>
      <x:c r="W1439" s="53"/>
      <x:c r="X1439" s="53"/>
      <x:c r="Y1439" s="53"/>
      <x:c r="Z1439" s="53"/>
      <x:c r="AA1439" s="53"/>
      <x:c r="AB1439" s="53"/>
      <x:c r="AC1439" s="53"/>
      <x:c r="AD1439" s="53"/>
      <x:c r="AE1439" s="53"/>
      <x:c r="AF1439" s="53"/>
    </x:row>
    <x:row r="1440">
      <x:c r="A1440" s="53"/>
      <x:c r="B1440" s="53"/>
      <x:c r="C1440" s="53"/>
      <x:c r="D1440" s="53"/>
      <x:c r="E1440" s="53"/>
      <x:c r="F1440" s="53"/>
      <x:c r="G1440" s="53"/>
      <x:c r="H1440" s="53"/>
      <x:c r="I1440" s="53"/>
      <x:c r="J1440" s="53"/>
      <x:c r="K1440" s="53"/>
      <x:c r="L1440" s="53"/>
      <x:c r="M1440" s="53"/>
      <x:c r="N1440" s="53"/>
      <x:c r="O1440" s="53"/>
      <x:c r="P1440" s="53"/>
      <x:c r="Q1440" s="53"/>
      <x:c r="R1440" s="53"/>
      <x:c r="S1440" s="53"/>
      <x:c r="T1440" s="53"/>
      <x:c r="U1440" s="53"/>
      <x:c r="V1440" s="53"/>
      <x:c r="W1440" s="53"/>
      <x:c r="X1440" s="53"/>
      <x:c r="Y1440" s="53"/>
      <x:c r="Z1440" s="53"/>
      <x:c r="AA1440" s="53"/>
      <x:c r="AB1440" s="53"/>
      <x:c r="AC1440" s="53"/>
      <x:c r="AD1440" s="53"/>
      <x:c r="AE1440" s="53"/>
      <x:c r="AF1440" s="53"/>
    </x:row>
    <x:row r="1441">
      <x:c r="A1441" s="53"/>
      <x:c r="B1441" s="53"/>
      <x:c r="C1441" s="53"/>
      <x:c r="D1441" s="53"/>
      <x:c r="E1441" s="53"/>
      <x:c r="F1441" s="53"/>
      <x:c r="G1441" s="53"/>
      <x:c r="H1441" s="53"/>
      <x:c r="I1441" s="53"/>
      <x:c r="J1441" s="53"/>
      <x:c r="K1441" s="53"/>
      <x:c r="L1441" s="53"/>
      <x:c r="M1441" s="53"/>
      <x:c r="N1441" s="53"/>
      <x:c r="O1441" s="53"/>
      <x:c r="P1441" s="53"/>
      <x:c r="Q1441" s="53"/>
      <x:c r="R1441" s="53"/>
      <x:c r="S1441" s="53"/>
      <x:c r="T1441" s="53"/>
      <x:c r="U1441" s="53"/>
      <x:c r="V1441" s="53"/>
      <x:c r="W1441" s="53"/>
      <x:c r="X1441" s="53"/>
      <x:c r="Y1441" s="53"/>
      <x:c r="Z1441" s="53"/>
      <x:c r="AA1441" s="53"/>
      <x:c r="AB1441" s="53"/>
      <x:c r="AC1441" s="53"/>
      <x:c r="AD1441" s="53"/>
      <x:c r="AE1441" s="53"/>
      <x:c r="AF1441" s="53"/>
    </x:row>
    <x:row r="1442">
      <x:c r="A1442" s="53"/>
      <x:c r="B1442" s="53"/>
      <x:c r="C1442" s="53"/>
      <x:c r="D1442" s="53"/>
      <x:c r="E1442" s="53"/>
      <x:c r="F1442" s="53"/>
      <x:c r="G1442" s="53"/>
      <x:c r="H1442" s="53"/>
      <x:c r="I1442" s="53"/>
      <x:c r="J1442" s="53"/>
      <x:c r="K1442" s="53"/>
      <x:c r="L1442" s="53"/>
      <x:c r="M1442" s="53"/>
      <x:c r="N1442" s="53"/>
      <x:c r="O1442" s="53"/>
      <x:c r="P1442" s="53"/>
      <x:c r="Q1442" s="53"/>
      <x:c r="R1442" s="53"/>
      <x:c r="S1442" s="53"/>
      <x:c r="T1442" s="53"/>
      <x:c r="U1442" s="53"/>
      <x:c r="V1442" s="53"/>
      <x:c r="W1442" s="53"/>
      <x:c r="X1442" s="53"/>
      <x:c r="Y1442" s="53"/>
      <x:c r="Z1442" s="53"/>
      <x:c r="AA1442" s="53"/>
      <x:c r="AB1442" s="53"/>
      <x:c r="AC1442" s="53"/>
      <x:c r="AD1442" s="53"/>
      <x:c r="AE1442" s="53"/>
      <x:c r="AF1442" s="53"/>
    </x:row>
    <x:row r="1443">
      <x:c r="A1443" s="53"/>
      <x:c r="B1443" s="53"/>
      <x:c r="C1443" s="53"/>
      <x:c r="D1443" s="53"/>
      <x:c r="E1443" s="53"/>
      <x:c r="F1443" s="53"/>
      <x:c r="G1443" s="53"/>
      <x:c r="H1443" s="53"/>
      <x:c r="I1443" s="53"/>
      <x:c r="J1443" s="53"/>
      <x:c r="K1443" s="53"/>
      <x:c r="L1443" s="53"/>
      <x:c r="M1443" s="53"/>
      <x:c r="N1443" s="53"/>
      <x:c r="O1443" s="53"/>
      <x:c r="P1443" s="53"/>
      <x:c r="Q1443" s="53"/>
      <x:c r="R1443" s="53"/>
      <x:c r="S1443" s="53"/>
      <x:c r="T1443" s="53"/>
      <x:c r="U1443" s="53"/>
      <x:c r="V1443" s="53"/>
      <x:c r="W1443" s="53"/>
      <x:c r="X1443" s="53"/>
      <x:c r="Y1443" s="53"/>
      <x:c r="Z1443" s="53"/>
      <x:c r="AA1443" s="53"/>
      <x:c r="AB1443" s="53"/>
      <x:c r="AC1443" s="53"/>
      <x:c r="AD1443" s="53"/>
      <x:c r="AE1443" s="53"/>
      <x:c r="AF1443" s="53"/>
    </x:row>
    <x:row r="1444">
      <x:c r="A1444" s="53"/>
      <x:c r="B1444" s="53"/>
      <x:c r="C1444" s="53"/>
      <x:c r="D1444" s="53"/>
      <x:c r="E1444" s="53"/>
      <x:c r="F1444" s="53"/>
      <x:c r="G1444" s="53"/>
      <x:c r="H1444" s="53"/>
      <x:c r="I1444" s="53"/>
      <x:c r="J1444" s="53"/>
      <x:c r="K1444" s="53"/>
      <x:c r="L1444" s="53"/>
      <x:c r="M1444" s="53"/>
      <x:c r="N1444" s="53"/>
      <x:c r="O1444" s="53"/>
      <x:c r="P1444" s="53"/>
      <x:c r="Q1444" s="53"/>
      <x:c r="R1444" s="53"/>
      <x:c r="S1444" s="53"/>
      <x:c r="T1444" s="53"/>
      <x:c r="U1444" s="53"/>
      <x:c r="V1444" s="53"/>
      <x:c r="W1444" s="53"/>
      <x:c r="X1444" s="53"/>
      <x:c r="Y1444" s="53"/>
      <x:c r="Z1444" s="53"/>
      <x:c r="AA1444" s="53"/>
      <x:c r="AB1444" s="53"/>
      <x:c r="AC1444" s="53"/>
      <x:c r="AD1444" s="53"/>
      <x:c r="AE1444" s="53"/>
      <x:c r="AF1444" s="53"/>
    </x:row>
    <x:row r="1445">
      <x:c r="A1445" s="53"/>
      <x:c r="B1445" s="53"/>
      <x:c r="C1445" s="53"/>
      <x:c r="D1445" s="53"/>
      <x:c r="E1445" s="53"/>
      <x:c r="F1445" s="53"/>
      <x:c r="G1445" s="53"/>
      <x:c r="H1445" s="53"/>
      <x:c r="I1445" s="53"/>
      <x:c r="J1445" s="53"/>
      <x:c r="K1445" s="53"/>
      <x:c r="L1445" s="53"/>
      <x:c r="M1445" s="53"/>
      <x:c r="N1445" s="53"/>
      <x:c r="O1445" s="53"/>
      <x:c r="P1445" s="53"/>
      <x:c r="Q1445" s="53"/>
      <x:c r="R1445" s="53"/>
      <x:c r="S1445" s="53"/>
      <x:c r="T1445" s="53"/>
      <x:c r="U1445" s="53"/>
      <x:c r="V1445" s="53"/>
      <x:c r="W1445" s="53"/>
      <x:c r="X1445" s="53"/>
      <x:c r="Y1445" s="53"/>
      <x:c r="Z1445" s="53"/>
      <x:c r="AA1445" s="53"/>
      <x:c r="AB1445" s="53"/>
      <x:c r="AC1445" s="53"/>
      <x:c r="AD1445" s="53"/>
      <x:c r="AE1445" s="53"/>
      <x:c r="AF1445" s="53"/>
    </x:row>
    <x:row r="1446">
      <x:c r="A1446" s="53"/>
      <x:c r="B1446" s="53"/>
      <x:c r="C1446" s="53"/>
      <x:c r="D1446" s="53"/>
      <x:c r="E1446" s="53"/>
      <x:c r="F1446" s="53"/>
      <x:c r="G1446" s="53"/>
      <x:c r="H1446" s="53"/>
      <x:c r="I1446" s="53"/>
      <x:c r="J1446" s="53"/>
      <x:c r="K1446" s="53"/>
      <x:c r="L1446" s="53"/>
      <x:c r="M1446" s="53"/>
      <x:c r="N1446" s="53"/>
      <x:c r="O1446" s="53"/>
      <x:c r="P1446" s="53"/>
      <x:c r="Q1446" s="53"/>
      <x:c r="R1446" s="53"/>
      <x:c r="S1446" s="53"/>
      <x:c r="T1446" s="53"/>
      <x:c r="U1446" s="53"/>
      <x:c r="V1446" s="53"/>
      <x:c r="W1446" s="53"/>
      <x:c r="X1446" s="53"/>
      <x:c r="Y1446" s="53"/>
      <x:c r="Z1446" s="53"/>
      <x:c r="AA1446" s="53"/>
      <x:c r="AB1446" s="53"/>
      <x:c r="AC1446" s="53"/>
      <x:c r="AD1446" s="53"/>
      <x:c r="AE1446" s="53"/>
      <x:c r="AF1446" s="53"/>
    </x:row>
    <x:row r="1447">
      <x:c r="A1447" s="53"/>
      <x:c r="B1447" s="53"/>
      <x:c r="C1447" s="53"/>
      <x:c r="D1447" s="53"/>
      <x:c r="E1447" s="53"/>
      <x:c r="F1447" s="53"/>
      <x:c r="G1447" s="53"/>
      <x:c r="H1447" s="53"/>
      <x:c r="I1447" s="53"/>
      <x:c r="J1447" s="53"/>
      <x:c r="K1447" s="53"/>
      <x:c r="L1447" s="53"/>
      <x:c r="M1447" s="53"/>
      <x:c r="N1447" s="53"/>
      <x:c r="O1447" s="53"/>
      <x:c r="P1447" s="53"/>
      <x:c r="Q1447" s="53"/>
      <x:c r="R1447" s="53"/>
      <x:c r="S1447" s="53"/>
      <x:c r="T1447" s="53"/>
      <x:c r="U1447" s="53"/>
      <x:c r="V1447" s="53"/>
      <x:c r="W1447" s="53"/>
      <x:c r="X1447" s="53"/>
      <x:c r="Y1447" s="53"/>
      <x:c r="Z1447" s="53"/>
      <x:c r="AA1447" s="53"/>
      <x:c r="AB1447" s="53"/>
      <x:c r="AC1447" s="53"/>
      <x:c r="AD1447" s="53"/>
      <x:c r="AE1447" s="53"/>
      <x:c r="AF1447" s="53"/>
    </x:row>
    <x:row r="1448">
      <x:c r="A1448" s="53"/>
      <x:c r="B1448" s="53"/>
      <x:c r="C1448" s="53"/>
      <x:c r="D1448" s="53"/>
      <x:c r="E1448" s="53"/>
      <x:c r="F1448" s="53"/>
      <x:c r="G1448" s="53"/>
      <x:c r="H1448" s="53"/>
      <x:c r="I1448" s="53"/>
      <x:c r="J1448" s="53"/>
      <x:c r="K1448" s="53"/>
      <x:c r="L1448" s="53"/>
      <x:c r="M1448" s="53"/>
      <x:c r="N1448" s="53"/>
      <x:c r="O1448" s="53"/>
      <x:c r="P1448" s="53"/>
      <x:c r="Q1448" s="53"/>
      <x:c r="R1448" s="53"/>
      <x:c r="S1448" s="53"/>
      <x:c r="T1448" s="53"/>
      <x:c r="U1448" s="53"/>
      <x:c r="V1448" s="53"/>
      <x:c r="W1448" s="53"/>
      <x:c r="X1448" s="53"/>
      <x:c r="Y1448" s="53"/>
      <x:c r="Z1448" s="53"/>
      <x:c r="AA1448" s="53"/>
      <x:c r="AB1448" s="53"/>
      <x:c r="AC1448" s="53"/>
      <x:c r="AD1448" s="53"/>
      <x:c r="AE1448" s="53"/>
      <x:c r="AF1448" s="53"/>
    </x:row>
    <x:row r="1449">
      <x:c r="A1449" s="53"/>
      <x:c r="B1449" s="53"/>
      <x:c r="C1449" s="53"/>
      <x:c r="D1449" s="53"/>
      <x:c r="E1449" s="53"/>
      <x:c r="F1449" s="53"/>
      <x:c r="G1449" s="53"/>
      <x:c r="H1449" s="53"/>
      <x:c r="I1449" s="53"/>
      <x:c r="J1449" s="53"/>
      <x:c r="K1449" s="53"/>
      <x:c r="L1449" s="53"/>
      <x:c r="M1449" s="53"/>
      <x:c r="N1449" s="53"/>
      <x:c r="O1449" s="53"/>
      <x:c r="P1449" s="53"/>
      <x:c r="Q1449" s="53"/>
      <x:c r="R1449" s="53"/>
      <x:c r="S1449" s="53"/>
      <x:c r="T1449" s="53"/>
      <x:c r="U1449" s="53"/>
      <x:c r="V1449" s="53"/>
      <x:c r="W1449" s="53"/>
      <x:c r="X1449" s="53"/>
      <x:c r="Y1449" s="53"/>
      <x:c r="Z1449" s="53"/>
      <x:c r="AA1449" s="53"/>
      <x:c r="AB1449" s="53"/>
      <x:c r="AC1449" s="53"/>
      <x:c r="AD1449" s="53"/>
      <x:c r="AE1449" s="53"/>
      <x:c r="AF1449" s="53"/>
    </x:row>
    <x:row r="1450">
      <x:c r="A1450" s="53"/>
      <x:c r="B1450" s="53"/>
      <x:c r="C1450" s="53"/>
      <x:c r="D1450" s="53"/>
      <x:c r="E1450" s="53"/>
      <x:c r="F1450" s="53"/>
      <x:c r="G1450" s="53"/>
      <x:c r="H1450" s="53"/>
      <x:c r="I1450" s="53"/>
      <x:c r="J1450" s="53"/>
      <x:c r="K1450" s="53"/>
      <x:c r="L1450" s="53"/>
      <x:c r="M1450" s="53"/>
      <x:c r="N1450" s="53"/>
      <x:c r="O1450" s="53"/>
      <x:c r="P1450" s="53"/>
      <x:c r="Q1450" s="53"/>
      <x:c r="R1450" s="53"/>
      <x:c r="S1450" s="53"/>
      <x:c r="T1450" s="53"/>
      <x:c r="U1450" s="53"/>
      <x:c r="V1450" s="53"/>
      <x:c r="W1450" s="53"/>
      <x:c r="X1450" s="53"/>
      <x:c r="Y1450" s="53"/>
      <x:c r="Z1450" s="53"/>
      <x:c r="AA1450" s="53"/>
      <x:c r="AB1450" s="53"/>
      <x:c r="AC1450" s="53"/>
      <x:c r="AD1450" s="53"/>
      <x:c r="AE1450" s="53"/>
      <x:c r="AF1450" s="53"/>
    </x:row>
    <x:row r="1451">
      <x:c r="A1451" s="53"/>
      <x:c r="B1451" s="53"/>
      <x:c r="C1451" s="53"/>
      <x:c r="D1451" s="53"/>
      <x:c r="E1451" s="53"/>
      <x:c r="F1451" s="53"/>
      <x:c r="G1451" s="53"/>
      <x:c r="H1451" s="53"/>
      <x:c r="I1451" s="53"/>
      <x:c r="J1451" s="53"/>
      <x:c r="K1451" s="53"/>
      <x:c r="L1451" s="53"/>
      <x:c r="M1451" s="53"/>
      <x:c r="N1451" s="53"/>
      <x:c r="O1451" s="53"/>
      <x:c r="P1451" s="53"/>
      <x:c r="Q1451" s="53"/>
      <x:c r="R1451" s="53"/>
      <x:c r="S1451" s="53"/>
      <x:c r="T1451" s="53"/>
      <x:c r="U1451" s="53"/>
      <x:c r="V1451" s="53"/>
      <x:c r="W1451" s="53"/>
      <x:c r="X1451" s="53"/>
      <x:c r="Y1451" s="53"/>
      <x:c r="Z1451" s="53"/>
      <x:c r="AA1451" s="53"/>
      <x:c r="AB1451" s="53"/>
      <x:c r="AC1451" s="53"/>
      <x:c r="AD1451" s="53"/>
      <x:c r="AE1451" s="53"/>
      <x:c r="AF1451" s="53"/>
    </x:row>
    <x:row r="1452">
      <x:c r="A1452" s="53"/>
      <x:c r="B1452" s="53"/>
      <x:c r="C1452" s="53"/>
      <x:c r="D1452" s="53"/>
      <x:c r="E1452" s="53"/>
      <x:c r="F1452" s="53"/>
      <x:c r="G1452" s="53"/>
      <x:c r="H1452" s="53"/>
      <x:c r="I1452" s="53"/>
      <x:c r="J1452" s="53"/>
      <x:c r="K1452" s="53"/>
      <x:c r="L1452" s="53"/>
      <x:c r="M1452" s="53"/>
      <x:c r="N1452" s="53"/>
      <x:c r="O1452" s="53"/>
      <x:c r="P1452" s="53"/>
      <x:c r="Q1452" s="53"/>
      <x:c r="R1452" s="53"/>
      <x:c r="S1452" s="53"/>
      <x:c r="T1452" s="53"/>
      <x:c r="U1452" s="53"/>
      <x:c r="V1452" s="53"/>
      <x:c r="W1452" s="53"/>
      <x:c r="X1452" s="53"/>
      <x:c r="Y1452" s="53"/>
      <x:c r="Z1452" s="53"/>
      <x:c r="AA1452" s="53"/>
      <x:c r="AB1452" s="53"/>
      <x:c r="AC1452" s="53"/>
      <x:c r="AD1452" s="53"/>
      <x:c r="AE1452" s="53"/>
      <x:c r="AF1452" s="53"/>
    </x:row>
    <x:row r="1453">
      <x:c r="A1453" s="53"/>
      <x:c r="B1453" s="53"/>
      <x:c r="C1453" s="53"/>
      <x:c r="D1453" s="53"/>
      <x:c r="E1453" s="53"/>
      <x:c r="F1453" s="53"/>
      <x:c r="G1453" s="53"/>
      <x:c r="H1453" s="53"/>
      <x:c r="I1453" s="53"/>
      <x:c r="J1453" s="53"/>
      <x:c r="K1453" s="53"/>
      <x:c r="L1453" s="53"/>
      <x:c r="M1453" s="53"/>
      <x:c r="N1453" s="53"/>
      <x:c r="O1453" s="53"/>
      <x:c r="P1453" s="53"/>
      <x:c r="Q1453" s="53"/>
      <x:c r="R1453" s="53"/>
      <x:c r="S1453" s="53"/>
      <x:c r="T1453" s="53"/>
      <x:c r="U1453" s="53"/>
      <x:c r="V1453" s="53"/>
      <x:c r="W1453" s="53"/>
      <x:c r="X1453" s="53"/>
      <x:c r="Y1453" s="53"/>
      <x:c r="Z1453" s="53"/>
      <x:c r="AA1453" s="53"/>
      <x:c r="AB1453" s="53"/>
      <x:c r="AC1453" s="53"/>
      <x:c r="AD1453" s="53"/>
      <x:c r="AE1453" s="53"/>
      <x:c r="AF1453" s="53"/>
    </x:row>
    <x:row r="1454">
      <x:c r="A1454" s="53"/>
      <x:c r="B1454" s="53"/>
      <x:c r="C1454" s="53"/>
      <x:c r="D1454" s="53"/>
      <x:c r="E1454" s="53"/>
      <x:c r="F1454" s="53"/>
      <x:c r="G1454" s="53"/>
      <x:c r="H1454" s="53"/>
      <x:c r="I1454" s="53"/>
      <x:c r="J1454" s="53"/>
      <x:c r="K1454" s="53"/>
      <x:c r="L1454" s="53"/>
      <x:c r="M1454" s="53"/>
      <x:c r="N1454" s="53"/>
      <x:c r="O1454" s="53"/>
      <x:c r="P1454" s="53"/>
      <x:c r="Q1454" s="53"/>
      <x:c r="R1454" s="53"/>
      <x:c r="S1454" s="53"/>
      <x:c r="T1454" s="53"/>
      <x:c r="U1454" s="53"/>
      <x:c r="V1454" s="53"/>
      <x:c r="W1454" s="53"/>
      <x:c r="X1454" s="53"/>
      <x:c r="Y1454" s="53"/>
      <x:c r="Z1454" s="53"/>
      <x:c r="AA1454" s="53"/>
      <x:c r="AB1454" s="53"/>
      <x:c r="AC1454" s="53"/>
      <x:c r="AD1454" s="53"/>
      <x:c r="AE1454" s="53"/>
      <x:c r="AF1454" s="53"/>
    </x:row>
    <x:row r="1455">
      <x:c r="A1455" s="53"/>
      <x:c r="B1455" s="53"/>
      <x:c r="C1455" s="53"/>
      <x:c r="D1455" s="53"/>
      <x:c r="E1455" s="53"/>
      <x:c r="F1455" s="53"/>
      <x:c r="G1455" s="53"/>
      <x:c r="H1455" s="53"/>
      <x:c r="I1455" s="53"/>
      <x:c r="J1455" s="53"/>
      <x:c r="K1455" s="53"/>
      <x:c r="L1455" s="53"/>
      <x:c r="M1455" s="53"/>
      <x:c r="N1455" s="53"/>
      <x:c r="O1455" s="53"/>
      <x:c r="P1455" s="53"/>
      <x:c r="Q1455" s="53"/>
      <x:c r="R1455" s="53"/>
      <x:c r="S1455" s="53"/>
      <x:c r="T1455" s="53"/>
      <x:c r="U1455" s="53"/>
      <x:c r="V1455" s="53"/>
      <x:c r="W1455" s="53"/>
      <x:c r="X1455" s="53"/>
      <x:c r="Y1455" s="53"/>
      <x:c r="Z1455" s="53"/>
      <x:c r="AA1455" s="53"/>
      <x:c r="AB1455" s="53"/>
      <x:c r="AC1455" s="53"/>
      <x:c r="AD1455" s="53"/>
      <x:c r="AE1455" s="53"/>
      <x:c r="AF1455" s="53"/>
    </x:row>
    <x:row r="1456">
      <x:c r="A1456" s="53"/>
      <x:c r="B1456" s="53"/>
      <x:c r="C1456" s="53"/>
      <x:c r="D1456" s="53"/>
      <x:c r="E1456" s="53"/>
      <x:c r="F1456" s="53"/>
      <x:c r="G1456" s="53"/>
      <x:c r="H1456" s="53"/>
      <x:c r="I1456" s="53"/>
      <x:c r="J1456" s="53"/>
      <x:c r="K1456" s="53"/>
      <x:c r="L1456" s="53"/>
      <x:c r="M1456" s="53"/>
      <x:c r="N1456" s="53"/>
      <x:c r="O1456" s="53"/>
      <x:c r="P1456" s="53"/>
      <x:c r="Q1456" s="53"/>
      <x:c r="R1456" s="53"/>
      <x:c r="S1456" s="53"/>
      <x:c r="T1456" s="53"/>
      <x:c r="U1456" s="53"/>
      <x:c r="V1456" s="53"/>
      <x:c r="W1456" s="53"/>
      <x:c r="X1456" s="53"/>
      <x:c r="Y1456" s="53"/>
      <x:c r="Z1456" s="53"/>
      <x:c r="AA1456" s="53"/>
      <x:c r="AB1456" s="53"/>
      <x:c r="AC1456" s="53"/>
      <x:c r="AD1456" s="53"/>
      <x:c r="AE1456" s="53"/>
      <x:c r="AF1456" s="53"/>
    </x:row>
    <x:row r="1457">
      <x:c r="A1457" s="53"/>
      <x:c r="B1457" s="53"/>
      <x:c r="C1457" s="53"/>
      <x:c r="D1457" s="53"/>
      <x:c r="E1457" s="53"/>
      <x:c r="F1457" s="53"/>
      <x:c r="G1457" s="53"/>
      <x:c r="H1457" s="53"/>
      <x:c r="I1457" s="53"/>
      <x:c r="J1457" s="53"/>
      <x:c r="K1457" s="53"/>
      <x:c r="L1457" s="53"/>
      <x:c r="M1457" s="53"/>
      <x:c r="N1457" s="53"/>
      <x:c r="O1457" s="53"/>
      <x:c r="P1457" s="53"/>
      <x:c r="Q1457" s="53"/>
      <x:c r="R1457" s="53"/>
      <x:c r="S1457" s="53"/>
      <x:c r="T1457" s="53"/>
      <x:c r="U1457" s="53"/>
      <x:c r="V1457" s="53"/>
      <x:c r="W1457" s="53"/>
      <x:c r="X1457" s="53"/>
      <x:c r="Y1457" s="53"/>
      <x:c r="Z1457" s="53"/>
      <x:c r="AA1457" s="53"/>
      <x:c r="AB1457" s="53"/>
      <x:c r="AC1457" s="53"/>
      <x:c r="AD1457" s="53"/>
      <x:c r="AE1457" s="53"/>
      <x:c r="AF1457" s="53"/>
    </x:row>
    <x:row r="1458">
      <x:c r="A1458" s="53"/>
      <x:c r="B1458" s="53"/>
      <x:c r="C1458" s="53"/>
      <x:c r="D1458" s="53"/>
      <x:c r="E1458" s="53"/>
      <x:c r="F1458" s="53"/>
      <x:c r="G1458" s="53"/>
      <x:c r="H1458" s="53"/>
      <x:c r="I1458" s="53"/>
      <x:c r="J1458" s="53"/>
      <x:c r="K1458" s="53"/>
      <x:c r="L1458" s="53"/>
      <x:c r="M1458" s="53"/>
      <x:c r="N1458" s="53"/>
      <x:c r="O1458" s="53"/>
      <x:c r="P1458" s="53"/>
      <x:c r="Q1458" s="53"/>
      <x:c r="R1458" s="53"/>
      <x:c r="S1458" s="53"/>
      <x:c r="T1458" s="53"/>
      <x:c r="U1458" s="53"/>
      <x:c r="V1458" s="53"/>
      <x:c r="W1458" s="53"/>
      <x:c r="X1458" s="53"/>
      <x:c r="Y1458" s="53"/>
      <x:c r="Z1458" s="53"/>
      <x:c r="AA1458" s="53"/>
      <x:c r="AB1458" s="53"/>
      <x:c r="AC1458" s="53"/>
      <x:c r="AD1458" s="53"/>
      <x:c r="AE1458" s="53"/>
      <x:c r="AF1458" s="53"/>
    </x:row>
    <x:row r="1459">
      <x:c r="A1459" s="53"/>
      <x:c r="B1459" s="53"/>
      <x:c r="C1459" s="53"/>
      <x:c r="D1459" s="53"/>
      <x:c r="E1459" s="53"/>
      <x:c r="F1459" s="53"/>
      <x:c r="G1459" s="53"/>
      <x:c r="H1459" s="53"/>
      <x:c r="I1459" s="53"/>
      <x:c r="J1459" s="53"/>
      <x:c r="K1459" s="53"/>
      <x:c r="L1459" s="53"/>
      <x:c r="M1459" s="53"/>
      <x:c r="N1459" s="53"/>
      <x:c r="O1459" s="53"/>
      <x:c r="P1459" s="53"/>
      <x:c r="Q1459" s="53"/>
      <x:c r="R1459" s="53"/>
      <x:c r="S1459" s="53"/>
      <x:c r="T1459" s="53"/>
      <x:c r="U1459" s="53"/>
      <x:c r="V1459" s="53"/>
      <x:c r="W1459" s="53"/>
      <x:c r="X1459" s="53"/>
      <x:c r="Y1459" s="53"/>
      <x:c r="Z1459" s="53"/>
      <x:c r="AA1459" s="53"/>
      <x:c r="AB1459" s="53"/>
      <x:c r="AC1459" s="53"/>
      <x:c r="AD1459" s="53"/>
      <x:c r="AE1459" s="53"/>
      <x:c r="AF1459" s="53"/>
    </x:row>
    <x:row r="1460">
      <x:c r="A1460" s="53"/>
      <x:c r="B1460" s="53"/>
      <x:c r="C1460" s="53"/>
      <x:c r="D1460" s="53"/>
      <x:c r="E1460" s="53"/>
      <x:c r="F1460" s="53"/>
      <x:c r="G1460" s="53"/>
      <x:c r="H1460" s="53"/>
      <x:c r="I1460" s="53"/>
      <x:c r="J1460" s="53"/>
      <x:c r="K1460" s="53"/>
      <x:c r="L1460" s="53"/>
      <x:c r="M1460" s="53"/>
      <x:c r="N1460" s="53"/>
      <x:c r="O1460" s="53"/>
      <x:c r="P1460" s="53"/>
      <x:c r="Q1460" s="53"/>
      <x:c r="R1460" s="53"/>
      <x:c r="S1460" s="53"/>
      <x:c r="T1460" s="53"/>
      <x:c r="U1460" s="53"/>
      <x:c r="V1460" s="53"/>
      <x:c r="W1460" s="53"/>
      <x:c r="X1460" s="53"/>
      <x:c r="Y1460" s="53"/>
      <x:c r="Z1460" s="53"/>
      <x:c r="AA1460" s="53"/>
      <x:c r="AB1460" s="53"/>
      <x:c r="AC1460" s="53"/>
      <x:c r="AD1460" s="53"/>
      <x:c r="AE1460" s="53"/>
      <x:c r="AF1460" s="53"/>
    </x:row>
    <x:row r="1461">
      <x:c r="A1461" s="53"/>
      <x:c r="B1461" s="53"/>
      <x:c r="C1461" s="53"/>
      <x:c r="D1461" s="53"/>
      <x:c r="E1461" s="53"/>
      <x:c r="F1461" s="53"/>
      <x:c r="G1461" s="53"/>
      <x:c r="H1461" s="53"/>
      <x:c r="I1461" s="53"/>
      <x:c r="J1461" s="53"/>
      <x:c r="K1461" s="53"/>
      <x:c r="L1461" s="53"/>
      <x:c r="M1461" s="53"/>
      <x:c r="N1461" s="53"/>
      <x:c r="O1461" s="53"/>
      <x:c r="P1461" s="53"/>
      <x:c r="Q1461" s="53"/>
      <x:c r="R1461" s="53"/>
      <x:c r="S1461" s="53"/>
      <x:c r="T1461" s="53"/>
      <x:c r="U1461" s="53"/>
      <x:c r="V1461" s="53"/>
      <x:c r="W1461" s="53"/>
      <x:c r="X1461" s="53"/>
      <x:c r="Y1461" s="53"/>
      <x:c r="Z1461" s="53"/>
      <x:c r="AA1461" s="53"/>
      <x:c r="AB1461" s="53"/>
      <x:c r="AC1461" s="53"/>
      <x:c r="AD1461" s="53"/>
      <x:c r="AE1461" s="53"/>
      <x:c r="AF1461" s="53"/>
    </x:row>
    <x:row r="1462">
      <x:c r="A1462" s="53"/>
      <x:c r="B1462" s="53"/>
      <x:c r="C1462" s="53"/>
      <x:c r="D1462" s="53"/>
      <x:c r="E1462" s="53"/>
      <x:c r="F1462" s="53"/>
      <x:c r="G1462" s="53"/>
      <x:c r="H1462" s="53"/>
      <x:c r="I1462" s="53"/>
      <x:c r="J1462" s="53"/>
      <x:c r="K1462" s="53"/>
      <x:c r="L1462" s="53"/>
      <x:c r="M1462" s="53"/>
      <x:c r="N1462" s="53"/>
      <x:c r="O1462" s="53"/>
      <x:c r="P1462" s="53"/>
      <x:c r="Q1462" s="53"/>
      <x:c r="R1462" s="53"/>
      <x:c r="S1462" s="53"/>
      <x:c r="T1462" s="53"/>
      <x:c r="U1462" s="53"/>
      <x:c r="V1462" s="53"/>
      <x:c r="W1462" s="53"/>
      <x:c r="X1462" s="53"/>
      <x:c r="Y1462" s="53"/>
      <x:c r="Z1462" s="53"/>
      <x:c r="AA1462" s="53"/>
      <x:c r="AB1462" s="53"/>
      <x:c r="AC1462" s="53"/>
      <x:c r="AD1462" s="53"/>
      <x:c r="AE1462" s="53"/>
      <x:c r="AF1462" s="53"/>
    </x:row>
    <x:row r="1463">
      <x:c r="A1463" s="53"/>
      <x:c r="B1463" s="53"/>
      <x:c r="C1463" s="53"/>
      <x:c r="D1463" s="53"/>
      <x:c r="E1463" s="53"/>
      <x:c r="F1463" s="53"/>
      <x:c r="G1463" s="53"/>
      <x:c r="H1463" s="53"/>
      <x:c r="I1463" s="53"/>
      <x:c r="J1463" s="53"/>
      <x:c r="K1463" s="53"/>
      <x:c r="L1463" s="53"/>
      <x:c r="M1463" s="53"/>
      <x:c r="N1463" s="53"/>
      <x:c r="O1463" s="53"/>
      <x:c r="P1463" s="53"/>
      <x:c r="Q1463" s="53"/>
      <x:c r="R1463" s="53"/>
      <x:c r="S1463" s="53"/>
      <x:c r="T1463" s="53"/>
      <x:c r="U1463" s="53"/>
      <x:c r="V1463" s="53"/>
      <x:c r="W1463" s="53"/>
      <x:c r="X1463" s="53"/>
      <x:c r="Y1463" s="53"/>
      <x:c r="Z1463" s="53"/>
      <x:c r="AA1463" s="53"/>
      <x:c r="AB1463" s="53"/>
      <x:c r="AC1463" s="53"/>
      <x:c r="AD1463" s="53"/>
      <x:c r="AE1463" s="53"/>
      <x:c r="AF1463" s="53"/>
    </x:row>
    <x:row r="1464">
      <x:c r="A1464" s="53"/>
      <x:c r="B1464" s="53"/>
      <x:c r="C1464" s="53"/>
      <x:c r="D1464" s="53"/>
      <x:c r="E1464" s="53"/>
      <x:c r="F1464" s="53"/>
      <x:c r="G1464" s="53"/>
      <x:c r="H1464" s="53"/>
      <x:c r="I1464" s="53"/>
      <x:c r="J1464" s="53"/>
      <x:c r="K1464" s="53"/>
      <x:c r="L1464" s="53"/>
      <x:c r="M1464" s="53"/>
      <x:c r="N1464" s="53"/>
      <x:c r="O1464" s="53"/>
      <x:c r="P1464" s="53"/>
      <x:c r="Q1464" s="53"/>
      <x:c r="R1464" s="53"/>
      <x:c r="S1464" s="53"/>
      <x:c r="T1464" s="53"/>
      <x:c r="U1464" s="53"/>
      <x:c r="V1464" s="53"/>
      <x:c r="W1464" s="53"/>
      <x:c r="X1464" s="53"/>
      <x:c r="Y1464" s="53"/>
      <x:c r="Z1464" s="53"/>
      <x:c r="AA1464" s="53"/>
      <x:c r="AB1464" s="53"/>
      <x:c r="AC1464" s="53"/>
      <x:c r="AD1464" s="53"/>
      <x:c r="AE1464" s="53"/>
      <x:c r="AF1464" s="53"/>
    </x:row>
    <x:row r="1465">
      <x:c r="A1465" s="53"/>
      <x:c r="B1465" s="53"/>
      <x:c r="C1465" s="53"/>
      <x:c r="D1465" s="53"/>
      <x:c r="E1465" s="53"/>
      <x:c r="F1465" s="53"/>
      <x:c r="G1465" s="53"/>
      <x:c r="H1465" s="53"/>
      <x:c r="I1465" s="53"/>
      <x:c r="J1465" s="53"/>
      <x:c r="K1465" s="53"/>
      <x:c r="L1465" s="53"/>
      <x:c r="M1465" s="53"/>
      <x:c r="N1465" s="53"/>
      <x:c r="O1465" s="53"/>
      <x:c r="P1465" s="53"/>
      <x:c r="Q1465" s="53"/>
      <x:c r="R1465" s="53"/>
      <x:c r="S1465" s="53"/>
      <x:c r="T1465" s="53"/>
      <x:c r="U1465" s="53"/>
      <x:c r="V1465" s="53"/>
      <x:c r="W1465" s="53"/>
      <x:c r="X1465" s="53"/>
      <x:c r="Y1465" s="53"/>
      <x:c r="Z1465" s="53"/>
      <x:c r="AA1465" s="53"/>
      <x:c r="AB1465" s="53"/>
      <x:c r="AC1465" s="53"/>
      <x:c r="AD1465" s="53"/>
      <x:c r="AE1465" s="53"/>
      <x:c r="AF1465" s="53"/>
    </x:row>
    <x:row r="1466">
      <x:c r="A1466" s="53"/>
      <x:c r="B1466" s="53"/>
      <x:c r="C1466" s="53"/>
      <x:c r="D1466" s="53"/>
      <x:c r="E1466" s="53"/>
      <x:c r="F1466" s="53"/>
      <x:c r="G1466" s="53"/>
      <x:c r="H1466" s="53"/>
      <x:c r="I1466" s="53"/>
      <x:c r="J1466" s="53"/>
      <x:c r="K1466" s="53"/>
      <x:c r="L1466" s="53"/>
      <x:c r="M1466" s="53"/>
      <x:c r="N1466" s="53"/>
      <x:c r="O1466" s="53"/>
      <x:c r="P1466" s="53"/>
      <x:c r="Q1466" s="53"/>
      <x:c r="R1466" s="53"/>
      <x:c r="S1466" s="53"/>
      <x:c r="T1466" s="53"/>
      <x:c r="U1466" s="53"/>
      <x:c r="V1466" s="53"/>
      <x:c r="W1466" s="53"/>
      <x:c r="X1466" s="53"/>
      <x:c r="Y1466" s="53"/>
      <x:c r="Z1466" s="53"/>
      <x:c r="AA1466" s="53"/>
      <x:c r="AB1466" s="53"/>
      <x:c r="AC1466" s="53"/>
      <x:c r="AD1466" s="53"/>
      <x:c r="AE1466" s="53"/>
      <x:c r="AF1466" s="53"/>
    </x:row>
    <x:row r="1467">
      <x:c r="A1467" s="53"/>
      <x:c r="B1467" s="53"/>
      <x:c r="C1467" s="53"/>
      <x:c r="D1467" s="53"/>
      <x:c r="E1467" s="53"/>
      <x:c r="F1467" s="53"/>
      <x:c r="G1467" s="53"/>
      <x:c r="H1467" s="53"/>
      <x:c r="I1467" s="53"/>
      <x:c r="J1467" s="53"/>
      <x:c r="K1467" s="53"/>
      <x:c r="L1467" s="53"/>
      <x:c r="M1467" s="53"/>
      <x:c r="N1467" s="53"/>
      <x:c r="O1467" s="53"/>
      <x:c r="P1467" s="53"/>
      <x:c r="Q1467" s="53"/>
      <x:c r="R1467" s="53"/>
      <x:c r="S1467" s="53"/>
      <x:c r="T1467" s="53"/>
      <x:c r="U1467" s="53"/>
      <x:c r="V1467" s="53"/>
      <x:c r="W1467" s="53"/>
      <x:c r="X1467" s="53"/>
      <x:c r="Y1467" s="53"/>
      <x:c r="Z1467" s="53"/>
      <x:c r="AA1467" s="53"/>
      <x:c r="AB1467" s="53"/>
      <x:c r="AC1467" s="53"/>
      <x:c r="AD1467" s="53"/>
      <x:c r="AE1467" s="53"/>
      <x:c r="AF1467" s="53"/>
    </x:row>
    <x:row r="1468">
      <x:c r="A1468" s="53"/>
      <x:c r="B1468" s="53"/>
      <x:c r="C1468" s="53"/>
      <x:c r="D1468" s="53"/>
      <x:c r="E1468" s="53"/>
      <x:c r="F1468" s="53"/>
      <x:c r="G1468" s="53"/>
      <x:c r="H1468" s="53"/>
      <x:c r="I1468" s="53"/>
      <x:c r="J1468" s="53"/>
      <x:c r="K1468" s="53"/>
      <x:c r="L1468" s="53"/>
      <x:c r="M1468" s="53"/>
      <x:c r="N1468" s="53"/>
      <x:c r="O1468" s="53"/>
      <x:c r="P1468" s="53"/>
      <x:c r="Q1468" s="53"/>
      <x:c r="R1468" s="53"/>
      <x:c r="S1468" s="53"/>
      <x:c r="T1468" s="53"/>
      <x:c r="U1468" s="53"/>
      <x:c r="V1468" s="53"/>
      <x:c r="W1468" s="53"/>
      <x:c r="X1468" s="53"/>
      <x:c r="Y1468" s="53"/>
      <x:c r="Z1468" s="53"/>
      <x:c r="AA1468" s="53"/>
      <x:c r="AB1468" s="53"/>
      <x:c r="AC1468" s="53"/>
      <x:c r="AD1468" s="53"/>
      <x:c r="AE1468" s="53"/>
      <x:c r="AF1468" s="53"/>
    </x:row>
    <x:row r="1469">
      <x:c r="A1469" s="53"/>
      <x:c r="B1469" s="53"/>
      <x:c r="C1469" s="53"/>
      <x:c r="D1469" s="53"/>
      <x:c r="E1469" s="53"/>
      <x:c r="F1469" s="53"/>
      <x:c r="G1469" s="53"/>
      <x:c r="H1469" s="53"/>
      <x:c r="I1469" s="53"/>
      <x:c r="J1469" s="53"/>
      <x:c r="K1469" s="53"/>
      <x:c r="L1469" s="53"/>
      <x:c r="M1469" s="53"/>
      <x:c r="N1469" s="53"/>
      <x:c r="O1469" s="53"/>
      <x:c r="P1469" s="53"/>
      <x:c r="Q1469" s="53"/>
      <x:c r="R1469" s="53"/>
      <x:c r="S1469" s="53"/>
      <x:c r="T1469" s="53"/>
      <x:c r="U1469" s="53"/>
      <x:c r="V1469" s="53"/>
      <x:c r="W1469" s="53"/>
      <x:c r="X1469" s="53"/>
      <x:c r="Y1469" s="53"/>
      <x:c r="Z1469" s="53"/>
      <x:c r="AA1469" s="53"/>
      <x:c r="AB1469" s="53"/>
      <x:c r="AC1469" s="53"/>
      <x:c r="AD1469" s="53"/>
      <x:c r="AE1469" s="53"/>
      <x:c r="AF1469" s="53"/>
    </x:row>
    <x:row r="1470">
      <x:c r="A1470" s="53"/>
      <x:c r="B1470" s="53"/>
      <x:c r="C1470" s="53"/>
      <x:c r="D1470" s="53"/>
      <x:c r="E1470" s="53"/>
      <x:c r="F1470" s="53"/>
      <x:c r="G1470" s="53"/>
      <x:c r="H1470" s="53"/>
      <x:c r="I1470" s="53"/>
      <x:c r="J1470" s="53"/>
      <x:c r="K1470" s="53"/>
      <x:c r="L1470" s="53"/>
      <x:c r="M1470" s="53"/>
      <x:c r="N1470" s="53"/>
      <x:c r="O1470" s="53"/>
      <x:c r="P1470" s="53"/>
      <x:c r="Q1470" s="53"/>
      <x:c r="R1470" s="53"/>
      <x:c r="S1470" s="53"/>
      <x:c r="T1470" s="53"/>
      <x:c r="U1470" s="53"/>
      <x:c r="V1470" s="53"/>
      <x:c r="W1470" s="53"/>
      <x:c r="X1470" s="53"/>
      <x:c r="Y1470" s="53"/>
      <x:c r="Z1470" s="53"/>
      <x:c r="AA1470" s="53"/>
      <x:c r="AB1470" s="53"/>
      <x:c r="AC1470" s="53"/>
      <x:c r="AD1470" s="53"/>
      <x:c r="AE1470" s="53"/>
      <x:c r="AF1470" s="53"/>
    </x:row>
    <x:row r="1471">
      <x:c r="A1471" s="53"/>
      <x:c r="B1471" s="53"/>
      <x:c r="C1471" s="53"/>
      <x:c r="D1471" s="53"/>
      <x:c r="E1471" s="53"/>
      <x:c r="F1471" s="53"/>
      <x:c r="G1471" s="53"/>
      <x:c r="H1471" s="53"/>
      <x:c r="I1471" s="53"/>
      <x:c r="J1471" s="53"/>
      <x:c r="K1471" s="53"/>
      <x:c r="L1471" s="53"/>
      <x:c r="M1471" s="53"/>
      <x:c r="N1471" s="53"/>
      <x:c r="O1471" s="53"/>
      <x:c r="P1471" s="53"/>
      <x:c r="Q1471" s="53"/>
      <x:c r="R1471" s="53"/>
      <x:c r="S1471" s="53"/>
      <x:c r="T1471" s="53"/>
      <x:c r="U1471" s="53"/>
      <x:c r="V1471" s="53"/>
      <x:c r="W1471" s="53"/>
      <x:c r="X1471" s="53"/>
      <x:c r="Y1471" s="53"/>
      <x:c r="Z1471" s="53"/>
      <x:c r="AA1471" s="53"/>
      <x:c r="AB1471" s="53"/>
      <x:c r="AC1471" s="53"/>
      <x:c r="AD1471" s="53"/>
      <x:c r="AE1471" s="53"/>
      <x:c r="AF1471" s="53"/>
    </x:row>
    <x:row r="1472">
      <x:c r="A1472" s="53"/>
      <x:c r="B1472" s="53"/>
      <x:c r="C1472" s="53"/>
      <x:c r="D1472" s="53"/>
      <x:c r="E1472" s="53"/>
      <x:c r="F1472" s="53"/>
      <x:c r="G1472" s="53"/>
      <x:c r="H1472" s="53"/>
      <x:c r="I1472" s="53"/>
      <x:c r="J1472" s="53"/>
      <x:c r="K1472" s="53"/>
      <x:c r="L1472" s="53"/>
      <x:c r="M1472" s="53"/>
      <x:c r="N1472" s="53"/>
      <x:c r="O1472" s="53"/>
      <x:c r="P1472" s="53"/>
      <x:c r="Q1472" s="53"/>
      <x:c r="R1472" s="53"/>
      <x:c r="S1472" s="53"/>
      <x:c r="T1472" s="53"/>
      <x:c r="U1472" s="53"/>
      <x:c r="V1472" s="53"/>
      <x:c r="W1472" s="53"/>
      <x:c r="X1472" s="53"/>
      <x:c r="Y1472" s="53"/>
      <x:c r="Z1472" s="53"/>
      <x:c r="AA1472" s="53"/>
      <x:c r="AB1472" s="53"/>
      <x:c r="AC1472" s="53"/>
      <x:c r="AD1472" s="53"/>
      <x:c r="AE1472" s="53"/>
      <x:c r="AF1472" s="53"/>
    </x:row>
    <x:row r="1473">
      <x:c r="A1473" s="53"/>
      <x:c r="B1473" s="53"/>
      <x:c r="C1473" s="53"/>
      <x:c r="D1473" s="53"/>
      <x:c r="E1473" s="53"/>
      <x:c r="F1473" s="53"/>
      <x:c r="G1473" s="53"/>
      <x:c r="H1473" s="53"/>
      <x:c r="I1473" s="53"/>
      <x:c r="J1473" s="53"/>
      <x:c r="K1473" s="53"/>
      <x:c r="L1473" s="53"/>
      <x:c r="M1473" s="53"/>
      <x:c r="N1473" s="53"/>
      <x:c r="O1473" s="53"/>
      <x:c r="P1473" s="53"/>
      <x:c r="Q1473" s="53"/>
      <x:c r="R1473" s="53"/>
      <x:c r="S1473" s="53"/>
      <x:c r="T1473" s="53"/>
      <x:c r="U1473" s="53"/>
      <x:c r="V1473" s="53"/>
      <x:c r="W1473" s="53"/>
      <x:c r="X1473" s="53"/>
      <x:c r="Y1473" s="53"/>
      <x:c r="Z1473" s="53"/>
      <x:c r="AA1473" s="53"/>
      <x:c r="AB1473" s="53"/>
      <x:c r="AC1473" s="53"/>
      <x:c r="AD1473" s="53"/>
      <x:c r="AE1473" s="53"/>
      <x:c r="AF1473" s="53"/>
    </x:row>
    <x:row r="1474">
      <x:c r="A1474" s="53"/>
      <x:c r="B1474" s="53"/>
      <x:c r="C1474" s="53"/>
      <x:c r="D1474" s="53"/>
      <x:c r="E1474" s="53"/>
      <x:c r="F1474" s="53"/>
      <x:c r="G1474" s="53"/>
      <x:c r="H1474" s="53"/>
      <x:c r="I1474" s="53"/>
      <x:c r="J1474" s="53"/>
      <x:c r="K1474" s="53"/>
      <x:c r="L1474" s="53"/>
      <x:c r="M1474" s="53"/>
      <x:c r="N1474" s="53"/>
      <x:c r="O1474" s="53"/>
      <x:c r="P1474" s="53"/>
      <x:c r="Q1474" s="53"/>
      <x:c r="R1474" s="53"/>
      <x:c r="S1474" s="53"/>
      <x:c r="T1474" s="53"/>
      <x:c r="U1474" s="53"/>
      <x:c r="V1474" s="53"/>
      <x:c r="W1474" s="53"/>
      <x:c r="X1474" s="53"/>
      <x:c r="Y1474" s="53"/>
      <x:c r="Z1474" s="53"/>
      <x:c r="AA1474" s="53"/>
      <x:c r="AB1474" s="53"/>
      <x:c r="AC1474" s="53"/>
      <x:c r="AD1474" s="53"/>
      <x:c r="AE1474" s="53"/>
      <x:c r="AF1474" s="53"/>
    </x:row>
    <x:row r="1475">
      <x:c r="A1475" s="53"/>
      <x:c r="B1475" s="53"/>
      <x:c r="C1475" s="53"/>
      <x:c r="D1475" s="53"/>
      <x:c r="E1475" s="53"/>
      <x:c r="F1475" s="53"/>
      <x:c r="G1475" s="53"/>
      <x:c r="H1475" s="53"/>
      <x:c r="I1475" s="53"/>
      <x:c r="J1475" s="53"/>
      <x:c r="K1475" s="53"/>
      <x:c r="L1475" s="53"/>
      <x:c r="M1475" s="53"/>
      <x:c r="N1475" s="53"/>
      <x:c r="O1475" s="53"/>
      <x:c r="P1475" s="53"/>
      <x:c r="Q1475" s="53"/>
      <x:c r="R1475" s="53"/>
      <x:c r="S1475" s="53"/>
      <x:c r="T1475" s="53"/>
      <x:c r="U1475" s="53"/>
      <x:c r="V1475" s="53"/>
      <x:c r="W1475" s="53"/>
      <x:c r="X1475" s="53"/>
      <x:c r="Y1475" s="53"/>
      <x:c r="Z1475" s="53"/>
      <x:c r="AA1475" s="53"/>
      <x:c r="AB1475" s="53"/>
      <x:c r="AC1475" s="53"/>
      <x:c r="AD1475" s="53"/>
      <x:c r="AE1475" s="53"/>
      <x:c r="AF1475" s="53"/>
    </x:row>
    <x:row r="1476">
      <x:c r="A1476" s="53"/>
      <x:c r="B1476" s="53"/>
      <x:c r="C1476" s="53"/>
      <x:c r="D1476" s="53"/>
      <x:c r="E1476" s="53"/>
      <x:c r="F1476" s="53"/>
      <x:c r="G1476" s="53"/>
      <x:c r="H1476" s="53"/>
      <x:c r="I1476" s="53"/>
      <x:c r="J1476" s="53"/>
      <x:c r="K1476" s="53"/>
      <x:c r="L1476" s="53"/>
      <x:c r="M1476" s="53"/>
      <x:c r="N1476" s="53"/>
      <x:c r="O1476" s="53"/>
      <x:c r="P1476" s="53"/>
      <x:c r="Q1476" s="53"/>
      <x:c r="R1476" s="53"/>
      <x:c r="S1476" s="53"/>
      <x:c r="T1476" s="53"/>
      <x:c r="U1476" s="53"/>
      <x:c r="V1476" s="53"/>
      <x:c r="W1476" s="53"/>
      <x:c r="X1476" s="53"/>
      <x:c r="Y1476" s="53"/>
      <x:c r="Z1476" s="53"/>
      <x:c r="AA1476" s="53"/>
      <x:c r="AB1476" s="53"/>
      <x:c r="AC1476" s="53"/>
      <x:c r="AD1476" s="53"/>
      <x:c r="AE1476" s="53"/>
      <x:c r="AF1476" s="53"/>
    </x:row>
    <x:row r="1477">
      <x:c r="A1477" s="53"/>
      <x:c r="B1477" s="53"/>
      <x:c r="C1477" s="53"/>
      <x:c r="D1477" s="53"/>
      <x:c r="E1477" s="53"/>
      <x:c r="F1477" s="53"/>
      <x:c r="G1477" s="53"/>
      <x:c r="H1477" s="53"/>
      <x:c r="I1477" s="53"/>
      <x:c r="J1477" s="53"/>
      <x:c r="K1477" s="53"/>
      <x:c r="L1477" s="53"/>
      <x:c r="M1477" s="53"/>
      <x:c r="N1477" s="53"/>
      <x:c r="O1477" s="53"/>
      <x:c r="P1477" s="53"/>
      <x:c r="Q1477" s="53"/>
      <x:c r="R1477" s="53"/>
      <x:c r="S1477" s="53"/>
      <x:c r="T1477" s="53"/>
      <x:c r="U1477" s="53"/>
      <x:c r="V1477" s="53"/>
      <x:c r="W1477" s="53"/>
      <x:c r="X1477" s="53"/>
      <x:c r="Y1477" s="53"/>
      <x:c r="Z1477" s="53"/>
      <x:c r="AA1477" s="53"/>
      <x:c r="AB1477" s="53"/>
      <x:c r="AC1477" s="53"/>
      <x:c r="AD1477" s="53"/>
      <x:c r="AE1477" s="53"/>
      <x:c r="AF1477" s="53"/>
    </x:row>
    <x:row r="1478">
      <x:c r="A1478" s="53"/>
      <x:c r="B1478" s="53"/>
      <x:c r="C1478" s="53"/>
      <x:c r="D1478" s="53"/>
      <x:c r="E1478" s="53"/>
      <x:c r="F1478" s="53"/>
      <x:c r="G1478" s="53"/>
      <x:c r="H1478" s="53"/>
      <x:c r="I1478" s="53"/>
      <x:c r="J1478" s="53"/>
      <x:c r="K1478" s="53"/>
      <x:c r="L1478" s="53"/>
      <x:c r="M1478" s="53"/>
      <x:c r="N1478" s="53"/>
      <x:c r="O1478" s="53"/>
      <x:c r="P1478" s="53"/>
      <x:c r="Q1478" s="53"/>
      <x:c r="R1478" s="53"/>
      <x:c r="S1478" s="53"/>
      <x:c r="T1478" s="53"/>
      <x:c r="U1478" s="53"/>
      <x:c r="V1478" s="53"/>
      <x:c r="W1478" s="53"/>
      <x:c r="X1478" s="53"/>
      <x:c r="Y1478" s="53"/>
      <x:c r="Z1478" s="53"/>
      <x:c r="AA1478" s="53"/>
      <x:c r="AB1478" s="53"/>
      <x:c r="AC1478" s="53"/>
      <x:c r="AD1478" s="53"/>
      <x:c r="AE1478" s="53"/>
      <x:c r="AF1478" s="53"/>
    </x:row>
    <x:row r="1479">
      <x:c r="A1479" s="53"/>
      <x:c r="B1479" s="53"/>
      <x:c r="C1479" s="53"/>
      <x:c r="D1479" s="53"/>
      <x:c r="E1479" s="53"/>
      <x:c r="F1479" s="53"/>
      <x:c r="G1479" s="53"/>
      <x:c r="H1479" s="53"/>
      <x:c r="I1479" s="53"/>
      <x:c r="J1479" s="53"/>
      <x:c r="K1479" s="53"/>
      <x:c r="L1479" s="53"/>
      <x:c r="M1479" s="53"/>
      <x:c r="N1479" s="53"/>
      <x:c r="O1479" s="53"/>
      <x:c r="P1479" s="53"/>
      <x:c r="Q1479" s="53"/>
      <x:c r="R1479" s="53"/>
      <x:c r="S1479" s="53"/>
      <x:c r="T1479" s="53"/>
      <x:c r="U1479" s="53"/>
      <x:c r="V1479" s="53"/>
      <x:c r="W1479" s="53"/>
      <x:c r="X1479" s="53"/>
      <x:c r="Y1479" s="53"/>
      <x:c r="Z1479" s="53"/>
      <x:c r="AA1479" s="53"/>
      <x:c r="AB1479" s="53"/>
      <x:c r="AC1479" s="53"/>
      <x:c r="AD1479" s="53"/>
      <x:c r="AE1479" s="53"/>
      <x:c r="AF1479" s="53"/>
    </x:row>
    <x:row r="1480">
      <x:c r="A1480" s="53"/>
      <x:c r="B1480" s="53"/>
      <x:c r="C1480" s="53"/>
      <x:c r="D1480" s="53"/>
      <x:c r="E1480" s="53"/>
      <x:c r="F1480" s="53"/>
      <x:c r="G1480" s="53"/>
      <x:c r="H1480" s="53"/>
      <x:c r="I1480" s="53"/>
      <x:c r="J1480" s="53"/>
      <x:c r="K1480" s="53"/>
      <x:c r="L1480" s="53"/>
      <x:c r="M1480" s="53"/>
      <x:c r="N1480" s="53"/>
      <x:c r="O1480" s="53"/>
      <x:c r="P1480" s="53"/>
      <x:c r="Q1480" s="53"/>
      <x:c r="R1480" s="53"/>
      <x:c r="S1480" s="53"/>
      <x:c r="T1480" s="53"/>
      <x:c r="U1480" s="53"/>
      <x:c r="V1480" s="53"/>
      <x:c r="W1480" s="53"/>
      <x:c r="X1480" s="53"/>
      <x:c r="Y1480" s="53"/>
      <x:c r="Z1480" s="53"/>
      <x:c r="AA1480" s="53"/>
      <x:c r="AB1480" s="53"/>
      <x:c r="AC1480" s="53"/>
      <x:c r="AD1480" s="53"/>
      <x:c r="AE1480" s="53"/>
      <x:c r="AF1480" s="53"/>
    </x:row>
    <x:row r="1481">
      <x:c r="A1481" s="53"/>
      <x:c r="B1481" s="53"/>
      <x:c r="C1481" s="53"/>
      <x:c r="D1481" s="53"/>
      <x:c r="E1481" s="53"/>
      <x:c r="F1481" s="53"/>
      <x:c r="G1481" s="53"/>
      <x:c r="H1481" s="53"/>
      <x:c r="I1481" s="53"/>
      <x:c r="J1481" s="53"/>
      <x:c r="K1481" s="53"/>
      <x:c r="L1481" s="53"/>
      <x:c r="M1481" s="53"/>
      <x:c r="N1481" s="53"/>
      <x:c r="O1481" s="53"/>
      <x:c r="P1481" s="53"/>
      <x:c r="Q1481" s="53"/>
      <x:c r="R1481" s="53"/>
      <x:c r="S1481" s="53"/>
      <x:c r="T1481" s="53"/>
      <x:c r="U1481" s="53"/>
      <x:c r="V1481" s="53"/>
      <x:c r="W1481" s="53"/>
      <x:c r="X1481" s="53"/>
      <x:c r="Y1481" s="53"/>
      <x:c r="Z1481" s="53"/>
      <x:c r="AA1481" s="53"/>
      <x:c r="AB1481" s="53"/>
      <x:c r="AC1481" s="53"/>
      <x:c r="AD1481" s="53"/>
      <x:c r="AE1481" s="53"/>
      <x:c r="AF1481" s="53"/>
    </x:row>
    <x:row r="1482">
      <x:c r="A1482" s="53"/>
      <x:c r="B1482" s="53"/>
      <x:c r="C1482" s="53"/>
      <x:c r="D1482" s="53"/>
      <x:c r="E1482" s="53"/>
      <x:c r="F1482" s="53"/>
      <x:c r="G1482" s="53"/>
      <x:c r="H1482" s="53"/>
      <x:c r="I1482" s="53"/>
      <x:c r="J1482" s="53"/>
      <x:c r="K1482" s="53"/>
      <x:c r="L1482" s="53"/>
      <x:c r="M1482" s="53"/>
      <x:c r="N1482" s="53"/>
      <x:c r="O1482" s="53"/>
      <x:c r="P1482" s="53"/>
      <x:c r="Q1482" s="53"/>
      <x:c r="R1482" s="53"/>
      <x:c r="S1482" s="53"/>
      <x:c r="T1482" s="53"/>
      <x:c r="U1482" s="53"/>
      <x:c r="V1482" s="53"/>
      <x:c r="W1482" s="53"/>
      <x:c r="X1482" s="53"/>
      <x:c r="Y1482" s="53"/>
      <x:c r="Z1482" s="53"/>
      <x:c r="AA1482" s="53"/>
      <x:c r="AB1482" s="53"/>
      <x:c r="AC1482" s="53"/>
      <x:c r="AD1482" s="53"/>
      <x:c r="AE1482" s="53"/>
      <x:c r="AF1482" s="53"/>
    </x:row>
    <x:row r="1483">
      <x:c r="A1483" s="53"/>
      <x:c r="B1483" s="53"/>
      <x:c r="C1483" s="53"/>
      <x:c r="D1483" s="53"/>
      <x:c r="E1483" s="53"/>
      <x:c r="F1483" s="53"/>
      <x:c r="G1483" s="53"/>
      <x:c r="H1483" s="53"/>
      <x:c r="I1483" s="53"/>
      <x:c r="J1483" s="53"/>
      <x:c r="K1483" s="53"/>
      <x:c r="L1483" s="53"/>
      <x:c r="M1483" s="53"/>
      <x:c r="N1483" s="53"/>
      <x:c r="O1483" s="53"/>
      <x:c r="P1483" s="53"/>
      <x:c r="Q1483" s="53"/>
      <x:c r="R1483" s="53"/>
      <x:c r="S1483" s="53"/>
      <x:c r="T1483" s="53"/>
      <x:c r="U1483" s="53"/>
      <x:c r="V1483" s="53"/>
      <x:c r="W1483" s="53"/>
      <x:c r="X1483" s="53"/>
      <x:c r="Y1483" s="53"/>
      <x:c r="Z1483" s="53"/>
      <x:c r="AA1483" s="53"/>
      <x:c r="AB1483" s="53"/>
      <x:c r="AC1483" s="53"/>
      <x:c r="AD1483" s="53"/>
      <x:c r="AE1483" s="53"/>
      <x:c r="AF1483" s="53"/>
    </x:row>
    <x:row r="1484">
      <x:c r="A1484" s="53"/>
      <x:c r="B1484" s="53"/>
      <x:c r="C1484" s="53"/>
      <x:c r="D1484" s="53"/>
      <x:c r="E1484" s="53"/>
      <x:c r="F1484" s="53"/>
      <x:c r="G1484" s="53"/>
      <x:c r="H1484" s="53"/>
      <x:c r="I1484" s="53"/>
      <x:c r="J1484" s="53"/>
      <x:c r="K1484" s="53"/>
      <x:c r="L1484" s="53"/>
      <x:c r="M1484" s="53"/>
      <x:c r="N1484" s="53"/>
      <x:c r="O1484" s="53"/>
      <x:c r="P1484" s="53"/>
      <x:c r="Q1484" s="53"/>
      <x:c r="R1484" s="53"/>
      <x:c r="S1484" s="53"/>
      <x:c r="T1484" s="53"/>
      <x:c r="U1484" s="53"/>
      <x:c r="V1484" s="53"/>
      <x:c r="W1484" s="53"/>
      <x:c r="X1484" s="53"/>
      <x:c r="Y1484" s="53"/>
      <x:c r="Z1484" s="53"/>
      <x:c r="AA1484" s="53"/>
      <x:c r="AB1484" s="53"/>
      <x:c r="AC1484" s="53"/>
      <x:c r="AD1484" s="53"/>
      <x:c r="AE1484" s="53"/>
      <x:c r="AF1484" s="53"/>
    </x:row>
    <x:row r="1485">
      <x:c r="A1485" s="53"/>
      <x:c r="B1485" s="53"/>
      <x:c r="C1485" s="53"/>
      <x:c r="D1485" s="53"/>
      <x:c r="E1485" s="53"/>
      <x:c r="F1485" s="53"/>
      <x:c r="G1485" s="53"/>
      <x:c r="H1485" s="53"/>
      <x:c r="I1485" s="53"/>
      <x:c r="J1485" s="53"/>
      <x:c r="K1485" s="53"/>
      <x:c r="L1485" s="53"/>
      <x:c r="M1485" s="53"/>
      <x:c r="N1485" s="53"/>
      <x:c r="O1485" s="53"/>
      <x:c r="P1485" s="53"/>
      <x:c r="Q1485" s="53"/>
      <x:c r="R1485" s="53"/>
      <x:c r="S1485" s="53"/>
      <x:c r="T1485" s="53"/>
      <x:c r="U1485" s="53"/>
      <x:c r="V1485" s="53"/>
      <x:c r="W1485" s="53"/>
      <x:c r="X1485" s="53"/>
      <x:c r="Y1485" s="53"/>
      <x:c r="Z1485" s="53"/>
      <x:c r="AA1485" s="53"/>
      <x:c r="AB1485" s="53"/>
      <x:c r="AC1485" s="53"/>
      <x:c r="AD1485" s="53"/>
      <x:c r="AE1485" s="53"/>
      <x:c r="AF1485" s="53"/>
    </x:row>
    <x:row r="1486">
      <x:c r="A1486" s="53"/>
      <x:c r="B1486" s="53"/>
      <x:c r="C1486" s="53"/>
      <x:c r="D1486" s="53"/>
      <x:c r="E1486" s="53"/>
      <x:c r="F1486" s="53"/>
      <x:c r="G1486" s="53"/>
      <x:c r="H1486" s="53"/>
      <x:c r="I1486" s="53"/>
      <x:c r="J1486" s="53"/>
      <x:c r="K1486" s="53"/>
      <x:c r="L1486" s="53"/>
      <x:c r="M1486" s="53"/>
      <x:c r="N1486" s="53"/>
      <x:c r="O1486" s="53"/>
      <x:c r="P1486" s="53"/>
      <x:c r="Q1486" s="53"/>
      <x:c r="R1486" s="53"/>
      <x:c r="S1486" s="53"/>
      <x:c r="T1486" s="53"/>
      <x:c r="U1486" s="53"/>
      <x:c r="V1486" s="53"/>
      <x:c r="W1486" s="53"/>
      <x:c r="X1486" s="53"/>
      <x:c r="Y1486" s="53"/>
      <x:c r="Z1486" s="53"/>
      <x:c r="AA1486" s="53"/>
      <x:c r="AB1486" s="53"/>
      <x:c r="AC1486" s="53"/>
      <x:c r="AD1486" s="53"/>
      <x:c r="AE1486" s="53"/>
      <x:c r="AF1486" s="53"/>
    </x:row>
    <x:row r="1487">
      <x:c r="A1487" s="53"/>
      <x:c r="B1487" s="53"/>
      <x:c r="C1487" s="53"/>
      <x:c r="D1487" s="53"/>
      <x:c r="E1487" s="53"/>
      <x:c r="F1487" s="53"/>
      <x:c r="G1487" s="53"/>
      <x:c r="H1487" s="53"/>
      <x:c r="I1487" s="53"/>
      <x:c r="J1487" s="53"/>
      <x:c r="K1487" s="53"/>
      <x:c r="L1487" s="53"/>
      <x:c r="M1487" s="53"/>
      <x:c r="N1487" s="53"/>
      <x:c r="O1487" s="53"/>
      <x:c r="P1487" s="53"/>
      <x:c r="Q1487" s="53"/>
      <x:c r="R1487" s="53"/>
      <x:c r="S1487" s="53"/>
      <x:c r="T1487" s="53"/>
      <x:c r="U1487" s="53"/>
      <x:c r="V1487" s="53"/>
      <x:c r="W1487" s="53"/>
      <x:c r="X1487" s="53"/>
      <x:c r="Y1487" s="53"/>
      <x:c r="Z1487" s="53"/>
      <x:c r="AA1487" s="53"/>
      <x:c r="AB1487" s="53"/>
      <x:c r="AC1487" s="53"/>
      <x:c r="AD1487" s="53"/>
      <x:c r="AE1487" s="53"/>
      <x:c r="AF1487" s="53"/>
    </x:row>
    <x:row r="1488">
      <x:c r="A1488" s="53"/>
      <x:c r="B1488" s="53"/>
      <x:c r="C1488" s="53"/>
      <x:c r="D1488" s="53"/>
      <x:c r="E1488" s="53"/>
      <x:c r="F1488" s="53"/>
      <x:c r="G1488" s="53"/>
      <x:c r="H1488" s="53"/>
      <x:c r="I1488" s="53"/>
      <x:c r="J1488" s="53"/>
      <x:c r="K1488" s="53"/>
      <x:c r="L1488" s="53"/>
      <x:c r="M1488" s="53"/>
      <x:c r="N1488" s="53"/>
      <x:c r="O1488" s="53"/>
      <x:c r="P1488" s="53"/>
      <x:c r="Q1488" s="53"/>
      <x:c r="R1488" s="53"/>
      <x:c r="S1488" s="53"/>
      <x:c r="T1488" s="53"/>
      <x:c r="U1488" s="53"/>
      <x:c r="V1488" s="53"/>
      <x:c r="W1488" s="53"/>
      <x:c r="X1488" s="53"/>
      <x:c r="Y1488" s="53"/>
      <x:c r="Z1488" s="53"/>
      <x:c r="AA1488" s="53"/>
      <x:c r="AB1488" s="53"/>
      <x:c r="AC1488" s="53"/>
      <x:c r="AD1488" s="53"/>
      <x:c r="AE1488" s="53"/>
      <x:c r="AF1488" s="53"/>
    </x:row>
    <x:row r="1489">
      <x:c r="A1489" s="53"/>
      <x:c r="B1489" s="53"/>
      <x:c r="C1489" s="53"/>
      <x:c r="D1489" s="53"/>
      <x:c r="E1489" s="53"/>
      <x:c r="F1489" s="53"/>
      <x:c r="G1489" s="53"/>
      <x:c r="H1489" s="53"/>
      <x:c r="I1489" s="53"/>
      <x:c r="J1489" s="53"/>
      <x:c r="K1489" s="53"/>
      <x:c r="L1489" s="53"/>
      <x:c r="M1489" s="53"/>
      <x:c r="N1489" s="53"/>
      <x:c r="O1489" s="53"/>
      <x:c r="P1489" s="53"/>
      <x:c r="Q1489" s="53"/>
      <x:c r="R1489" s="53"/>
      <x:c r="S1489" s="53"/>
      <x:c r="T1489" s="53"/>
      <x:c r="U1489" s="53"/>
      <x:c r="V1489" s="53"/>
      <x:c r="W1489" s="53"/>
      <x:c r="X1489" s="53"/>
      <x:c r="Y1489" s="53"/>
      <x:c r="Z1489" s="53"/>
      <x:c r="AA1489" s="53"/>
      <x:c r="AB1489" s="53"/>
      <x:c r="AC1489" s="53"/>
      <x:c r="AD1489" s="53"/>
      <x:c r="AE1489" s="53"/>
      <x:c r="AF1489" s="53"/>
    </x:row>
    <x:row r="1490">
      <x:c r="A1490" s="53"/>
      <x:c r="B1490" s="53"/>
      <x:c r="C1490" s="53"/>
      <x:c r="D1490" s="53"/>
      <x:c r="E1490" s="53"/>
      <x:c r="F1490" s="53"/>
      <x:c r="G1490" s="53"/>
      <x:c r="H1490" s="53"/>
      <x:c r="I1490" s="53"/>
      <x:c r="J1490" s="53"/>
      <x:c r="K1490" s="53"/>
      <x:c r="L1490" s="53"/>
      <x:c r="M1490" s="53"/>
      <x:c r="N1490" s="53"/>
      <x:c r="O1490" s="53"/>
      <x:c r="P1490" s="53"/>
      <x:c r="Q1490" s="53"/>
      <x:c r="R1490" s="53"/>
      <x:c r="S1490" s="53"/>
      <x:c r="T1490" s="53"/>
      <x:c r="U1490" s="53"/>
      <x:c r="V1490" s="53"/>
      <x:c r="W1490" s="53"/>
      <x:c r="X1490" s="53"/>
      <x:c r="Y1490" s="53"/>
      <x:c r="Z1490" s="53"/>
      <x:c r="AA1490" s="53"/>
      <x:c r="AB1490" s="53"/>
      <x:c r="AC1490" s="53"/>
      <x:c r="AD1490" s="53"/>
      <x:c r="AE1490" s="53"/>
      <x:c r="AF1490" s="53"/>
    </x:row>
    <x:row r="1491">
      <x:c r="A1491" s="53"/>
      <x:c r="B1491" s="53"/>
      <x:c r="C1491" s="53"/>
      <x:c r="D1491" s="53"/>
      <x:c r="E1491" s="53"/>
      <x:c r="F1491" s="53"/>
      <x:c r="G1491" s="53"/>
      <x:c r="H1491" s="53"/>
      <x:c r="I1491" s="53"/>
      <x:c r="J1491" s="53"/>
      <x:c r="K1491" s="53"/>
      <x:c r="L1491" s="53"/>
      <x:c r="M1491" s="53"/>
      <x:c r="N1491" s="53"/>
      <x:c r="O1491" s="53"/>
      <x:c r="P1491" s="53"/>
      <x:c r="Q1491" s="53"/>
      <x:c r="R1491" s="53"/>
      <x:c r="S1491" s="53"/>
      <x:c r="T1491" s="53"/>
      <x:c r="U1491" s="53"/>
      <x:c r="V1491" s="53"/>
      <x:c r="W1491" s="53"/>
      <x:c r="X1491" s="53"/>
      <x:c r="Y1491" s="53"/>
      <x:c r="Z1491" s="53"/>
      <x:c r="AA1491" s="53"/>
      <x:c r="AB1491" s="53"/>
      <x:c r="AC1491" s="53"/>
      <x:c r="AD1491" s="53"/>
      <x:c r="AE1491" s="53"/>
      <x:c r="AF1491" s="53"/>
    </x:row>
    <x:row r="1492">
      <x:c r="A1492" s="53"/>
      <x:c r="B1492" s="53"/>
      <x:c r="C1492" s="53"/>
      <x:c r="D1492" s="53"/>
      <x:c r="E1492" s="53"/>
      <x:c r="F1492" s="53"/>
      <x:c r="G1492" s="53"/>
      <x:c r="H1492" s="53"/>
      <x:c r="I1492" s="53"/>
      <x:c r="J1492" s="53"/>
      <x:c r="K1492" s="53"/>
      <x:c r="L1492" s="53"/>
      <x:c r="M1492" s="53"/>
      <x:c r="N1492" s="53"/>
      <x:c r="O1492" s="53"/>
      <x:c r="P1492" s="53"/>
      <x:c r="Q1492" s="53"/>
      <x:c r="R1492" s="53"/>
      <x:c r="S1492" s="53"/>
      <x:c r="T1492" s="53"/>
      <x:c r="U1492" s="53"/>
      <x:c r="V1492" s="53"/>
      <x:c r="W1492" s="53"/>
      <x:c r="X1492" s="53"/>
      <x:c r="Y1492" s="53"/>
      <x:c r="Z1492" s="53"/>
      <x:c r="AA1492" s="53"/>
      <x:c r="AB1492" s="53"/>
      <x:c r="AC1492" s="53"/>
      <x:c r="AD1492" s="53"/>
      <x:c r="AE1492" s="53"/>
      <x:c r="AF1492" s="53"/>
    </x:row>
    <x:row r="1493">
      <x:c r="A1493" s="53"/>
      <x:c r="B1493" s="53"/>
      <x:c r="C1493" s="53"/>
      <x:c r="D1493" s="53"/>
      <x:c r="E1493" s="53"/>
      <x:c r="F1493" s="53"/>
      <x:c r="G1493" s="53"/>
      <x:c r="H1493" s="53"/>
      <x:c r="I1493" s="53"/>
      <x:c r="J1493" s="53"/>
      <x:c r="K1493" s="53"/>
      <x:c r="L1493" s="53"/>
      <x:c r="M1493" s="53"/>
      <x:c r="N1493" s="53"/>
      <x:c r="O1493" s="53"/>
      <x:c r="P1493" s="53"/>
      <x:c r="Q1493" s="53"/>
      <x:c r="R1493" s="53"/>
      <x:c r="S1493" s="53"/>
      <x:c r="T1493" s="53"/>
      <x:c r="U1493" s="53"/>
      <x:c r="V1493" s="53"/>
      <x:c r="W1493" s="53"/>
      <x:c r="X1493" s="53"/>
      <x:c r="Y1493" s="53"/>
      <x:c r="Z1493" s="53"/>
      <x:c r="AA1493" s="53"/>
      <x:c r="AB1493" s="53"/>
      <x:c r="AC1493" s="53"/>
      <x:c r="AD1493" s="53"/>
      <x:c r="AE1493" s="53"/>
      <x:c r="AF1493" s="53"/>
    </x:row>
    <x:row r="1494">
      <x:c r="A1494" s="53"/>
      <x:c r="B1494" s="53"/>
      <x:c r="C1494" s="53"/>
      <x:c r="D1494" s="53"/>
      <x:c r="E1494" s="53"/>
      <x:c r="F1494" s="53"/>
      <x:c r="G1494" s="53"/>
      <x:c r="H1494" s="53"/>
      <x:c r="I1494" s="53"/>
      <x:c r="J1494" s="53"/>
      <x:c r="K1494" s="53"/>
      <x:c r="L1494" s="53"/>
      <x:c r="M1494" s="53"/>
      <x:c r="N1494" s="53"/>
      <x:c r="O1494" s="53"/>
      <x:c r="P1494" s="53"/>
      <x:c r="Q1494" s="53"/>
      <x:c r="R1494" s="53"/>
      <x:c r="S1494" s="53"/>
      <x:c r="T1494" s="53"/>
      <x:c r="U1494" s="53"/>
      <x:c r="V1494" s="53"/>
      <x:c r="W1494" s="53"/>
      <x:c r="X1494" s="53"/>
      <x:c r="Y1494" s="53"/>
      <x:c r="Z1494" s="53"/>
      <x:c r="AA1494" s="53"/>
      <x:c r="AB1494" s="53"/>
      <x:c r="AC1494" s="53"/>
      <x:c r="AD1494" s="53"/>
      <x:c r="AE1494" s="53"/>
      <x:c r="AF1494" s="53"/>
    </x:row>
    <x:row r="1495">
      <x:c r="A1495" s="53"/>
      <x:c r="B1495" s="53"/>
      <x:c r="C1495" s="53"/>
      <x:c r="D1495" s="53"/>
      <x:c r="E1495" s="53"/>
      <x:c r="F1495" s="53"/>
      <x:c r="G1495" s="53"/>
      <x:c r="H1495" s="53"/>
      <x:c r="I1495" s="53"/>
      <x:c r="J1495" s="53"/>
      <x:c r="K1495" s="53"/>
      <x:c r="L1495" s="53"/>
      <x:c r="M1495" s="53"/>
      <x:c r="N1495" s="53"/>
      <x:c r="O1495" s="53"/>
      <x:c r="P1495" s="53"/>
      <x:c r="Q1495" s="53"/>
      <x:c r="R1495" s="53"/>
      <x:c r="S1495" s="53"/>
      <x:c r="T1495" s="53"/>
      <x:c r="U1495" s="53"/>
      <x:c r="V1495" s="53"/>
      <x:c r="W1495" s="53"/>
      <x:c r="X1495" s="53"/>
      <x:c r="Y1495" s="53"/>
      <x:c r="Z1495" s="53"/>
      <x:c r="AA1495" s="53"/>
      <x:c r="AB1495" s="53"/>
      <x:c r="AC1495" s="53"/>
      <x:c r="AD1495" s="53"/>
      <x:c r="AE1495" s="53"/>
      <x:c r="AF1495" s="53"/>
    </x:row>
    <x:row r="1496">
      <x:c r="A1496" s="53"/>
      <x:c r="B1496" s="53"/>
      <x:c r="C1496" s="53"/>
      <x:c r="D1496" s="53"/>
      <x:c r="E1496" s="53"/>
      <x:c r="F1496" s="53"/>
      <x:c r="G1496" s="53"/>
      <x:c r="H1496" s="53"/>
      <x:c r="I1496" s="53"/>
      <x:c r="J1496" s="53"/>
      <x:c r="K1496" s="53"/>
      <x:c r="L1496" s="53"/>
      <x:c r="M1496" s="53"/>
      <x:c r="N1496" s="53"/>
      <x:c r="O1496" s="53"/>
      <x:c r="P1496" s="53"/>
      <x:c r="Q1496" s="53"/>
      <x:c r="R1496" s="53"/>
      <x:c r="S1496" s="53"/>
      <x:c r="T1496" s="53"/>
      <x:c r="U1496" s="53"/>
      <x:c r="V1496" s="53"/>
      <x:c r="W1496" s="53"/>
      <x:c r="X1496" s="53"/>
      <x:c r="Y1496" s="53"/>
      <x:c r="Z1496" s="53"/>
      <x:c r="AA1496" s="53"/>
      <x:c r="AB1496" s="53"/>
      <x:c r="AC1496" s="53"/>
      <x:c r="AD1496" s="53"/>
      <x:c r="AE1496" s="53"/>
      <x:c r="AF1496" s="53"/>
    </x:row>
    <x:row r="1497">
      <x:c r="A1497" s="53"/>
      <x:c r="B1497" s="53"/>
      <x:c r="C1497" s="53"/>
      <x:c r="D1497" s="53"/>
      <x:c r="E1497" s="53"/>
      <x:c r="F1497" s="53"/>
      <x:c r="G1497" s="53"/>
      <x:c r="H1497" s="53"/>
      <x:c r="I1497" s="53"/>
      <x:c r="J1497" s="53"/>
      <x:c r="K1497" s="53"/>
      <x:c r="L1497" s="53"/>
      <x:c r="M1497" s="53"/>
      <x:c r="N1497" s="53"/>
      <x:c r="O1497" s="53"/>
      <x:c r="P1497" s="53"/>
      <x:c r="Q1497" s="53"/>
      <x:c r="R1497" s="53"/>
      <x:c r="S1497" s="53"/>
      <x:c r="T1497" s="53"/>
      <x:c r="U1497" s="53"/>
      <x:c r="V1497" s="53"/>
      <x:c r="W1497" s="53"/>
      <x:c r="X1497" s="53"/>
      <x:c r="Y1497" s="53"/>
      <x:c r="Z1497" s="53"/>
      <x:c r="AA1497" s="53"/>
      <x:c r="AB1497" s="53"/>
      <x:c r="AC1497" s="53"/>
      <x:c r="AD1497" s="53"/>
      <x:c r="AE1497" s="53"/>
      <x:c r="AF1497" s="53"/>
    </x:row>
    <x:row r="1498">
      <x:c r="A1498" s="53"/>
      <x:c r="B1498" s="53"/>
      <x:c r="C1498" s="53"/>
      <x:c r="D1498" s="53"/>
      <x:c r="E1498" s="53"/>
      <x:c r="F1498" s="53"/>
      <x:c r="G1498" s="53"/>
      <x:c r="H1498" s="53"/>
      <x:c r="I1498" s="53"/>
      <x:c r="J1498" s="53"/>
      <x:c r="K1498" s="53"/>
      <x:c r="L1498" s="53"/>
      <x:c r="M1498" s="53"/>
      <x:c r="N1498" s="53"/>
      <x:c r="O1498" s="53"/>
      <x:c r="P1498" s="53"/>
      <x:c r="Q1498" s="53"/>
      <x:c r="R1498" s="53"/>
      <x:c r="S1498" s="53"/>
      <x:c r="T1498" s="53"/>
      <x:c r="U1498" s="53"/>
      <x:c r="V1498" s="53"/>
      <x:c r="W1498" s="53"/>
      <x:c r="X1498" s="53"/>
      <x:c r="Y1498" s="53"/>
      <x:c r="Z1498" s="53"/>
      <x:c r="AA1498" s="53"/>
      <x:c r="AB1498" s="53"/>
      <x:c r="AC1498" s="53"/>
      <x:c r="AD1498" s="53"/>
      <x:c r="AE1498" s="53"/>
      <x:c r="AF1498" s="53"/>
    </x:row>
    <x:row r="1499">
      <x:c r="A1499" s="53"/>
      <x:c r="B1499" s="53"/>
      <x:c r="C1499" s="53"/>
      <x:c r="D1499" s="53"/>
      <x:c r="E1499" s="53"/>
      <x:c r="F1499" s="53"/>
      <x:c r="G1499" s="53"/>
      <x:c r="H1499" s="53"/>
      <x:c r="I1499" s="53"/>
      <x:c r="J1499" s="53"/>
      <x:c r="K1499" s="53"/>
      <x:c r="L1499" s="53"/>
      <x:c r="M1499" s="53"/>
      <x:c r="N1499" s="53"/>
      <x:c r="O1499" s="53"/>
      <x:c r="P1499" s="53"/>
      <x:c r="Q1499" s="53"/>
      <x:c r="R1499" s="53"/>
      <x:c r="S1499" s="53"/>
      <x:c r="T1499" s="53"/>
      <x:c r="U1499" s="53"/>
      <x:c r="V1499" s="53"/>
      <x:c r="W1499" s="53"/>
      <x:c r="X1499" s="53"/>
      <x:c r="Y1499" s="53"/>
      <x:c r="Z1499" s="53"/>
      <x:c r="AA1499" s="53"/>
      <x:c r="AB1499" s="53"/>
      <x:c r="AC1499" s="53"/>
      <x:c r="AD1499" s="53"/>
      <x:c r="AE1499" s="53"/>
      <x:c r="AF1499" s="53"/>
    </x:row>
    <x:row r="1500">
      <x:c r="A1500" s="53"/>
      <x:c r="B1500" s="53"/>
      <x:c r="C1500" s="53"/>
      <x:c r="D1500" s="53"/>
      <x:c r="E1500" s="53"/>
      <x:c r="F1500" s="53"/>
      <x:c r="G1500" s="53"/>
      <x:c r="H1500" s="53"/>
      <x:c r="I1500" s="53"/>
      <x:c r="J1500" s="53"/>
      <x:c r="K1500" s="53"/>
      <x:c r="L1500" s="53"/>
      <x:c r="M1500" s="53"/>
      <x:c r="N1500" s="53"/>
      <x:c r="O1500" s="53"/>
      <x:c r="P1500" s="53"/>
      <x:c r="Q1500" s="53"/>
      <x:c r="R1500" s="53"/>
      <x:c r="S1500" s="53"/>
      <x:c r="T1500" s="53"/>
      <x:c r="U1500" s="53"/>
      <x:c r="V1500" s="53"/>
      <x:c r="W1500" s="53"/>
      <x:c r="X1500" s="53"/>
      <x:c r="Y1500" s="53"/>
      <x:c r="Z1500" s="53"/>
      <x:c r="AA1500" s="53"/>
      <x:c r="AB1500" s="53"/>
      <x:c r="AC1500" s="53"/>
      <x:c r="AD1500" s="53"/>
      <x:c r="AE1500" s="53"/>
      <x:c r="AF1500" s="53"/>
    </x:row>
    <x:row r="1501">
      <x:c r="A1501" s="53"/>
      <x:c r="B1501" s="53"/>
      <x:c r="C1501" s="53"/>
      <x:c r="D1501" s="53"/>
      <x:c r="E1501" s="53"/>
      <x:c r="F1501" s="53"/>
      <x:c r="G1501" s="53"/>
      <x:c r="H1501" s="53"/>
      <x:c r="I1501" s="53"/>
      <x:c r="J1501" s="53"/>
      <x:c r="K1501" s="53"/>
      <x:c r="L1501" s="53"/>
      <x:c r="M1501" s="53"/>
      <x:c r="N1501" s="53"/>
      <x:c r="O1501" s="53"/>
      <x:c r="P1501" s="53"/>
      <x:c r="Q1501" s="53"/>
      <x:c r="R1501" s="53"/>
      <x:c r="S1501" s="53"/>
      <x:c r="T1501" s="53"/>
      <x:c r="U1501" s="53"/>
      <x:c r="V1501" s="53"/>
      <x:c r="W1501" s="53"/>
      <x:c r="X1501" s="53"/>
      <x:c r="Y1501" s="53"/>
      <x:c r="Z1501" s="53"/>
      <x:c r="AA1501" s="53"/>
      <x:c r="AB1501" s="53"/>
      <x:c r="AC1501" s="53"/>
      <x:c r="AD1501" s="53"/>
      <x:c r="AE1501" s="53"/>
      <x:c r="AF1501" s="53"/>
    </x:row>
    <x:row r="1502">
      <x:c r="A1502" s="53"/>
      <x:c r="B1502" s="53"/>
      <x:c r="C1502" s="53"/>
      <x:c r="D1502" s="53"/>
      <x:c r="E1502" s="53"/>
      <x:c r="F1502" s="53"/>
      <x:c r="G1502" s="53"/>
      <x:c r="H1502" s="53"/>
      <x:c r="I1502" s="53"/>
      <x:c r="J1502" s="53"/>
      <x:c r="K1502" s="53"/>
      <x:c r="L1502" s="53"/>
      <x:c r="M1502" s="53"/>
      <x:c r="N1502" s="53"/>
      <x:c r="O1502" s="53"/>
      <x:c r="P1502" s="53"/>
      <x:c r="Q1502" s="53"/>
      <x:c r="R1502" s="53"/>
      <x:c r="S1502" s="53"/>
      <x:c r="T1502" s="53"/>
      <x:c r="U1502" s="53"/>
      <x:c r="V1502" s="53"/>
      <x:c r="W1502" s="53"/>
      <x:c r="X1502" s="53"/>
      <x:c r="Y1502" s="53"/>
      <x:c r="Z1502" s="53"/>
      <x:c r="AA1502" s="53"/>
      <x:c r="AB1502" s="53"/>
      <x:c r="AC1502" s="53"/>
      <x:c r="AD1502" s="53"/>
      <x:c r="AE1502" s="53"/>
      <x:c r="AF1502" s="53"/>
    </x:row>
    <x:row r="1503">
      <x:c r="A1503" s="53"/>
      <x:c r="B1503" s="53"/>
      <x:c r="C1503" s="53"/>
      <x:c r="D1503" s="53"/>
      <x:c r="E1503" s="53"/>
      <x:c r="F1503" s="53"/>
      <x:c r="G1503" s="53"/>
      <x:c r="H1503" s="53"/>
      <x:c r="I1503" s="53"/>
      <x:c r="J1503" s="53"/>
      <x:c r="K1503" s="53"/>
      <x:c r="L1503" s="53"/>
      <x:c r="M1503" s="53"/>
      <x:c r="N1503" s="53"/>
      <x:c r="O1503" s="53"/>
      <x:c r="P1503" s="53"/>
      <x:c r="Q1503" s="53"/>
      <x:c r="R1503" s="53"/>
      <x:c r="S1503" s="53"/>
      <x:c r="T1503" s="53"/>
      <x:c r="U1503" s="53"/>
      <x:c r="V1503" s="53"/>
      <x:c r="W1503" s="53"/>
      <x:c r="X1503" s="53"/>
      <x:c r="Y1503" s="53"/>
      <x:c r="Z1503" s="53"/>
      <x:c r="AA1503" s="53"/>
      <x:c r="AB1503" s="53"/>
      <x:c r="AC1503" s="53"/>
      <x:c r="AD1503" s="53"/>
      <x:c r="AE1503" s="53"/>
      <x:c r="AF1503" s="53"/>
    </x:row>
    <x:row r="1504">
      <x:c r="A1504" s="53"/>
      <x:c r="B1504" s="53"/>
      <x:c r="C1504" s="53"/>
      <x:c r="D1504" s="53"/>
      <x:c r="E1504" s="53"/>
      <x:c r="F1504" s="53"/>
      <x:c r="G1504" s="53"/>
      <x:c r="H1504" s="53"/>
      <x:c r="I1504" s="53"/>
      <x:c r="J1504" s="53"/>
      <x:c r="K1504" s="53"/>
      <x:c r="L1504" s="53"/>
      <x:c r="M1504" s="53"/>
      <x:c r="N1504" s="53"/>
      <x:c r="O1504" s="53"/>
      <x:c r="P1504" s="53"/>
      <x:c r="Q1504" s="53"/>
      <x:c r="R1504" s="53"/>
      <x:c r="S1504" s="53"/>
      <x:c r="T1504" s="53"/>
      <x:c r="U1504" s="53"/>
      <x:c r="V1504" s="53"/>
      <x:c r="W1504" s="53"/>
      <x:c r="X1504" s="53"/>
      <x:c r="Y1504" s="53"/>
      <x:c r="Z1504" s="53"/>
      <x:c r="AA1504" s="53"/>
      <x:c r="AB1504" s="53"/>
      <x:c r="AC1504" s="53"/>
      <x:c r="AD1504" s="53"/>
      <x:c r="AE1504" s="53"/>
      <x:c r="AF1504" s="53"/>
    </x:row>
    <x:row r="1505">
      <x:c r="A1505" s="53"/>
      <x:c r="B1505" s="53"/>
      <x:c r="C1505" s="53"/>
      <x:c r="D1505" s="53"/>
      <x:c r="E1505" s="53"/>
      <x:c r="F1505" s="53"/>
      <x:c r="G1505" s="53"/>
      <x:c r="H1505" s="53"/>
      <x:c r="I1505" s="53"/>
      <x:c r="J1505" s="53"/>
      <x:c r="K1505" s="53"/>
      <x:c r="L1505" s="53"/>
      <x:c r="M1505" s="53"/>
      <x:c r="N1505" s="53"/>
      <x:c r="O1505" s="53"/>
      <x:c r="P1505" s="53"/>
      <x:c r="Q1505" s="53"/>
      <x:c r="R1505" s="53"/>
      <x:c r="S1505" s="53"/>
      <x:c r="T1505" s="53"/>
      <x:c r="U1505" s="53"/>
      <x:c r="V1505" s="53"/>
      <x:c r="W1505" s="53"/>
      <x:c r="X1505" s="53"/>
      <x:c r="Y1505" s="53"/>
      <x:c r="Z1505" s="53"/>
      <x:c r="AA1505" s="53"/>
      <x:c r="AB1505" s="53"/>
      <x:c r="AC1505" s="53"/>
      <x:c r="AD1505" s="53"/>
      <x:c r="AE1505" s="53"/>
      <x:c r="AF1505" s="53"/>
    </x:row>
    <x:row r="1506">
      <x:c r="A1506" s="53"/>
      <x:c r="B1506" s="53"/>
      <x:c r="C1506" s="53"/>
      <x:c r="D1506" s="53"/>
      <x:c r="E1506" s="53"/>
      <x:c r="F1506" s="53"/>
      <x:c r="G1506" s="53"/>
      <x:c r="H1506" s="53"/>
      <x:c r="I1506" s="53"/>
      <x:c r="J1506" s="53"/>
      <x:c r="K1506" s="53"/>
      <x:c r="L1506" s="53"/>
      <x:c r="M1506" s="53"/>
      <x:c r="N1506" s="53"/>
      <x:c r="O1506" s="53"/>
      <x:c r="P1506" s="53"/>
      <x:c r="Q1506" s="53"/>
      <x:c r="R1506" s="53"/>
      <x:c r="S1506" s="53"/>
      <x:c r="T1506" s="53"/>
      <x:c r="U1506" s="53"/>
      <x:c r="V1506" s="53"/>
      <x:c r="W1506" s="53"/>
      <x:c r="X1506" s="53"/>
      <x:c r="Y1506" s="53"/>
      <x:c r="Z1506" s="53"/>
      <x:c r="AA1506" s="53"/>
      <x:c r="AB1506" s="53"/>
      <x:c r="AC1506" s="53"/>
      <x:c r="AD1506" s="53"/>
      <x:c r="AE1506" s="53"/>
      <x:c r="AF1506" s="53"/>
    </x:row>
    <x:row r="1507">
      <x:c r="A1507" s="53"/>
      <x:c r="B1507" s="53"/>
      <x:c r="C1507" s="53"/>
      <x:c r="D1507" s="53"/>
      <x:c r="E1507" s="53"/>
      <x:c r="F1507" s="53"/>
      <x:c r="G1507" s="53"/>
      <x:c r="H1507" s="53"/>
      <x:c r="I1507" s="53"/>
      <x:c r="J1507" s="53"/>
      <x:c r="K1507" s="53"/>
      <x:c r="L1507" s="53"/>
      <x:c r="M1507" s="53"/>
      <x:c r="N1507" s="53"/>
      <x:c r="O1507" s="53"/>
      <x:c r="P1507" s="53"/>
      <x:c r="Q1507" s="53"/>
      <x:c r="R1507" s="53"/>
      <x:c r="S1507" s="53"/>
      <x:c r="T1507" s="53"/>
      <x:c r="U1507" s="53"/>
      <x:c r="V1507" s="53"/>
      <x:c r="W1507" s="53"/>
      <x:c r="X1507" s="53"/>
      <x:c r="Y1507" s="53"/>
      <x:c r="Z1507" s="53"/>
      <x:c r="AA1507" s="53"/>
      <x:c r="AB1507" s="53"/>
      <x:c r="AC1507" s="53"/>
      <x:c r="AD1507" s="53"/>
      <x:c r="AE1507" s="53"/>
      <x:c r="AF1507" s="53"/>
    </x:row>
    <x:row r="1508">
      <x:c r="A1508" s="53"/>
      <x:c r="B1508" s="53"/>
      <x:c r="C1508" s="53"/>
      <x:c r="D1508" s="53"/>
      <x:c r="E1508" s="53"/>
      <x:c r="F1508" s="53"/>
      <x:c r="G1508" s="53"/>
      <x:c r="H1508" s="53"/>
      <x:c r="I1508" s="53"/>
      <x:c r="J1508" s="53"/>
      <x:c r="K1508" s="53"/>
      <x:c r="L1508" s="53"/>
      <x:c r="M1508" s="53"/>
      <x:c r="N1508" s="53"/>
      <x:c r="O1508" s="53"/>
      <x:c r="P1508" s="53"/>
      <x:c r="Q1508" s="53"/>
      <x:c r="R1508" s="53"/>
      <x:c r="S1508" s="53"/>
      <x:c r="T1508" s="53"/>
      <x:c r="U1508" s="53"/>
      <x:c r="V1508" s="53"/>
      <x:c r="W1508" s="53"/>
      <x:c r="X1508" s="53"/>
      <x:c r="Y1508" s="53"/>
      <x:c r="Z1508" s="53"/>
      <x:c r="AA1508" s="53"/>
      <x:c r="AB1508" s="53"/>
      <x:c r="AC1508" s="53"/>
      <x:c r="AD1508" s="53"/>
      <x:c r="AE1508" s="53"/>
      <x:c r="AF1508" s="53"/>
    </x:row>
    <x:row r="1509">
      <x:c r="A1509" s="53"/>
      <x:c r="B1509" s="53"/>
      <x:c r="C1509" s="53"/>
      <x:c r="D1509" s="53"/>
      <x:c r="E1509" s="53"/>
      <x:c r="F1509" s="53"/>
      <x:c r="G1509" s="53"/>
      <x:c r="H1509" s="53"/>
      <x:c r="I1509" s="53"/>
      <x:c r="J1509" s="53"/>
      <x:c r="K1509" s="53"/>
      <x:c r="L1509" s="53"/>
      <x:c r="M1509" s="53"/>
      <x:c r="N1509" s="53"/>
      <x:c r="O1509" s="53"/>
      <x:c r="P1509" s="53"/>
      <x:c r="Q1509" s="53"/>
      <x:c r="R1509" s="53"/>
      <x:c r="S1509" s="53"/>
      <x:c r="T1509" s="53"/>
      <x:c r="U1509" s="53"/>
      <x:c r="V1509" s="53"/>
      <x:c r="W1509" s="53"/>
      <x:c r="X1509" s="53"/>
      <x:c r="Y1509" s="53"/>
      <x:c r="Z1509" s="53"/>
      <x:c r="AA1509" s="53"/>
      <x:c r="AB1509" s="53"/>
      <x:c r="AC1509" s="53"/>
      <x:c r="AD1509" s="53"/>
      <x:c r="AE1509" s="53"/>
      <x:c r="AF1509" s="53"/>
    </x:row>
    <x:row r="1510">
      <x:c r="A1510" s="53"/>
      <x:c r="B1510" s="53"/>
      <x:c r="C1510" s="53"/>
      <x:c r="D1510" s="53"/>
      <x:c r="E1510" s="53"/>
      <x:c r="F1510" s="53"/>
      <x:c r="G1510" s="53"/>
      <x:c r="H1510" s="53"/>
      <x:c r="I1510" s="53"/>
      <x:c r="J1510" s="53"/>
      <x:c r="K1510" s="53"/>
      <x:c r="L1510" s="53"/>
      <x:c r="M1510" s="53"/>
      <x:c r="N1510" s="53"/>
      <x:c r="O1510" s="53"/>
      <x:c r="P1510" s="53"/>
      <x:c r="Q1510" s="53"/>
      <x:c r="R1510" s="53"/>
      <x:c r="S1510" s="53"/>
      <x:c r="T1510" s="53"/>
      <x:c r="U1510" s="53"/>
      <x:c r="V1510" s="53"/>
      <x:c r="W1510" s="53"/>
      <x:c r="X1510" s="53"/>
      <x:c r="Y1510" s="53"/>
      <x:c r="Z1510" s="53"/>
      <x:c r="AA1510" s="53"/>
      <x:c r="AB1510" s="53"/>
      <x:c r="AC1510" s="53"/>
      <x:c r="AD1510" s="53"/>
      <x:c r="AE1510" s="53"/>
      <x:c r="AF1510" s="53"/>
    </x:row>
    <x:row r="1511">
      <x:c r="A1511" s="53"/>
      <x:c r="B1511" s="53"/>
      <x:c r="C1511" s="53"/>
      <x:c r="D1511" s="53"/>
      <x:c r="E1511" s="53"/>
      <x:c r="F1511" s="53"/>
      <x:c r="G1511" s="53"/>
      <x:c r="H1511" s="53"/>
      <x:c r="I1511" s="53"/>
      <x:c r="J1511" s="53"/>
      <x:c r="K1511" s="53"/>
      <x:c r="L1511" s="53"/>
      <x:c r="M1511" s="53"/>
      <x:c r="N1511" s="53"/>
      <x:c r="O1511" s="53"/>
      <x:c r="P1511" s="53"/>
      <x:c r="Q1511" s="53"/>
      <x:c r="R1511" s="53"/>
      <x:c r="S1511" s="53"/>
      <x:c r="T1511" s="53"/>
      <x:c r="U1511" s="53"/>
      <x:c r="V1511" s="53"/>
      <x:c r="W1511" s="53"/>
      <x:c r="X1511" s="53"/>
      <x:c r="Y1511" s="53"/>
      <x:c r="Z1511" s="53"/>
      <x:c r="AA1511" s="53"/>
      <x:c r="AB1511" s="53"/>
      <x:c r="AC1511" s="53"/>
      <x:c r="AD1511" s="53"/>
      <x:c r="AE1511" s="53"/>
      <x:c r="AF1511" s="53"/>
    </x:row>
    <x:row r="1512">
      <x:c r="A1512" s="53"/>
      <x:c r="B1512" s="53"/>
      <x:c r="C1512" s="53"/>
      <x:c r="D1512" s="53"/>
      <x:c r="E1512" s="53"/>
      <x:c r="F1512" s="53"/>
      <x:c r="G1512" s="53"/>
      <x:c r="H1512" s="53"/>
      <x:c r="I1512" s="53"/>
      <x:c r="J1512" s="53"/>
      <x:c r="K1512" s="53"/>
      <x:c r="L1512" s="53"/>
      <x:c r="M1512" s="53"/>
      <x:c r="N1512" s="53"/>
      <x:c r="O1512" s="53"/>
      <x:c r="P1512" s="53"/>
      <x:c r="Q1512" s="53"/>
      <x:c r="R1512" s="53"/>
      <x:c r="S1512" s="53"/>
      <x:c r="T1512" s="53"/>
      <x:c r="U1512" s="53"/>
      <x:c r="V1512" s="53"/>
      <x:c r="W1512" s="53"/>
      <x:c r="X1512" s="53"/>
      <x:c r="Y1512" s="53"/>
      <x:c r="Z1512" s="53"/>
      <x:c r="AA1512" s="53"/>
      <x:c r="AB1512" s="53"/>
      <x:c r="AC1512" s="53"/>
      <x:c r="AD1512" s="53"/>
      <x:c r="AE1512" s="53"/>
      <x:c r="AF1512" s="53"/>
    </x:row>
    <x:row r="1513">
      <x:c r="A1513" s="53"/>
      <x:c r="B1513" s="53"/>
      <x:c r="C1513" s="53"/>
      <x:c r="D1513" s="53"/>
      <x:c r="E1513" s="53"/>
      <x:c r="F1513" s="53"/>
      <x:c r="G1513" s="53"/>
      <x:c r="H1513" s="53"/>
      <x:c r="I1513" s="53"/>
      <x:c r="J1513" s="53"/>
      <x:c r="K1513" s="53"/>
      <x:c r="L1513" s="53"/>
      <x:c r="M1513" s="53"/>
      <x:c r="N1513" s="53"/>
      <x:c r="O1513" s="53"/>
      <x:c r="P1513" s="53"/>
      <x:c r="Q1513" s="53"/>
      <x:c r="R1513" s="53"/>
      <x:c r="S1513" s="53"/>
      <x:c r="T1513" s="53"/>
      <x:c r="U1513" s="53"/>
      <x:c r="V1513" s="53"/>
      <x:c r="W1513" s="53"/>
      <x:c r="X1513" s="53"/>
      <x:c r="Y1513" s="53"/>
      <x:c r="Z1513" s="53"/>
      <x:c r="AA1513" s="53"/>
      <x:c r="AB1513" s="53"/>
      <x:c r="AC1513" s="53"/>
      <x:c r="AD1513" s="53"/>
      <x:c r="AE1513" s="53"/>
      <x:c r="AF1513" s="53"/>
    </x:row>
    <x:row r="1514">
      <x:c r="A1514" s="53"/>
      <x:c r="B1514" s="53"/>
      <x:c r="C1514" s="53"/>
      <x:c r="D1514" s="53"/>
      <x:c r="E1514" s="53"/>
      <x:c r="F1514" s="53"/>
      <x:c r="G1514" s="53"/>
      <x:c r="H1514" s="53"/>
      <x:c r="I1514" s="53"/>
      <x:c r="J1514" s="53"/>
      <x:c r="K1514" s="53"/>
      <x:c r="L1514" s="53"/>
      <x:c r="M1514" s="53"/>
      <x:c r="N1514" s="53"/>
      <x:c r="O1514" s="53"/>
      <x:c r="P1514" s="53"/>
      <x:c r="Q1514" s="53"/>
      <x:c r="R1514" s="53"/>
      <x:c r="S1514" s="53"/>
      <x:c r="T1514" s="53"/>
      <x:c r="U1514" s="53"/>
      <x:c r="V1514" s="53"/>
      <x:c r="W1514" s="53"/>
      <x:c r="X1514" s="53"/>
      <x:c r="Y1514" s="53"/>
      <x:c r="Z1514" s="53"/>
      <x:c r="AA1514" s="53"/>
      <x:c r="AB1514" s="53"/>
      <x:c r="AC1514" s="53"/>
      <x:c r="AD1514" s="53"/>
      <x:c r="AE1514" s="53"/>
      <x:c r="AF1514" s="53"/>
    </x:row>
    <x:row r="1515">
      <x:c r="A1515" s="53"/>
      <x:c r="B1515" s="53"/>
      <x:c r="C1515" s="53"/>
      <x:c r="D1515" s="53"/>
      <x:c r="E1515" s="53"/>
      <x:c r="F1515" s="53"/>
      <x:c r="G1515" s="53"/>
      <x:c r="H1515" s="53"/>
      <x:c r="I1515" s="53"/>
      <x:c r="J1515" s="53"/>
      <x:c r="K1515" s="53"/>
      <x:c r="L1515" s="53"/>
      <x:c r="M1515" s="53"/>
      <x:c r="N1515" s="53"/>
      <x:c r="O1515" s="53"/>
      <x:c r="P1515" s="53"/>
      <x:c r="Q1515" s="53"/>
      <x:c r="R1515" s="53"/>
      <x:c r="S1515" s="53"/>
      <x:c r="T1515" s="53"/>
      <x:c r="U1515" s="53"/>
      <x:c r="V1515" s="53"/>
      <x:c r="W1515" s="53"/>
      <x:c r="X1515" s="53"/>
      <x:c r="Y1515" s="53"/>
      <x:c r="Z1515" s="53"/>
      <x:c r="AA1515" s="53"/>
      <x:c r="AB1515" s="53"/>
      <x:c r="AC1515" s="53"/>
      <x:c r="AD1515" s="53"/>
      <x:c r="AE1515" s="53"/>
      <x:c r="AF1515" s="53"/>
    </x:row>
    <x:row r="1516">
      <x:c r="A1516" s="53"/>
      <x:c r="B1516" s="53"/>
      <x:c r="C1516" s="53"/>
      <x:c r="D1516" s="53"/>
      <x:c r="E1516" s="53"/>
      <x:c r="F1516" s="53"/>
      <x:c r="G1516" s="53"/>
      <x:c r="H1516" s="53"/>
      <x:c r="I1516" s="53"/>
      <x:c r="J1516" s="53"/>
      <x:c r="K1516" s="53"/>
      <x:c r="L1516" s="53"/>
      <x:c r="M1516" s="53"/>
      <x:c r="N1516" s="53"/>
      <x:c r="O1516" s="53"/>
      <x:c r="P1516" s="53"/>
      <x:c r="Q1516" s="53"/>
      <x:c r="R1516" s="53"/>
      <x:c r="S1516" s="53"/>
      <x:c r="T1516" s="53"/>
      <x:c r="U1516" s="53"/>
      <x:c r="V1516" s="53"/>
      <x:c r="W1516" s="53"/>
      <x:c r="X1516" s="53"/>
      <x:c r="Y1516" s="53"/>
      <x:c r="Z1516" s="53"/>
      <x:c r="AA1516" s="53"/>
      <x:c r="AB1516" s="53"/>
      <x:c r="AC1516" s="53"/>
      <x:c r="AD1516" s="53"/>
      <x:c r="AE1516" s="53"/>
      <x:c r="AF1516" s="53"/>
    </x:row>
    <x:row r="1517">
      <x:c r="A1517" s="53"/>
      <x:c r="B1517" s="53"/>
      <x:c r="C1517" s="53"/>
      <x:c r="D1517" s="53"/>
      <x:c r="E1517" s="53"/>
      <x:c r="F1517" s="53"/>
      <x:c r="G1517" s="53"/>
      <x:c r="H1517" s="53"/>
      <x:c r="I1517" s="53"/>
      <x:c r="J1517" s="53"/>
      <x:c r="K1517" s="53"/>
      <x:c r="L1517" s="53"/>
      <x:c r="M1517" s="53"/>
      <x:c r="N1517" s="53"/>
      <x:c r="O1517" s="53"/>
      <x:c r="P1517" s="53"/>
      <x:c r="Q1517" s="53"/>
      <x:c r="R1517" s="53"/>
      <x:c r="S1517" s="53"/>
      <x:c r="T1517" s="53"/>
      <x:c r="U1517" s="53"/>
      <x:c r="V1517" s="53"/>
      <x:c r="W1517" s="53"/>
      <x:c r="X1517" s="53"/>
      <x:c r="Y1517" s="53"/>
      <x:c r="Z1517" s="53"/>
      <x:c r="AA1517" s="53"/>
      <x:c r="AB1517" s="53"/>
      <x:c r="AC1517" s="53"/>
      <x:c r="AD1517" s="53"/>
      <x:c r="AE1517" s="53"/>
      <x:c r="AF1517" s="53"/>
    </x:row>
    <x:row r="1518">
      <x:c r="A1518" s="53"/>
      <x:c r="B1518" s="53"/>
      <x:c r="C1518" s="53"/>
      <x:c r="D1518" s="53"/>
      <x:c r="E1518" s="53"/>
      <x:c r="F1518" s="53"/>
      <x:c r="G1518" s="53"/>
      <x:c r="H1518" s="53"/>
      <x:c r="I1518" s="53"/>
      <x:c r="J1518" s="53"/>
      <x:c r="K1518" s="53"/>
      <x:c r="L1518" s="53"/>
      <x:c r="M1518" s="53"/>
      <x:c r="N1518" s="53"/>
      <x:c r="O1518" s="53"/>
      <x:c r="P1518" s="53"/>
      <x:c r="Q1518" s="53"/>
      <x:c r="R1518" s="53"/>
      <x:c r="S1518" s="53"/>
      <x:c r="T1518" s="53"/>
      <x:c r="U1518" s="53"/>
      <x:c r="V1518" s="53"/>
      <x:c r="W1518" s="53"/>
      <x:c r="X1518" s="53"/>
      <x:c r="Y1518" s="53"/>
      <x:c r="Z1518" s="53"/>
      <x:c r="AA1518" s="53"/>
      <x:c r="AB1518" s="53"/>
      <x:c r="AC1518" s="53"/>
      <x:c r="AD1518" s="53"/>
      <x:c r="AE1518" s="53"/>
      <x:c r="AF1518" s="53"/>
    </x:row>
    <x:row r="1519">
      <x:c r="A1519" s="53"/>
      <x:c r="B1519" s="53"/>
      <x:c r="C1519" s="53"/>
      <x:c r="D1519" s="53"/>
      <x:c r="E1519" s="53"/>
      <x:c r="F1519" s="53"/>
      <x:c r="G1519" s="53"/>
      <x:c r="H1519" s="53"/>
      <x:c r="I1519" s="53"/>
      <x:c r="J1519" s="53"/>
      <x:c r="K1519" s="53"/>
      <x:c r="L1519" s="53"/>
      <x:c r="M1519" s="53"/>
      <x:c r="N1519" s="53"/>
      <x:c r="O1519" s="53"/>
      <x:c r="P1519" s="53"/>
      <x:c r="Q1519" s="53"/>
      <x:c r="R1519" s="53"/>
      <x:c r="S1519" s="53"/>
      <x:c r="T1519" s="53"/>
      <x:c r="U1519" s="53"/>
      <x:c r="V1519" s="53"/>
      <x:c r="W1519" s="53"/>
      <x:c r="X1519" s="53"/>
      <x:c r="Y1519" s="53"/>
      <x:c r="Z1519" s="53"/>
      <x:c r="AA1519" s="53"/>
      <x:c r="AB1519" s="53"/>
      <x:c r="AC1519" s="53"/>
      <x:c r="AD1519" s="53"/>
      <x:c r="AE1519" s="53"/>
      <x:c r="AF1519" s="53"/>
    </x:row>
    <x:row r="1520">
      <x:c r="A1520" s="53"/>
      <x:c r="B1520" s="53"/>
      <x:c r="C1520" s="53"/>
      <x:c r="D1520" s="53"/>
      <x:c r="E1520" s="53"/>
      <x:c r="F1520" s="53"/>
      <x:c r="G1520" s="53"/>
      <x:c r="H1520" s="53"/>
      <x:c r="I1520" s="53"/>
      <x:c r="J1520" s="53"/>
      <x:c r="K1520" s="53"/>
      <x:c r="L1520" s="53"/>
      <x:c r="M1520" s="53"/>
      <x:c r="N1520" s="53"/>
      <x:c r="O1520" s="53"/>
      <x:c r="P1520" s="53"/>
      <x:c r="Q1520" s="53"/>
      <x:c r="R1520" s="53"/>
      <x:c r="S1520" s="53"/>
      <x:c r="T1520" s="53"/>
      <x:c r="U1520" s="53"/>
      <x:c r="V1520" s="53"/>
      <x:c r="W1520" s="53"/>
      <x:c r="X1520" s="53"/>
      <x:c r="Y1520" s="53"/>
      <x:c r="Z1520" s="53"/>
      <x:c r="AA1520" s="53"/>
      <x:c r="AB1520" s="53"/>
      <x:c r="AC1520" s="53"/>
      <x:c r="AD1520" s="53"/>
      <x:c r="AE1520" s="53"/>
      <x:c r="AF1520" s="53"/>
    </x:row>
    <x:row r="1521">
      <x:c r="A1521" s="53"/>
      <x:c r="B1521" s="53"/>
      <x:c r="C1521" s="53"/>
      <x:c r="D1521" s="53"/>
      <x:c r="E1521" s="53"/>
      <x:c r="F1521" s="53"/>
      <x:c r="G1521" s="53"/>
      <x:c r="H1521" s="53"/>
      <x:c r="I1521" s="53"/>
      <x:c r="J1521" s="53"/>
      <x:c r="K1521" s="53"/>
      <x:c r="L1521" s="53"/>
      <x:c r="M1521" s="53"/>
      <x:c r="N1521" s="53"/>
      <x:c r="O1521" s="53"/>
      <x:c r="P1521" s="53"/>
      <x:c r="Q1521" s="53"/>
      <x:c r="R1521" s="53"/>
      <x:c r="S1521" s="53"/>
      <x:c r="T1521" s="53"/>
      <x:c r="U1521" s="53"/>
      <x:c r="V1521" s="53"/>
      <x:c r="W1521" s="53"/>
      <x:c r="X1521" s="53"/>
      <x:c r="Y1521" s="53"/>
      <x:c r="Z1521" s="53"/>
      <x:c r="AA1521" s="53"/>
      <x:c r="AB1521" s="53"/>
      <x:c r="AC1521" s="53"/>
      <x:c r="AD1521" s="53"/>
      <x:c r="AE1521" s="53"/>
      <x:c r="AF1521" s="53"/>
    </x:row>
    <x:row r="1522">
      <x:c r="A1522" s="53"/>
      <x:c r="B1522" s="53"/>
      <x:c r="C1522" s="53"/>
      <x:c r="D1522" s="53"/>
      <x:c r="E1522" s="53"/>
      <x:c r="F1522" s="53"/>
      <x:c r="G1522" s="53"/>
      <x:c r="H1522" s="53"/>
      <x:c r="I1522" s="53"/>
      <x:c r="J1522" s="53"/>
      <x:c r="K1522" s="53"/>
      <x:c r="L1522" s="53"/>
      <x:c r="M1522" s="53"/>
      <x:c r="N1522" s="53"/>
      <x:c r="O1522" s="53"/>
      <x:c r="P1522" s="53"/>
      <x:c r="Q1522" s="53"/>
      <x:c r="R1522" s="53"/>
      <x:c r="S1522" s="53"/>
      <x:c r="T1522" s="53"/>
      <x:c r="U1522" s="53"/>
      <x:c r="V1522" s="53"/>
      <x:c r="W1522" s="53"/>
      <x:c r="X1522" s="53"/>
      <x:c r="Y1522" s="53"/>
      <x:c r="Z1522" s="53"/>
      <x:c r="AA1522" s="53"/>
      <x:c r="AB1522" s="53"/>
      <x:c r="AC1522" s="53"/>
      <x:c r="AD1522" s="53"/>
      <x:c r="AE1522" s="53"/>
      <x:c r="AF1522" s="53"/>
    </x:row>
    <x:row r="1523">
      <x:c r="A1523" s="53"/>
      <x:c r="B1523" s="53"/>
      <x:c r="C1523" s="53"/>
      <x:c r="D1523" s="53"/>
      <x:c r="E1523" s="53"/>
      <x:c r="F1523" s="53"/>
      <x:c r="G1523" s="53"/>
      <x:c r="H1523" s="53"/>
      <x:c r="I1523" s="53"/>
      <x:c r="J1523" s="53"/>
      <x:c r="K1523" s="53"/>
      <x:c r="L1523" s="53"/>
      <x:c r="M1523" s="53"/>
      <x:c r="N1523" s="53"/>
      <x:c r="O1523" s="53"/>
      <x:c r="P1523" s="53"/>
      <x:c r="Q1523" s="53"/>
      <x:c r="R1523" s="53"/>
      <x:c r="S1523" s="53"/>
      <x:c r="T1523" s="53"/>
      <x:c r="U1523" s="53"/>
      <x:c r="V1523" s="53"/>
      <x:c r="W1523" s="53"/>
      <x:c r="X1523" s="53"/>
      <x:c r="Y1523" s="53"/>
      <x:c r="Z1523" s="53"/>
      <x:c r="AA1523" s="53"/>
      <x:c r="AB1523" s="53"/>
      <x:c r="AC1523" s="53"/>
      <x:c r="AD1523" s="53"/>
      <x:c r="AE1523" s="53"/>
      <x:c r="AF1523" s="53"/>
    </x:row>
    <x:row r="1524">
      <x:c r="A1524" s="53"/>
      <x:c r="B1524" s="53"/>
      <x:c r="C1524" s="53"/>
      <x:c r="D1524" s="53"/>
      <x:c r="E1524" s="53"/>
      <x:c r="F1524" s="53"/>
      <x:c r="G1524" s="53"/>
      <x:c r="H1524" s="53"/>
      <x:c r="I1524" s="53"/>
      <x:c r="J1524" s="53"/>
      <x:c r="K1524" s="53"/>
      <x:c r="L1524" s="53"/>
      <x:c r="M1524" s="53"/>
      <x:c r="N1524" s="53"/>
      <x:c r="O1524" s="53"/>
      <x:c r="P1524" s="53"/>
      <x:c r="Q1524" s="53"/>
      <x:c r="R1524" s="53"/>
      <x:c r="S1524" s="53"/>
      <x:c r="T1524" s="53"/>
      <x:c r="U1524" s="53"/>
      <x:c r="V1524" s="53"/>
      <x:c r="W1524" s="53"/>
      <x:c r="X1524" s="53"/>
      <x:c r="Y1524" s="53"/>
      <x:c r="Z1524" s="53"/>
      <x:c r="AA1524" s="53"/>
      <x:c r="AB1524" s="53"/>
      <x:c r="AC1524" s="53"/>
      <x:c r="AD1524" s="53"/>
      <x:c r="AE1524" s="53"/>
      <x:c r="AF1524" s="53"/>
    </x:row>
    <x:row r="1525">
      <x:c r="A1525" s="53"/>
      <x:c r="B1525" s="53"/>
      <x:c r="C1525" s="53"/>
      <x:c r="D1525" s="53"/>
      <x:c r="E1525" s="53"/>
      <x:c r="F1525" s="53"/>
      <x:c r="G1525" s="53"/>
      <x:c r="H1525" s="53"/>
      <x:c r="I1525" s="53"/>
      <x:c r="J1525" s="53"/>
      <x:c r="K1525" s="53"/>
      <x:c r="L1525" s="53"/>
      <x:c r="M1525" s="53"/>
      <x:c r="N1525" s="53"/>
      <x:c r="O1525" s="53"/>
      <x:c r="P1525" s="53"/>
      <x:c r="Q1525" s="53"/>
      <x:c r="R1525" s="53"/>
      <x:c r="S1525" s="53"/>
      <x:c r="T1525" s="53"/>
      <x:c r="U1525" s="53"/>
      <x:c r="V1525" s="53"/>
      <x:c r="W1525" s="53"/>
      <x:c r="X1525" s="53"/>
      <x:c r="Y1525" s="53"/>
      <x:c r="Z1525" s="53"/>
      <x:c r="AA1525" s="53"/>
      <x:c r="AB1525" s="53"/>
      <x:c r="AC1525" s="53"/>
      <x:c r="AD1525" s="53"/>
      <x:c r="AE1525" s="53"/>
      <x:c r="AF1525" s="53"/>
    </x:row>
    <x:row r="1526">
      <x:c r="A1526" s="53"/>
      <x:c r="B1526" s="53"/>
      <x:c r="C1526" s="53"/>
      <x:c r="D1526" s="53"/>
      <x:c r="E1526" s="53"/>
      <x:c r="F1526" s="53"/>
      <x:c r="G1526" s="53"/>
      <x:c r="H1526" s="53"/>
      <x:c r="I1526" s="53"/>
      <x:c r="J1526" s="53"/>
      <x:c r="K1526" s="53"/>
      <x:c r="L1526" s="53"/>
      <x:c r="M1526" s="53"/>
      <x:c r="N1526" s="53"/>
      <x:c r="O1526" s="53"/>
      <x:c r="P1526" s="53"/>
      <x:c r="Q1526" s="53"/>
      <x:c r="R1526" s="53"/>
      <x:c r="S1526" s="53"/>
      <x:c r="T1526" s="53"/>
      <x:c r="U1526" s="53"/>
      <x:c r="V1526" s="53"/>
      <x:c r="W1526" s="53"/>
      <x:c r="X1526" s="53"/>
      <x:c r="Y1526" s="53"/>
      <x:c r="Z1526" s="53"/>
      <x:c r="AA1526" s="53"/>
      <x:c r="AB1526" s="53"/>
      <x:c r="AC1526" s="53"/>
      <x:c r="AD1526" s="53"/>
      <x:c r="AE1526" s="53"/>
      <x:c r="AF1526" s="53"/>
    </x:row>
    <x:row r="1527">
      <x:c r="A1527" s="53"/>
      <x:c r="B1527" s="53"/>
      <x:c r="C1527" s="53"/>
      <x:c r="D1527" s="53"/>
      <x:c r="E1527" s="53"/>
      <x:c r="F1527" s="53"/>
      <x:c r="G1527" s="53"/>
      <x:c r="H1527" s="53"/>
      <x:c r="I1527" s="53"/>
      <x:c r="J1527" s="53"/>
      <x:c r="K1527" s="53"/>
      <x:c r="L1527" s="53"/>
      <x:c r="M1527" s="53"/>
      <x:c r="N1527" s="53"/>
      <x:c r="O1527" s="53"/>
      <x:c r="P1527" s="53"/>
      <x:c r="Q1527" s="53"/>
      <x:c r="R1527" s="53"/>
      <x:c r="S1527" s="53"/>
      <x:c r="T1527" s="53"/>
      <x:c r="U1527" s="53"/>
      <x:c r="V1527" s="53"/>
      <x:c r="W1527" s="53"/>
      <x:c r="X1527" s="53"/>
      <x:c r="Y1527" s="53"/>
      <x:c r="Z1527" s="53"/>
      <x:c r="AA1527" s="53"/>
      <x:c r="AB1527" s="53"/>
      <x:c r="AC1527" s="53"/>
      <x:c r="AD1527" s="53"/>
      <x:c r="AE1527" s="53"/>
      <x:c r="AF1527" s="53"/>
    </x:row>
    <x:row r="1528">
      <x:c r="A1528" s="53"/>
      <x:c r="B1528" s="53"/>
      <x:c r="C1528" s="53"/>
      <x:c r="D1528" s="53"/>
      <x:c r="E1528" s="53"/>
      <x:c r="F1528" s="53"/>
      <x:c r="G1528" s="53"/>
      <x:c r="H1528" s="53"/>
      <x:c r="I1528" s="53"/>
      <x:c r="J1528" s="53"/>
      <x:c r="K1528" s="53"/>
      <x:c r="L1528" s="53"/>
      <x:c r="M1528" s="53"/>
      <x:c r="N1528" s="53"/>
      <x:c r="O1528" s="53"/>
      <x:c r="P1528" s="53"/>
      <x:c r="Q1528" s="53"/>
      <x:c r="R1528" s="53"/>
      <x:c r="S1528" s="53"/>
      <x:c r="T1528" s="53"/>
      <x:c r="U1528" s="53"/>
      <x:c r="V1528" s="53"/>
      <x:c r="W1528" s="53"/>
      <x:c r="X1528" s="53"/>
      <x:c r="Y1528" s="53"/>
      <x:c r="Z1528" s="53"/>
      <x:c r="AA1528" s="53"/>
      <x:c r="AB1528" s="53"/>
      <x:c r="AC1528" s="53"/>
      <x:c r="AD1528" s="53"/>
      <x:c r="AE1528" s="53"/>
      <x:c r="AF1528" s="53"/>
    </x:row>
    <x:row r="1529">
      <x:c r="A1529" s="53"/>
      <x:c r="B1529" s="53"/>
      <x:c r="C1529" s="53"/>
      <x:c r="D1529" s="53"/>
      <x:c r="E1529" s="53"/>
      <x:c r="F1529" s="53"/>
      <x:c r="G1529" s="53"/>
      <x:c r="H1529" s="53"/>
      <x:c r="I1529" s="53"/>
      <x:c r="J1529" s="53"/>
      <x:c r="K1529" s="53"/>
      <x:c r="L1529" s="53"/>
      <x:c r="M1529" s="53"/>
      <x:c r="N1529" s="53"/>
      <x:c r="O1529" s="53"/>
      <x:c r="P1529" s="53"/>
      <x:c r="Q1529" s="53"/>
      <x:c r="R1529" s="53"/>
      <x:c r="S1529" s="53"/>
      <x:c r="T1529" s="53"/>
      <x:c r="U1529" s="53"/>
      <x:c r="V1529" s="53"/>
      <x:c r="W1529" s="53"/>
      <x:c r="X1529" s="53"/>
      <x:c r="Y1529" s="53"/>
      <x:c r="Z1529" s="53"/>
      <x:c r="AA1529" s="53"/>
      <x:c r="AB1529" s="53"/>
      <x:c r="AC1529" s="53"/>
      <x:c r="AD1529" s="53"/>
      <x:c r="AE1529" s="53"/>
      <x:c r="AF1529" s="53"/>
    </x:row>
    <x:row r="1530">
      <x:c r="A1530" s="53"/>
      <x:c r="B1530" s="53"/>
      <x:c r="C1530" s="53"/>
      <x:c r="D1530" s="53"/>
      <x:c r="E1530" s="53"/>
      <x:c r="F1530" s="53"/>
      <x:c r="G1530" s="53"/>
      <x:c r="H1530" s="53"/>
      <x:c r="I1530" s="53"/>
      <x:c r="J1530" s="53"/>
      <x:c r="K1530" s="53"/>
      <x:c r="L1530" s="53"/>
      <x:c r="M1530" s="53"/>
      <x:c r="N1530" s="53"/>
      <x:c r="O1530" s="53"/>
      <x:c r="P1530" s="53"/>
      <x:c r="Q1530" s="53"/>
      <x:c r="R1530" s="53"/>
      <x:c r="S1530" s="53"/>
      <x:c r="T1530" s="53"/>
      <x:c r="U1530" s="53"/>
      <x:c r="V1530" s="53"/>
      <x:c r="W1530" s="53"/>
      <x:c r="X1530" s="53"/>
      <x:c r="Y1530" s="53"/>
      <x:c r="Z1530" s="53"/>
      <x:c r="AA1530" s="53"/>
      <x:c r="AB1530" s="53"/>
      <x:c r="AC1530" s="53"/>
      <x:c r="AD1530" s="53"/>
      <x:c r="AE1530" s="53"/>
      <x:c r="AF1530" s="53"/>
    </x:row>
    <x:row r="1531">
      <x:c r="A1531" s="53"/>
      <x:c r="B1531" s="53"/>
      <x:c r="C1531" s="53"/>
      <x:c r="D1531" s="53"/>
      <x:c r="E1531" s="53"/>
      <x:c r="F1531" s="53"/>
      <x:c r="G1531" s="53"/>
      <x:c r="H1531" s="53"/>
      <x:c r="I1531" s="53"/>
      <x:c r="J1531" s="53"/>
      <x:c r="K1531" s="53"/>
      <x:c r="L1531" s="53"/>
      <x:c r="M1531" s="53"/>
      <x:c r="N1531" s="53"/>
      <x:c r="O1531" s="53"/>
      <x:c r="P1531" s="53"/>
      <x:c r="Q1531" s="53"/>
      <x:c r="R1531" s="53"/>
      <x:c r="S1531" s="53"/>
      <x:c r="T1531" s="53"/>
      <x:c r="U1531" s="53"/>
      <x:c r="V1531" s="53"/>
      <x:c r="W1531" s="53"/>
      <x:c r="X1531" s="53"/>
      <x:c r="Y1531" s="53"/>
      <x:c r="Z1531" s="53"/>
      <x:c r="AA1531" s="53"/>
      <x:c r="AB1531" s="53"/>
      <x:c r="AC1531" s="53"/>
      <x:c r="AD1531" s="53"/>
      <x:c r="AE1531" s="53"/>
      <x:c r="AF1531" s="53"/>
    </x:row>
    <x:row r="1532">
      <x:c r="A1532" s="53"/>
      <x:c r="B1532" s="53"/>
      <x:c r="C1532" s="53"/>
      <x:c r="D1532" s="53"/>
      <x:c r="E1532" s="53"/>
      <x:c r="F1532" s="53"/>
      <x:c r="G1532" s="53"/>
      <x:c r="H1532" s="53"/>
      <x:c r="I1532" s="53"/>
      <x:c r="J1532" s="53"/>
      <x:c r="K1532" s="53"/>
      <x:c r="L1532" s="53"/>
      <x:c r="M1532" s="53"/>
      <x:c r="N1532" s="53"/>
      <x:c r="O1532" s="53"/>
      <x:c r="P1532" s="53"/>
      <x:c r="Q1532" s="53"/>
      <x:c r="R1532" s="53"/>
      <x:c r="S1532" s="53"/>
      <x:c r="T1532" s="53"/>
      <x:c r="U1532" s="53"/>
      <x:c r="V1532" s="53"/>
      <x:c r="W1532" s="53"/>
      <x:c r="X1532" s="53"/>
      <x:c r="Y1532" s="53"/>
      <x:c r="Z1532" s="53"/>
      <x:c r="AA1532" s="53"/>
      <x:c r="AB1532" s="53"/>
      <x:c r="AC1532" s="53"/>
      <x:c r="AD1532" s="53"/>
      <x:c r="AE1532" s="53"/>
      <x:c r="AF1532" s="53"/>
    </x:row>
    <x:row r="1533">
      <x:c r="A1533" s="53"/>
      <x:c r="B1533" s="53"/>
      <x:c r="C1533" s="53"/>
      <x:c r="D1533" s="53"/>
      <x:c r="E1533" s="53"/>
      <x:c r="F1533" s="53"/>
      <x:c r="G1533" s="53"/>
      <x:c r="H1533" s="53"/>
      <x:c r="I1533" s="53"/>
      <x:c r="J1533" s="53"/>
      <x:c r="K1533" s="53"/>
      <x:c r="L1533" s="53"/>
      <x:c r="M1533" s="53"/>
      <x:c r="N1533" s="53"/>
      <x:c r="O1533" s="53"/>
      <x:c r="P1533" s="53"/>
      <x:c r="Q1533" s="53"/>
      <x:c r="R1533" s="53"/>
      <x:c r="S1533" s="53"/>
      <x:c r="T1533" s="53"/>
      <x:c r="U1533" s="53"/>
      <x:c r="V1533" s="53"/>
      <x:c r="W1533" s="53"/>
      <x:c r="X1533" s="53"/>
      <x:c r="Y1533" s="53"/>
      <x:c r="Z1533" s="53"/>
      <x:c r="AA1533" s="53"/>
      <x:c r="AB1533" s="53"/>
      <x:c r="AC1533" s="53"/>
      <x:c r="AD1533" s="53"/>
      <x:c r="AE1533" s="53"/>
      <x:c r="AF1533" s="53"/>
    </x:row>
    <x:row r="1534">
      <x:c r="A1534" s="53"/>
      <x:c r="B1534" s="53"/>
      <x:c r="C1534" s="53"/>
      <x:c r="D1534" s="53"/>
      <x:c r="E1534" s="53"/>
      <x:c r="F1534" s="53"/>
      <x:c r="G1534" s="53"/>
      <x:c r="H1534" s="53"/>
      <x:c r="I1534" s="53"/>
      <x:c r="J1534" s="53"/>
      <x:c r="K1534" s="53"/>
      <x:c r="L1534" s="53"/>
      <x:c r="M1534" s="53"/>
      <x:c r="N1534" s="53"/>
      <x:c r="O1534" s="53"/>
      <x:c r="P1534" s="53"/>
      <x:c r="Q1534" s="53"/>
      <x:c r="R1534" s="53"/>
      <x:c r="S1534" s="53"/>
      <x:c r="T1534" s="53"/>
      <x:c r="U1534" s="53"/>
      <x:c r="V1534" s="53"/>
      <x:c r="W1534" s="53"/>
      <x:c r="X1534" s="53"/>
      <x:c r="Y1534" s="53"/>
      <x:c r="Z1534" s="53"/>
      <x:c r="AA1534" s="53"/>
      <x:c r="AB1534" s="53"/>
      <x:c r="AC1534" s="53"/>
      <x:c r="AD1534" s="53"/>
      <x:c r="AE1534" s="53"/>
      <x:c r="AF1534" s="53"/>
    </x:row>
    <x:row r="1535">
      <x:c r="A1535" s="53"/>
      <x:c r="B1535" s="53"/>
      <x:c r="C1535" s="53"/>
      <x:c r="D1535" s="53"/>
      <x:c r="E1535" s="53"/>
      <x:c r="F1535" s="53"/>
      <x:c r="G1535" s="53"/>
      <x:c r="H1535" s="53"/>
      <x:c r="I1535" s="53"/>
      <x:c r="J1535" s="53"/>
      <x:c r="K1535" s="53"/>
      <x:c r="L1535" s="53"/>
      <x:c r="M1535" s="53"/>
      <x:c r="N1535" s="53"/>
      <x:c r="O1535" s="53"/>
      <x:c r="P1535" s="53"/>
      <x:c r="Q1535" s="53"/>
      <x:c r="R1535" s="53"/>
      <x:c r="S1535" s="53"/>
      <x:c r="T1535" s="53"/>
      <x:c r="U1535" s="53"/>
      <x:c r="V1535" s="53"/>
      <x:c r="W1535" s="53"/>
      <x:c r="X1535" s="53"/>
      <x:c r="Y1535" s="53"/>
      <x:c r="Z1535" s="53"/>
      <x:c r="AA1535" s="53"/>
      <x:c r="AB1535" s="53"/>
      <x:c r="AC1535" s="53"/>
      <x:c r="AD1535" s="53"/>
      <x:c r="AE1535" s="53"/>
      <x:c r="AF1535" s="53"/>
    </x:row>
    <x:row r="1536">
      <x:c r="A1536" s="53"/>
      <x:c r="B1536" s="53"/>
      <x:c r="C1536" s="53"/>
      <x:c r="D1536" s="53"/>
      <x:c r="E1536" s="53"/>
      <x:c r="F1536" s="53"/>
      <x:c r="G1536" s="53"/>
      <x:c r="H1536" s="53"/>
      <x:c r="I1536" s="53"/>
      <x:c r="J1536" s="53"/>
      <x:c r="K1536" s="53"/>
      <x:c r="L1536" s="53"/>
      <x:c r="M1536" s="53"/>
      <x:c r="N1536" s="53"/>
      <x:c r="O1536" s="53"/>
      <x:c r="P1536" s="53"/>
      <x:c r="Q1536" s="53"/>
      <x:c r="R1536" s="53"/>
      <x:c r="S1536" s="53"/>
      <x:c r="T1536" s="53"/>
      <x:c r="U1536" s="53"/>
      <x:c r="V1536" s="53"/>
      <x:c r="W1536" s="53"/>
      <x:c r="X1536" s="53"/>
      <x:c r="Y1536" s="53"/>
      <x:c r="Z1536" s="53"/>
      <x:c r="AA1536" s="53"/>
      <x:c r="AB1536" s="53"/>
      <x:c r="AC1536" s="53"/>
      <x:c r="AD1536" s="53"/>
      <x:c r="AE1536" s="53"/>
      <x:c r="AF1536" s="53"/>
    </x:row>
    <x:row r="1537">
      <x:c r="A1537" s="53"/>
      <x:c r="B1537" s="53"/>
      <x:c r="C1537" s="53"/>
      <x:c r="D1537" s="53"/>
      <x:c r="E1537" s="53"/>
      <x:c r="F1537" s="53"/>
      <x:c r="G1537" s="53"/>
      <x:c r="H1537" s="53"/>
      <x:c r="I1537" s="53"/>
      <x:c r="J1537" s="53"/>
      <x:c r="K1537" s="53"/>
      <x:c r="L1537" s="53"/>
      <x:c r="M1537" s="53"/>
      <x:c r="N1537" s="53"/>
      <x:c r="O1537" s="53"/>
      <x:c r="P1537" s="53"/>
      <x:c r="Q1537" s="53"/>
      <x:c r="R1537" s="53"/>
      <x:c r="S1537" s="53"/>
      <x:c r="T1537" s="53"/>
      <x:c r="U1537" s="53"/>
      <x:c r="V1537" s="53"/>
      <x:c r="W1537" s="53"/>
      <x:c r="X1537" s="53"/>
      <x:c r="Y1537" s="53"/>
      <x:c r="Z1537" s="53"/>
      <x:c r="AA1537" s="53"/>
      <x:c r="AB1537" s="53"/>
      <x:c r="AC1537" s="53"/>
      <x:c r="AD1537" s="53"/>
      <x:c r="AE1537" s="53"/>
      <x:c r="AF1537" s="53"/>
    </x:row>
    <x:row r="1538">
      <x:c r="A1538" s="53"/>
      <x:c r="B1538" s="53"/>
      <x:c r="C1538" s="53"/>
      <x:c r="D1538" s="53"/>
      <x:c r="E1538" s="53"/>
      <x:c r="F1538" s="53"/>
      <x:c r="G1538" s="53"/>
      <x:c r="H1538" s="53"/>
      <x:c r="I1538" s="53"/>
      <x:c r="J1538" s="53"/>
      <x:c r="K1538" s="53"/>
      <x:c r="L1538" s="53"/>
      <x:c r="M1538" s="53"/>
      <x:c r="N1538" s="53"/>
      <x:c r="O1538" s="53"/>
      <x:c r="P1538" s="53"/>
      <x:c r="Q1538" s="53"/>
      <x:c r="R1538" s="53"/>
      <x:c r="S1538" s="53"/>
      <x:c r="T1538" s="53"/>
      <x:c r="U1538" s="53"/>
      <x:c r="V1538" s="53"/>
      <x:c r="W1538" s="53"/>
      <x:c r="X1538" s="53"/>
      <x:c r="Y1538" s="53"/>
      <x:c r="Z1538" s="53"/>
      <x:c r="AA1538" s="53"/>
      <x:c r="AB1538" s="53"/>
      <x:c r="AC1538" s="53"/>
      <x:c r="AD1538" s="53"/>
      <x:c r="AE1538" s="53"/>
      <x:c r="AF1538" s="53"/>
    </x:row>
    <x:row r="1539">
      <x:c r="A1539" s="53"/>
      <x:c r="B1539" s="53"/>
      <x:c r="C1539" s="53"/>
      <x:c r="D1539" s="53"/>
      <x:c r="E1539" s="53"/>
      <x:c r="F1539" s="53"/>
      <x:c r="G1539" s="53"/>
      <x:c r="H1539" s="53"/>
      <x:c r="I1539" s="53"/>
      <x:c r="J1539" s="53"/>
      <x:c r="K1539" s="53"/>
      <x:c r="L1539" s="53"/>
      <x:c r="M1539" s="53"/>
      <x:c r="N1539" s="53"/>
      <x:c r="O1539" s="53"/>
      <x:c r="P1539" s="53"/>
      <x:c r="Q1539" s="53"/>
      <x:c r="R1539" s="53"/>
      <x:c r="S1539" s="53"/>
      <x:c r="T1539" s="53"/>
      <x:c r="U1539" s="53"/>
      <x:c r="V1539" s="53"/>
      <x:c r="W1539" s="53"/>
      <x:c r="X1539" s="53"/>
      <x:c r="Y1539" s="53"/>
      <x:c r="Z1539" s="53"/>
      <x:c r="AA1539" s="53"/>
      <x:c r="AB1539" s="53"/>
      <x:c r="AC1539" s="53"/>
      <x:c r="AD1539" s="53"/>
      <x:c r="AE1539" s="53"/>
      <x:c r="AF1539" s="53"/>
    </x:row>
    <x:row r="1540">
      <x:c r="A1540" s="53"/>
      <x:c r="B1540" s="53"/>
      <x:c r="C1540" s="53"/>
      <x:c r="D1540" s="53"/>
      <x:c r="E1540" s="53"/>
      <x:c r="F1540" s="53"/>
      <x:c r="G1540" s="53"/>
      <x:c r="H1540" s="53"/>
      <x:c r="I1540" s="53"/>
      <x:c r="J1540" s="53"/>
      <x:c r="K1540" s="53"/>
      <x:c r="L1540" s="53"/>
      <x:c r="M1540" s="53"/>
      <x:c r="N1540" s="53"/>
      <x:c r="O1540" s="53"/>
      <x:c r="P1540" s="53"/>
      <x:c r="Q1540" s="53"/>
      <x:c r="R1540" s="53"/>
      <x:c r="S1540" s="53"/>
      <x:c r="T1540" s="53"/>
      <x:c r="U1540" s="53"/>
      <x:c r="V1540" s="53"/>
      <x:c r="W1540" s="53"/>
      <x:c r="X1540" s="53"/>
      <x:c r="Y1540" s="53"/>
      <x:c r="Z1540" s="53"/>
      <x:c r="AA1540" s="53"/>
      <x:c r="AB1540" s="53"/>
      <x:c r="AC1540" s="53"/>
      <x:c r="AD1540" s="53"/>
      <x:c r="AE1540" s="53"/>
      <x:c r="AF1540" s="53"/>
    </x:row>
    <x:row r="1541">
      <x:c r="A1541" s="53"/>
      <x:c r="B1541" s="53"/>
      <x:c r="C1541" s="53"/>
      <x:c r="D1541" s="53"/>
      <x:c r="E1541" s="53"/>
      <x:c r="F1541" s="53"/>
      <x:c r="G1541" s="53"/>
      <x:c r="H1541" s="53"/>
      <x:c r="I1541" s="53"/>
      <x:c r="J1541" s="53"/>
      <x:c r="K1541" s="53"/>
      <x:c r="L1541" s="53"/>
      <x:c r="M1541" s="53"/>
      <x:c r="N1541" s="53"/>
      <x:c r="O1541" s="53"/>
      <x:c r="P1541" s="53"/>
      <x:c r="Q1541" s="53"/>
      <x:c r="R1541" s="53"/>
      <x:c r="S1541" s="53"/>
      <x:c r="T1541" s="53"/>
      <x:c r="U1541" s="53"/>
      <x:c r="V1541" s="53"/>
      <x:c r="W1541" s="53"/>
      <x:c r="X1541" s="53"/>
      <x:c r="Y1541" s="53"/>
      <x:c r="Z1541" s="53"/>
      <x:c r="AA1541" s="53"/>
      <x:c r="AB1541" s="53"/>
      <x:c r="AC1541" s="53"/>
      <x:c r="AD1541" s="53"/>
      <x:c r="AE1541" s="53"/>
      <x:c r="AF1541" s="53"/>
    </x:row>
    <x:row r="1542">
      <x:c r="A1542" s="53"/>
      <x:c r="B1542" s="53"/>
      <x:c r="C1542" s="53"/>
      <x:c r="D1542" s="53"/>
      <x:c r="E1542" s="53"/>
      <x:c r="F1542" s="53"/>
      <x:c r="G1542" s="53"/>
      <x:c r="H1542" s="53"/>
      <x:c r="I1542" s="53"/>
      <x:c r="J1542" s="53"/>
      <x:c r="K1542" s="53"/>
      <x:c r="L1542" s="53"/>
      <x:c r="M1542" s="53"/>
      <x:c r="N1542" s="53"/>
      <x:c r="O1542" s="53"/>
      <x:c r="P1542" s="53"/>
      <x:c r="Q1542" s="53"/>
      <x:c r="R1542" s="53"/>
      <x:c r="S1542" s="53"/>
      <x:c r="T1542" s="53"/>
      <x:c r="U1542" s="53"/>
      <x:c r="V1542" s="53"/>
      <x:c r="W1542" s="53"/>
      <x:c r="X1542" s="53"/>
      <x:c r="Y1542" s="53"/>
      <x:c r="Z1542" s="53"/>
      <x:c r="AA1542" s="53"/>
      <x:c r="AB1542" s="53"/>
      <x:c r="AC1542" s="53"/>
      <x:c r="AD1542" s="53"/>
      <x:c r="AE1542" s="53"/>
      <x:c r="AF1542" s="53"/>
    </x:row>
    <x:row r="1543">
      <x:c r="A1543" s="53"/>
      <x:c r="B1543" s="53"/>
      <x:c r="C1543" s="53"/>
      <x:c r="D1543" s="53"/>
      <x:c r="E1543" s="53"/>
      <x:c r="F1543" s="53"/>
      <x:c r="G1543" s="53"/>
      <x:c r="H1543" s="53"/>
      <x:c r="I1543" s="53"/>
      <x:c r="J1543" s="53"/>
      <x:c r="K1543" s="53"/>
      <x:c r="L1543" s="53"/>
      <x:c r="M1543" s="53"/>
      <x:c r="N1543" s="53"/>
      <x:c r="O1543" s="53"/>
      <x:c r="P1543" s="53"/>
      <x:c r="Q1543" s="53"/>
      <x:c r="R1543" s="53"/>
      <x:c r="S1543" s="53"/>
      <x:c r="T1543" s="53"/>
      <x:c r="U1543" s="53"/>
      <x:c r="V1543" s="53"/>
      <x:c r="W1543" s="53"/>
      <x:c r="X1543" s="53"/>
      <x:c r="Y1543" s="53"/>
      <x:c r="Z1543" s="53"/>
      <x:c r="AA1543" s="53"/>
      <x:c r="AB1543" s="53"/>
      <x:c r="AC1543" s="53"/>
      <x:c r="AD1543" s="53"/>
      <x:c r="AE1543" s="53"/>
      <x:c r="AF1543" s="53"/>
    </x:row>
    <x:row r="1544">
      <x:c r="A1544" s="53"/>
      <x:c r="B1544" s="53"/>
      <x:c r="C1544" s="53"/>
      <x:c r="D1544" s="53"/>
      <x:c r="E1544" s="53"/>
      <x:c r="F1544" s="53"/>
      <x:c r="G1544" s="53"/>
      <x:c r="H1544" s="53"/>
      <x:c r="I1544" s="53"/>
      <x:c r="J1544" s="53"/>
      <x:c r="K1544" s="53"/>
      <x:c r="L1544" s="53"/>
      <x:c r="M1544" s="53"/>
      <x:c r="N1544" s="53"/>
      <x:c r="O1544" s="53"/>
      <x:c r="P1544" s="53"/>
      <x:c r="Q1544" s="53"/>
      <x:c r="R1544" s="53"/>
      <x:c r="S1544" s="53"/>
      <x:c r="T1544" s="53"/>
      <x:c r="U1544" s="53"/>
      <x:c r="V1544" s="53"/>
      <x:c r="W1544" s="53"/>
      <x:c r="X1544" s="53"/>
      <x:c r="Y1544" s="53"/>
      <x:c r="Z1544" s="53"/>
      <x:c r="AA1544" s="53"/>
      <x:c r="AB1544" s="53"/>
      <x:c r="AC1544" s="53"/>
      <x:c r="AD1544" s="53"/>
      <x:c r="AE1544" s="53"/>
      <x:c r="AF1544" s="53"/>
    </x:row>
    <x:row r="1545">
      <x:c r="A1545" s="53"/>
      <x:c r="B1545" s="53"/>
      <x:c r="C1545" s="53"/>
      <x:c r="D1545" s="53"/>
      <x:c r="E1545" s="53"/>
      <x:c r="F1545" s="53"/>
      <x:c r="G1545" s="53"/>
      <x:c r="H1545" s="53"/>
      <x:c r="I1545" s="53"/>
      <x:c r="J1545" s="53"/>
      <x:c r="K1545" s="53"/>
      <x:c r="L1545" s="53"/>
      <x:c r="M1545" s="53"/>
      <x:c r="N1545" s="53"/>
      <x:c r="O1545" s="53"/>
      <x:c r="P1545" s="53"/>
      <x:c r="Q1545" s="53"/>
      <x:c r="R1545" s="53"/>
      <x:c r="S1545" s="53"/>
      <x:c r="T1545" s="53"/>
      <x:c r="U1545" s="53"/>
      <x:c r="V1545" s="53"/>
      <x:c r="W1545" s="53"/>
      <x:c r="X1545" s="53"/>
      <x:c r="Y1545" s="53"/>
      <x:c r="Z1545" s="53"/>
      <x:c r="AA1545" s="53"/>
      <x:c r="AB1545" s="53"/>
      <x:c r="AC1545" s="53"/>
      <x:c r="AD1545" s="53"/>
      <x:c r="AE1545" s="53"/>
      <x:c r="AF1545" s="53"/>
    </x:row>
    <x:row r="1546">
      <x:c r="A1546" s="53"/>
      <x:c r="B1546" s="53"/>
      <x:c r="C1546" s="53"/>
      <x:c r="D1546" s="53"/>
      <x:c r="E1546" s="53"/>
      <x:c r="F1546" s="53"/>
      <x:c r="G1546" s="53"/>
      <x:c r="H1546" s="53"/>
      <x:c r="I1546" s="53"/>
      <x:c r="J1546" s="53"/>
      <x:c r="K1546" s="53"/>
      <x:c r="L1546" s="53"/>
      <x:c r="M1546" s="53"/>
      <x:c r="N1546" s="53"/>
      <x:c r="O1546" s="53"/>
      <x:c r="P1546" s="53"/>
      <x:c r="Q1546" s="53"/>
      <x:c r="R1546" s="53"/>
      <x:c r="S1546" s="53"/>
      <x:c r="T1546" s="53"/>
      <x:c r="U1546" s="53"/>
      <x:c r="V1546" s="53"/>
      <x:c r="W1546" s="53"/>
      <x:c r="X1546" s="53"/>
      <x:c r="Y1546" s="53"/>
      <x:c r="Z1546" s="53"/>
      <x:c r="AA1546" s="53"/>
      <x:c r="AB1546" s="53"/>
      <x:c r="AC1546" s="53"/>
      <x:c r="AD1546" s="53"/>
      <x:c r="AE1546" s="53"/>
      <x:c r="AF1546" s="53"/>
    </x:row>
    <x:row r="1547">
      <x:c r="A1547" s="53"/>
      <x:c r="B1547" s="53"/>
      <x:c r="C1547" s="53"/>
      <x:c r="D1547" s="53"/>
      <x:c r="E1547" s="53"/>
      <x:c r="F1547" s="53"/>
      <x:c r="G1547" s="53"/>
      <x:c r="H1547" s="53"/>
      <x:c r="I1547" s="53"/>
      <x:c r="J1547" s="53"/>
      <x:c r="K1547" s="53"/>
      <x:c r="L1547" s="53"/>
      <x:c r="M1547" s="53"/>
      <x:c r="N1547" s="53"/>
      <x:c r="O1547" s="53"/>
      <x:c r="P1547" s="53"/>
      <x:c r="Q1547" s="53"/>
      <x:c r="R1547" s="53"/>
      <x:c r="S1547" s="53"/>
      <x:c r="T1547" s="53"/>
      <x:c r="U1547" s="53"/>
      <x:c r="V1547" s="53"/>
      <x:c r="W1547" s="53"/>
      <x:c r="X1547" s="53"/>
      <x:c r="Y1547" s="53"/>
      <x:c r="Z1547" s="53"/>
      <x:c r="AA1547" s="53"/>
      <x:c r="AB1547" s="53"/>
      <x:c r="AC1547" s="53"/>
      <x:c r="AD1547" s="53"/>
      <x:c r="AE1547" s="53"/>
      <x:c r="AF1547" s="53"/>
    </x:row>
    <x:row r="1548">
      <x:c r="A1548" s="53"/>
      <x:c r="B1548" s="53"/>
      <x:c r="C1548" s="53"/>
      <x:c r="D1548" s="53"/>
      <x:c r="E1548" s="53"/>
      <x:c r="F1548" s="53"/>
      <x:c r="G1548" s="53"/>
      <x:c r="H1548" s="53"/>
      <x:c r="I1548" s="53"/>
      <x:c r="J1548" s="53"/>
      <x:c r="K1548" s="53"/>
      <x:c r="L1548" s="53"/>
      <x:c r="M1548" s="53"/>
      <x:c r="N1548" s="53"/>
      <x:c r="O1548" s="53"/>
      <x:c r="P1548" s="53"/>
      <x:c r="Q1548" s="53"/>
      <x:c r="R1548" s="53"/>
      <x:c r="S1548" s="53"/>
      <x:c r="T1548" s="53"/>
      <x:c r="U1548" s="53"/>
      <x:c r="V1548" s="53"/>
      <x:c r="W1548" s="53"/>
      <x:c r="X1548" s="53"/>
      <x:c r="Y1548" s="53"/>
      <x:c r="Z1548" s="53"/>
      <x:c r="AA1548" s="53"/>
      <x:c r="AB1548" s="53"/>
      <x:c r="AC1548" s="53"/>
      <x:c r="AD1548" s="53"/>
      <x:c r="AE1548" s="53"/>
      <x:c r="AF1548" s="53"/>
    </x:row>
    <x:row r="1549">
      <x:c r="A1549" s="53"/>
      <x:c r="B1549" s="53"/>
      <x:c r="C1549" s="53"/>
      <x:c r="D1549" s="53"/>
      <x:c r="E1549" s="53"/>
      <x:c r="F1549" s="53"/>
      <x:c r="G1549" s="53"/>
      <x:c r="H1549" s="53"/>
      <x:c r="I1549" s="53"/>
      <x:c r="J1549" s="53"/>
      <x:c r="K1549" s="53"/>
      <x:c r="L1549" s="53"/>
      <x:c r="M1549" s="53"/>
      <x:c r="N1549" s="53"/>
      <x:c r="O1549" s="53"/>
      <x:c r="P1549" s="53"/>
      <x:c r="Q1549" s="53"/>
      <x:c r="R1549" s="53"/>
      <x:c r="S1549" s="53"/>
      <x:c r="T1549" s="53"/>
      <x:c r="U1549" s="53"/>
      <x:c r="V1549" s="53"/>
      <x:c r="W1549" s="53"/>
      <x:c r="X1549" s="53"/>
      <x:c r="Y1549" s="53"/>
      <x:c r="Z1549" s="53"/>
      <x:c r="AA1549" s="53"/>
      <x:c r="AB1549" s="53"/>
      <x:c r="AC1549" s="53"/>
      <x:c r="AD1549" s="53"/>
      <x:c r="AE1549" s="53"/>
      <x:c r="AF1549" s="53"/>
    </x:row>
    <x:row r="1550">
      <x:c r="A1550" s="53"/>
      <x:c r="B1550" s="53"/>
      <x:c r="C1550" s="53"/>
      <x:c r="D1550" s="53"/>
      <x:c r="E1550" s="53"/>
      <x:c r="F1550" s="53"/>
      <x:c r="G1550" s="53"/>
      <x:c r="H1550" s="53"/>
      <x:c r="I1550" s="53"/>
      <x:c r="J1550" s="53"/>
      <x:c r="K1550" s="53"/>
      <x:c r="L1550" s="53"/>
      <x:c r="M1550" s="53"/>
      <x:c r="N1550" s="53"/>
      <x:c r="O1550" s="53"/>
      <x:c r="P1550" s="53"/>
      <x:c r="Q1550" s="53"/>
      <x:c r="R1550" s="53"/>
      <x:c r="S1550" s="53"/>
      <x:c r="T1550" s="53"/>
      <x:c r="U1550" s="53"/>
      <x:c r="V1550" s="53"/>
      <x:c r="W1550" s="53"/>
      <x:c r="X1550" s="53"/>
      <x:c r="Y1550" s="53"/>
      <x:c r="Z1550" s="53"/>
      <x:c r="AA1550" s="53"/>
      <x:c r="AB1550" s="53"/>
      <x:c r="AC1550" s="53"/>
      <x:c r="AD1550" s="53"/>
      <x:c r="AE1550" s="53"/>
      <x:c r="AF1550" s="53"/>
    </x:row>
    <x:row r="1551">
      <x:c r="A1551" s="53"/>
      <x:c r="B1551" s="53"/>
      <x:c r="C1551" s="53"/>
      <x:c r="D1551" s="53"/>
      <x:c r="E1551" s="53"/>
      <x:c r="F1551" s="53"/>
      <x:c r="G1551" s="53"/>
      <x:c r="H1551" s="53"/>
      <x:c r="I1551" s="53"/>
      <x:c r="J1551" s="53"/>
      <x:c r="K1551" s="53"/>
      <x:c r="L1551" s="53"/>
      <x:c r="M1551" s="53"/>
      <x:c r="N1551" s="53"/>
      <x:c r="O1551" s="53"/>
      <x:c r="P1551" s="53"/>
      <x:c r="Q1551" s="53"/>
      <x:c r="R1551" s="53"/>
      <x:c r="S1551" s="53"/>
      <x:c r="T1551" s="53"/>
      <x:c r="U1551" s="53"/>
      <x:c r="V1551" s="53"/>
      <x:c r="W1551" s="53"/>
      <x:c r="X1551" s="53"/>
      <x:c r="Y1551" s="53"/>
      <x:c r="Z1551" s="53"/>
      <x:c r="AA1551" s="53"/>
      <x:c r="AB1551" s="53"/>
      <x:c r="AC1551" s="53"/>
      <x:c r="AD1551" s="53"/>
      <x:c r="AE1551" s="53"/>
      <x:c r="AF1551" s="53"/>
    </x:row>
    <x:row r="1552">
      <x:c r="A1552" s="53"/>
      <x:c r="B1552" s="53"/>
      <x:c r="C1552" s="53"/>
      <x:c r="D1552" s="53"/>
      <x:c r="E1552" s="53"/>
      <x:c r="F1552" s="53"/>
      <x:c r="G1552" s="53"/>
      <x:c r="H1552" s="53"/>
      <x:c r="I1552" s="53"/>
      <x:c r="J1552" s="53"/>
      <x:c r="K1552" s="53"/>
      <x:c r="L1552" s="53"/>
      <x:c r="M1552" s="53"/>
      <x:c r="N1552" s="53"/>
      <x:c r="O1552" s="53"/>
      <x:c r="P1552" s="53"/>
      <x:c r="Q1552" s="53"/>
      <x:c r="R1552" s="53"/>
      <x:c r="S1552" s="53"/>
      <x:c r="T1552" s="53"/>
      <x:c r="U1552" s="53"/>
      <x:c r="V1552" s="53"/>
      <x:c r="W1552" s="53"/>
      <x:c r="X1552" s="53"/>
      <x:c r="Y1552" s="53"/>
      <x:c r="Z1552" s="53"/>
      <x:c r="AA1552" s="53"/>
      <x:c r="AB1552" s="53"/>
      <x:c r="AC1552" s="53"/>
      <x:c r="AD1552" s="53"/>
      <x:c r="AE1552" s="53"/>
      <x:c r="AF1552" s="53"/>
    </x:row>
    <x:row r="1553">
      <x:c r="A1553" s="53"/>
      <x:c r="B1553" s="53"/>
      <x:c r="C1553" s="53"/>
      <x:c r="D1553" s="53"/>
      <x:c r="E1553" s="53"/>
      <x:c r="F1553" s="53"/>
      <x:c r="G1553" s="53"/>
      <x:c r="H1553" s="53"/>
      <x:c r="I1553" s="53"/>
      <x:c r="J1553" s="53"/>
      <x:c r="K1553" s="53"/>
      <x:c r="L1553" s="53"/>
      <x:c r="M1553" s="53"/>
      <x:c r="N1553" s="53"/>
      <x:c r="O1553" s="53"/>
      <x:c r="P1553" s="53"/>
      <x:c r="Q1553" s="53"/>
      <x:c r="R1553" s="53"/>
      <x:c r="S1553" s="53"/>
      <x:c r="T1553" s="53"/>
      <x:c r="U1553" s="53"/>
      <x:c r="V1553" s="53"/>
      <x:c r="W1553" s="53"/>
      <x:c r="X1553" s="53"/>
      <x:c r="Y1553" s="53"/>
      <x:c r="Z1553" s="53"/>
      <x:c r="AA1553" s="53"/>
      <x:c r="AB1553" s="53"/>
      <x:c r="AC1553" s="53"/>
      <x:c r="AD1553" s="53"/>
      <x:c r="AE1553" s="53"/>
      <x:c r="AF1553" s="53"/>
    </x:row>
    <x:row r="1554">
      <x:c r="A1554" s="53"/>
      <x:c r="B1554" s="53"/>
      <x:c r="C1554" s="53"/>
      <x:c r="D1554" s="53"/>
      <x:c r="E1554" s="53"/>
      <x:c r="F1554" s="53"/>
      <x:c r="G1554" s="53"/>
      <x:c r="H1554" s="53"/>
      <x:c r="I1554" s="53"/>
      <x:c r="J1554" s="53"/>
      <x:c r="K1554" s="53"/>
      <x:c r="L1554" s="53"/>
      <x:c r="M1554" s="53"/>
      <x:c r="N1554" s="53"/>
      <x:c r="O1554" s="53"/>
      <x:c r="P1554" s="53"/>
      <x:c r="Q1554" s="53"/>
      <x:c r="R1554" s="53"/>
      <x:c r="S1554" s="53"/>
      <x:c r="T1554" s="53"/>
      <x:c r="U1554" s="53"/>
      <x:c r="V1554" s="53"/>
      <x:c r="W1554" s="53"/>
      <x:c r="X1554" s="53"/>
      <x:c r="Y1554" s="53"/>
      <x:c r="Z1554" s="53"/>
      <x:c r="AA1554" s="53"/>
      <x:c r="AB1554" s="53"/>
      <x:c r="AC1554" s="53"/>
      <x:c r="AD1554" s="53"/>
      <x:c r="AE1554" s="53"/>
      <x:c r="AF1554" s="53"/>
    </x:row>
    <x:row r="1555">
      <x:c r="A1555" s="53"/>
      <x:c r="B1555" s="53"/>
      <x:c r="C1555" s="53"/>
      <x:c r="D1555" s="53"/>
      <x:c r="E1555" s="53"/>
      <x:c r="F1555" s="53"/>
      <x:c r="G1555" s="53"/>
      <x:c r="H1555" s="53"/>
      <x:c r="I1555" s="53"/>
      <x:c r="J1555" s="53"/>
      <x:c r="K1555" s="53"/>
      <x:c r="L1555" s="53"/>
      <x:c r="M1555" s="53"/>
      <x:c r="N1555" s="53"/>
      <x:c r="O1555" s="53"/>
      <x:c r="P1555" s="53"/>
      <x:c r="Q1555" s="53"/>
      <x:c r="R1555" s="53"/>
      <x:c r="S1555" s="53"/>
      <x:c r="T1555" s="53"/>
      <x:c r="U1555" s="53"/>
      <x:c r="V1555" s="53"/>
      <x:c r="W1555" s="53"/>
      <x:c r="X1555" s="53"/>
      <x:c r="Y1555" s="53"/>
      <x:c r="Z1555" s="53"/>
      <x:c r="AA1555" s="53"/>
      <x:c r="AB1555" s="53"/>
      <x:c r="AC1555" s="53"/>
      <x:c r="AD1555" s="53"/>
      <x:c r="AE1555" s="53"/>
      <x:c r="AF1555" s="53"/>
    </x:row>
    <x:row r="1556">
      <x:c r="A1556" s="53"/>
      <x:c r="B1556" s="53"/>
      <x:c r="C1556" s="53"/>
      <x:c r="D1556" s="53"/>
      <x:c r="E1556" s="53"/>
      <x:c r="F1556" s="53"/>
      <x:c r="G1556" s="53"/>
      <x:c r="H1556" s="53"/>
      <x:c r="I1556" s="53"/>
      <x:c r="J1556" s="53"/>
      <x:c r="K1556" s="53"/>
      <x:c r="L1556" s="53"/>
      <x:c r="M1556" s="53"/>
      <x:c r="N1556" s="53"/>
      <x:c r="O1556" s="53"/>
      <x:c r="P1556" s="53"/>
      <x:c r="Q1556" s="53"/>
      <x:c r="R1556" s="53"/>
      <x:c r="S1556" s="53"/>
      <x:c r="T1556" s="53"/>
      <x:c r="U1556" s="53"/>
      <x:c r="V1556" s="53"/>
      <x:c r="W1556" s="53"/>
      <x:c r="X1556" s="53"/>
      <x:c r="Y1556" s="53"/>
      <x:c r="Z1556" s="53"/>
      <x:c r="AA1556" s="53"/>
      <x:c r="AB1556" s="53"/>
      <x:c r="AC1556" s="53"/>
      <x:c r="AD1556" s="53"/>
      <x:c r="AE1556" s="53"/>
      <x:c r="AF1556" s="53"/>
    </x:row>
    <x:row r="1557">
      <x:c r="A1557" s="53"/>
      <x:c r="B1557" s="53"/>
      <x:c r="C1557" s="53"/>
      <x:c r="D1557" s="53"/>
      <x:c r="E1557" s="53"/>
      <x:c r="F1557" s="53"/>
      <x:c r="G1557" s="53"/>
      <x:c r="H1557" s="53"/>
      <x:c r="I1557" s="53"/>
      <x:c r="J1557" s="53"/>
      <x:c r="K1557" s="53"/>
      <x:c r="L1557" s="53"/>
      <x:c r="M1557" s="53"/>
      <x:c r="N1557" s="53"/>
      <x:c r="O1557" s="53"/>
      <x:c r="P1557" s="53"/>
      <x:c r="Q1557" s="53"/>
      <x:c r="R1557" s="53"/>
      <x:c r="S1557" s="53"/>
      <x:c r="T1557" s="53"/>
      <x:c r="U1557" s="53"/>
      <x:c r="V1557" s="53"/>
      <x:c r="W1557" s="53"/>
      <x:c r="X1557" s="53"/>
      <x:c r="Y1557" s="53"/>
      <x:c r="Z1557" s="53"/>
      <x:c r="AA1557" s="53"/>
      <x:c r="AB1557" s="53"/>
      <x:c r="AC1557" s="53"/>
      <x:c r="AD1557" s="53"/>
      <x:c r="AE1557" s="53"/>
      <x:c r="AF1557" s="53"/>
    </x:row>
    <x:row r="1558">
      <x:c r="A1558" s="53"/>
      <x:c r="B1558" s="53"/>
      <x:c r="C1558" s="53"/>
      <x:c r="D1558" s="53"/>
      <x:c r="E1558" s="53"/>
      <x:c r="F1558" s="53"/>
      <x:c r="G1558" s="53"/>
      <x:c r="H1558" s="53"/>
      <x:c r="I1558" s="53"/>
      <x:c r="J1558" s="53"/>
      <x:c r="K1558" s="53"/>
      <x:c r="L1558" s="53"/>
      <x:c r="M1558" s="53"/>
      <x:c r="N1558" s="53"/>
      <x:c r="O1558" s="53"/>
      <x:c r="P1558" s="53"/>
      <x:c r="Q1558" s="53"/>
      <x:c r="R1558" s="53"/>
      <x:c r="S1558" s="53"/>
      <x:c r="T1558" s="53"/>
      <x:c r="U1558" s="53"/>
      <x:c r="V1558" s="53"/>
      <x:c r="W1558" s="53"/>
      <x:c r="X1558" s="53"/>
      <x:c r="Y1558" s="53"/>
      <x:c r="Z1558" s="53"/>
      <x:c r="AA1558" s="53"/>
      <x:c r="AB1558" s="53"/>
      <x:c r="AC1558" s="53"/>
      <x:c r="AD1558" s="53"/>
      <x:c r="AE1558" s="53"/>
      <x:c r="AF1558" s="53"/>
    </x:row>
    <x:row r="1559">
      <x:c r="A1559" s="53"/>
      <x:c r="B1559" s="53"/>
      <x:c r="C1559" s="53"/>
      <x:c r="D1559" s="53"/>
      <x:c r="E1559" s="53"/>
      <x:c r="F1559" s="53"/>
      <x:c r="G1559" s="53"/>
      <x:c r="H1559" s="53"/>
      <x:c r="I1559" s="53"/>
      <x:c r="J1559" s="53"/>
      <x:c r="K1559" s="53"/>
      <x:c r="L1559" s="53"/>
      <x:c r="M1559" s="53"/>
      <x:c r="N1559" s="53"/>
      <x:c r="O1559" s="53"/>
      <x:c r="P1559" s="53"/>
      <x:c r="Q1559" s="53"/>
      <x:c r="R1559" s="53"/>
      <x:c r="S1559" s="53"/>
      <x:c r="T1559" s="53"/>
      <x:c r="U1559" s="53"/>
      <x:c r="V1559" s="53"/>
      <x:c r="W1559" s="53"/>
      <x:c r="X1559" s="53"/>
      <x:c r="Y1559" s="53"/>
      <x:c r="Z1559" s="53"/>
      <x:c r="AA1559" s="53"/>
      <x:c r="AB1559" s="53"/>
      <x:c r="AC1559" s="53"/>
      <x:c r="AD1559" s="53"/>
      <x:c r="AE1559" s="53"/>
      <x:c r="AF1559" s="53"/>
    </x:row>
    <x:row r="1560">
      <x:c r="A1560" s="53"/>
      <x:c r="B1560" s="53"/>
      <x:c r="C1560" s="53"/>
      <x:c r="D1560" s="53"/>
      <x:c r="E1560" s="53"/>
      <x:c r="F1560" s="53"/>
      <x:c r="G1560" s="53"/>
      <x:c r="H1560" s="53"/>
      <x:c r="I1560" s="53"/>
      <x:c r="J1560" s="53"/>
      <x:c r="K1560" s="53"/>
      <x:c r="L1560" s="53"/>
      <x:c r="M1560" s="53"/>
      <x:c r="N1560" s="53"/>
      <x:c r="O1560" s="53"/>
      <x:c r="P1560" s="53"/>
      <x:c r="Q1560" s="53"/>
      <x:c r="R1560" s="53"/>
      <x:c r="S1560" s="53"/>
      <x:c r="T1560" s="53"/>
      <x:c r="U1560" s="53"/>
      <x:c r="V1560" s="53"/>
      <x:c r="W1560" s="53"/>
      <x:c r="X1560" s="53"/>
      <x:c r="Y1560" s="53"/>
      <x:c r="Z1560" s="53"/>
      <x:c r="AA1560" s="53"/>
      <x:c r="AB1560" s="53"/>
      <x:c r="AC1560" s="53"/>
      <x:c r="AD1560" s="53"/>
      <x:c r="AE1560" s="53"/>
      <x:c r="AF1560" s="53"/>
    </x:row>
    <x:row r="1561">
      <x:c r="A1561" s="53"/>
      <x:c r="B1561" s="53"/>
      <x:c r="C1561" s="53"/>
      <x:c r="D1561" s="53"/>
      <x:c r="E1561" s="53"/>
      <x:c r="F1561" s="53"/>
      <x:c r="G1561" s="53"/>
      <x:c r="H1561" s="53"/>
      <x:c r="I1561" s="53"/>
      <x:c r="J1561" s="53"/>
      <x:c r="K1561" s="53"/>
      <x:c r="L1561" s="53"/>
      <x:c r="M1561" s="53"/>
      <x:c r="N1561" s="53"/>
      <x:c r="O1561" s="53"/>
      <x:c r="P1561" s="53"/>
      <x:c r="Q1561" s="53"/>
      <x:c r="R1561" s="53"/>
      <x:c r="S1561" s="53"/>
      <x:c r="T1561" s="53"/>
      <x:c r="U1561" s="53"/>
      <x:c r="V1561" s="53"/>
      <x:c r="W1561" s="53"/>
      <x:c r="X1561" s="53"/>
      <x:c r="Y1561" s="53"/>
      <x:c r="Z1561" s="53"/>
      <x:c r="AA1561" s="53"/>
      <x:c r="AB1561" s="53"/>
      <x:c r="AC1561" s="53"/>
      <x:c r="AD1561" s="53"/>
      <x:c r="AE1561" s="53"/>
      <x:c r="AF1561" s="53"/>
    </x:row>
    <x:row r="1562">
      <x:c r="A1562" s="53"/>
      <x:c r="B1562" s="53"/>
      <x:c r="C1562" s="53"/>
      <x:c r="D1562" s="53"/>
      <x:c r="E1562" s="53"/>
      <x:c r="F1562" s="53"/>
      <x:c r="G1562" s="53"/>
      <x:c r="H1562" s="53"/>
      <x:c r="I1562" s="53"/>
      <x:c r="J1562" s="53"/>
      <x:c r="K1562" s="53"/>
      <x:c r="L1562" s="53"/>
      <x:c r="M1562" s="53"/>
      <x:c r="N1562" s="53"/>
      <x:c r="O1562" s="53"/>
      <x:c r="P1562" s="53"/>
      <x:c r="Q1562" s="53"/>
      <x:c r="R1562" s="53"/>
      <x:c r="S1562" s="53"/>
      <x:c r="T1562" s="53"/>
      <x:c r="U1562" s="53"/>
      <x:c r="V1562" s="53"/>
      <x:c r="W1562" s="53"/>
      <x:c r="X1562" s="53"/>
      <x:c r="Y1562" s="53"/>
      <x:c r="Z1562" s="53"/>
      <x:c r="AA1562" s="53"/>
      <x:c r="AB1562" s="53"/>
      <x:c r="AC1562" s="53"/>
      <x:c r="AD1562" s="53"/>
      <x:c r="AE1562" s="53"/>
      <x:c r="AF1562" s="53"/>
    </x:row>
    <x:row r="1563">
      <x:c r="A1563" s="53"/>
      <x:c r="B1563" s="53"/>
      <x:c r="C1563" s="53"/>
      <x:c r="D1563" s="53"/>
      <x:c r="E1563" s="53"/>
      <x:c r="F1563" s="53"/>
      <x:c r="G1563" s="53"/>
      <x:c r="H1563" s="53"/>
      <x:c r="I1563" s="53"/>
      <x:c r="J1563" s="53"/>
      <x:c r="K1563" s="53"/>
      <x:c r="L1563" s="53"/>
      <x:c r="M1563" s="53"/>
      <x:c r="N1563" s="53"/>
      <x:c r="O1563" s="53"/>
      <x:c r="P1563" s="53"/>
      <x:c r="Q1563" s="53"/>
      <x:c r="R1563" s="53"/>
      <x:c r="S1563" s="53"/>
      <x:c r="T1563" s="53"/>
      <x:c r="U1563" s="53"/>
      <x:c r="V1563" s="53"/>
      <x:c r="W1563" s="53"/>
      <x:c r="X1563" s="53"/>
      <x:c r="Y1563" s="53"/>
      <x:c r="Z1563" s="53"/>
      <x:c r="AA1563" s="53"/>
      <x:c r="AB1563" s="53"/>
      <x:c r="AC1563" s="53"/>
      <x:c r="AD1563" s="53"/>
      <x:c r="AE1563" s="53"/>
      <x:c r="AF1563" s="53"/>
    </x:row>
    <x:row r="1564">
      <x:c r="A1564" s="53"/>
      <x:c r="B1564" s="53"/>
      <x:c r="C1564" s="53"/>
      <x:c r="D1564" s="53"/>
      <x:c r="E1564" s="53"/>
      <x:c r="F1564" s="53"/>
      <x:c r="G1564" s="53"/>
      <x:c r="H1564" s="53"/>
      <x:c r="I1564" s="53"/>
      <x:c r="J1564" s="53"/>
      <x:c r="K1564" s="53"/>
      <x:c r="L1564" s="53"/>
      <x:c r="M1564" s="53"/>
      <x:c r="N1564" s="53"/>
      <x:c r="O1564" s="53"/>
      <x:c r="P1564" s="53"/>
      <x:c r="Q1564" s="53"/>
      <x:c r="R1564" s="53"/>
      <x:c r="S1564" s="53"/>
      <x:c r="T1564" s="53"/>
      <x:c r="U1564" s="53"/>
      <x:c r="V1564" s="53"/>
      <x:c r="W1564" s="53"/>
      <x:c r="X1564" s="53"/>
      <x:c r="Y1564" s="53"/>
      <x:c r="Z1564" s="53"/>
      <x:c r="AA1564" s="53"/>
      <x:c r="AB1564" s="53"/>
      <x:c r="AC1564" s="53"/>
      <x:c r="AD1564" s="53"/>
      <x:c r="AE1564" s="53"/>
      <x:c r="AF1564" s="53"/>
    </x:row>
    <x:row r="1565">
      <x:c r="A1565" s="53"/>
      <x:c r="B1565" s="53"/>
      <x:c r="C1565" s="53"/>
      <x:c r="D1565" s="53"/>
      <x:c r="E1565" s="53"/>
      <x:c r="F1565" s="53"/>
      <x:c r="G1565" s="53"/>
      <x:c r="H1565" s="53"/>
      <x:c r="I1565" s="53"/>
      <x:c r="J1565" s="53"/>
      <x:c r="K1565" s="53"/>
      <x:c r="L1565" s="53"/>
      <x:c r="M1565" s="53"/>
      <x:c r="N1565" s="53"/>
      <x:c r="O1565" s="53"/>
      <x:c r="P1565" s="53"/>
      <x:c r="Q1565" s="53"/>
      <x:c r="R1565" s="53"/>
      <x:c r="S1565" s="53"/>
      <x:c r="T1565" s="53"/>
      <x:c r="U1565" s="53"/>
      <x:c r="V1565" s="53"/>
      <x:c r="W1565" s="53"/>
      <x:c r="X1565" s="53"/>
      <x:c r="Y1565" s="53"/>
      <x:c r="Z1565" s="53"/>
      <x:c r="AA1565" s="53"/>
      <x:c r="AB1565" s="53"/>
      <x:c r="AC1565" s="53"/>
      <x:c r="AD1565" s="53"/>
      <x:c r="AE1565" s="53"/>
      <x:c r="AF1565" s="53"/>
    </x:row>
    <x:row r="1566">
      <x:c r="A1566" s="53"/>
      <x:c r="B1566" s="53"/>
      <x:c r="C1566" s="53"/>
      <x:c r="D1566" s="53"/>
      <x:c r="E1566" s="53"/>
      <x:c r="F1566" s="53"/>
      <x:c r="G1566" s="53"/>
      <x:c r="H1566" s="53"/>
      <x:c r="I1566" s="53"/>
      <x:c r="J1566" s="53"/>
      <x:c r="K1566" s="53"/>
      <x:c r="L1566" s="53"/>
      <x:c r="M1566" s="53"/>
      <x:c r="N1566" s="53"/>
      <x:c r="O1566" s="53"/>
      <x:c r="P1566" s="53"/>
      <x:c r="Q1566" s="53"/>
      <x:c r="R1566" s="53"/>
      <x:c r="S1566" s="53"/>
      <x:c r="T1566" s="53"/>
      <x:c r="U1566" s="53"/>
      <x:c r="V1566" s="53"/>
      <x:c r="W1566" s="53"/>
      <x:c r="X1566" s="53"/>
      <x:c r="Y1566" s="53"/>
      <x:c r="Z1566" s="53"/>
      <x:c r="AA1566" s="53"/>
      <x:c r="AB1566" s="53"/>
      <x:c r="AC1566" s="53"/>
      <x:c r="AD1566" s="53"/>
      <x:c r="AE1566" s="53"/>
      <x:c r="AF1566" s="53"/>
    </x:row>
    <x:row r="1567">
      <x:c r="A1567" s="53"/>
      <x:c r="B1567" s="53"/>
      <x:c r="C1567" s="53"/>
      <x:c r="D1567" s="53"/>
      <x:c r="E1567" s="53"/>
      <x:c r="F1567" s="53"/>
      <x:c r="G1567" s="53"/>
      <x:c r="H1567" s="53"/>
      <x:c r="I1567" s="53"/>
      <x:c r="J1567" s="53"/>
      <x:c r="K1567" s="53"/>
      <x:c r="L1567" s="53"/>
      <x:c r="M1567" s="53"/>
      <x:c r="N1567" s="53"/>
      <x:c r="O1567" s="53"/>
      <x:c r="P1567" s="53"/>
      <x:c r="Q1567" s="53"/>
      <x:c r="R1567" s="53"/>
      <x:c r="S1567" s="53"/>
      <x:c r="T1567" s="53"/>
      <x:c r="U1567" s="53"/>
      <x:c r="V1567" s="53"/>
      <x:c r="W1567" s="53"/>
      <x:c r="X1567" s="53"/>
      <x:c r="Y1567" s="53"/>
      <x:c r="Z1567" s="53"/>
      <x:c r="AA1567" s="53"/>
      <x:c r="AB1567" s="53"/>
      <x:c r="AC1567" s="53"/>
      <x:c r="AD1567" s="53"/>
      <x:c r="AE1567" s="53"/>
      <x:c r="AF1567" s="53"/>
    </x:row>
    <x:row r="1568">
      <x:c r="A1568" s="53"/>
      <x:c r="B1568" s="53"/>
      <x:c r="C1568" s="53"/>
      <x:c r="D1568" s="53"/>
      <x:c r="E1568" s="53"/>
      <x:c r="F1568" s="53"/>
      <x:c r="G1568" s="53"/>
      <x:c r="H1568" s="53"/>
      <x:c r="I1568" s="53"/>
      <x:c r="J1568" s="53"/>
      <x:c r="K1568" s="53"/>
      <x:c r="L1568" s="53"/>
      <x:c r="M1568" s="53"/>
      <x:c r="N1568" s="53"/>
      <x:c r="O1568" s="53"/>
      <x:c r="P1568" s="53"/>
      <x:c r="Q1568" s="53"/>
      <x:c r="R1568" s="53"/>
      <x:c r="S1568" s="53"/>
      <x:c r="T1568" s="53"/>
      <x:c r="U1568" s="53"/>
      <x:c r="V1568" s="53"/>
      <x:c r="W1568" s="53"/>
      <x:c r="X1568" s="53"/>
      <x:c r="Y1568" s="53"/>
      <x:c r="Z1568" s="53"/>
      <x:c r="AA1568" s="53"/>
      <x:c r="AB1568" s="53"/>
      <x:c r="AC1568" s="53"/>
      <x:c r="AD1568" s="53"/>
      <x:c r="AE1568" s="53"/>
      <x:c r="AF1568" s="53"/>
    </x:row>
    <x:row r="1569">
      <x:c r="A1569" s="53"/>
      <x:c r="B1569" s="53"/>
      <x:c r="C1569" s="53"/>
      <x:c r="D1569" s="53"/>
      <x:c r="E1569" s="53"/>
      <x:c r="F1569" s="53"/>
      <x:c r="G1569" s="53"/>
      <x:c r="H1569" s="53"/>
      <x:c r="I1569" s="53"/>
      <x:c r="J1569" s="53"/>
      <x:c r="K1569" s="53"/>
      <x:c r="L1569" s="53"/>
      <x:c r="M1569" s="53"/>
      <x:c r="N1569" s="53"/>
      <x:c r="O1569" s="53"/>
      <x:c r="P1569" s="53"/>
      <x:c r="Q1569" s="53"/>
      <x:c r="R1569" s="53"/>
      <x:c r="S1569" s="53"/>
      <x:c r="T1569" s="53"/>
      <x:c r="U1569" s="53"/>
      <x:c r="V1569" s="53"/>
      <x:c r="W1569" s="53"/>
      <x:c r="X1569" s="53"/>
      <x:c r="Y1569" s="53"/>
      <x:c r="Z1569" s="53"/>
      <x:c r="AA1569" s="53"/>
      <x:c r="AB1569" s="53"/>
      <x:c r="AC1569" s="53"/>
      <x:c r="AD1569" s="53"/>
      <x:c r="AE1569" s="53"/>
      <x:c r="AF1569" s="53"/>
    </x:row>
    <x:row r="1570">
      <x:c r="A1570" s="53"/>
      <x:c r="B1570" s="53"/>
      <x:c r="C1570" s="53"/>
      <x:c r="D1570" s="53"/>
      <x:c r="E1570" s="53"/>
      <x:c r="F1570" s="53"/>
      <x:c r="G1570" s="53"/>
      <x:c r="H1570" s="53"/>
      <x:c r="I1570" s="53"/>
      <x:c r="J1570" s="53"/>
      <x:c r="K1570" s="53"/>
      <x:c r="L1570" s="53"/>
      <x:c r="M1570" s="53"/>
      <x:c r="N1570" s="53"/>
      <x:c r="O1570" s="53"/>
      <x:c r="P1570" s="53"/>
      <x:c r="Q1570" s="53"/>
      <x:c r="R1570" s="53"/>
      <x:c r="S1570" s="53"/>
      <x:c r="T1570" s="53"/>
      <x:c r="U1570" s="53"/>
      <x:c r="V1570" s="53"/>
      <x:c r="W1570" s="53"/>
      <x:c r="X1570" s="53"/>
      <x:c r="Y1570" s="53"/>
      <x:c r="Z1570" s="53"/>
      <x:c r="AA1570" s="53"/>
      <x:c r="AB1570" s="53"/>
      <x:c r="AC1570" s="53"/>
      <x:c r="AD1570" s="53"/>
      <x:c r="AE1570" s="53"/>
      <x:c r="AF1570" s="53"/>
    </x:row>
    <x:row r="1571">
      <x:c r="A1571" s="53"/>
      <x:c r="B1571" s="53"/>
      <x:c r="C1571" s="53"/>
      <x:c r="D1571" s="53"/>
      <x:c r="E1571" s="53"/>
      <x:c r="F1571" s="53"/>
      <x:c r="G1571" s="53"/>
      <x:c r="H1571" s="53"/>
      <x:c r="I1571" s="53"/>
      <x:c r="J1571" s="53"/>
      <x:c r="K1571" s="53"/>
      <x:c r="L1571" s="53"/>
      <x:c r="M1571" s="53"/>
      <x:c r="N1571" s="53"/>
      <x:c r="O1571" s="53"/>
      <x:c r="P1571" s="53"/>
      <x:c r="Q1571" s="53"/>
      <x:c r="R1571" s="53"/>
      <x:c r="S1571" s="53"/>
      <x:c r="T1571" s="53"/>
      <x:c r="U1571" s="53"/>
      <x:c r="V1571" s="53"/>
      <x:c r="W1571" s="53"/>
      <x:c r="X1571" s="53"/>
      <x:c r="Y1571" s="53"/>
      <x:c r="Z1571" s="53"/>
      <x:c r="AA1571" s="53"/>
      <x:c r="AB1571" s="53"/>
      <x:c r="AC1571" s="53"/>
      <x:c r="AD1571" s="53"/>
      <x:c r="AE1571" s="53"/>
      <x:c r="AF1571" s="53"/>
    </x:row>
    <x:row r="1572">
      <x:c r="A1572" s="53"/>
      <x:c r="B1572" s="53"/>
      <x:c r="C1572" s="53"/>
      <x:c r="D1572" s="53"/>
      <x:c r="E1572" s="53"/>
      <x:c r="F1572" s="53"/>
      <x:c r="G1572" s="53"/>
      <x:c r="H1572" s="53"/>
      <x:c r="I1572" s="53"/>
      <x:c r="J1572" s="53"/>
      <x:c r="K1572" s="53"/>
      <x:c r="L1572" s="53"/>
      <x:c r="M1572" s="53"/>
      <x:c r="N1572" s="53"/>
      <x:c r="O1572" s="53"/>
      <x:c r="P1572" s="53"/>
      <x:c r="Q1572" s="53"/>
      <x:c r="R1572" s="53"/>
      <x:c r="S1572" s="53"/>
      <x:c r="T1572" s="53"/>
      <x:c r="U1572" s="53"/>
      <x:c r="V1572" s="53"/>
      <x:c r="W1572" s="53"/>
      <x:c r="X1572" s="53"/>
      <x:c r="Y1572" s="53"/>
      <x:c r="Z1572" s="53"/>
      <x:c r="AA1572" s="53"/>
      <x:c r="AB1572" s="53"/>
      <x:c r="AC1572" s="53"/>
      <x:c r="AD1572" s="53"/>
      <x:c r="AE1572" s="53"/>
      <x:c r="AF1572" s="53"/>
    </x:row>
    <x:row r="1573">
      <x:c r="A1573" s="53"/>
      <x:c r="B1573" s="53"/>
      <x:c r="C1573" s="53"/>
      <x:c r="D1573" s="53"/>
      <x:c r="E1573" s="53"/>
      <x:c r="F1573" s="53"/>
      <x:c r="G1573" s="53"/>
      <x:c r="H1573" s="53"/>
      <x:c r="I1573" s="53"/>
      <x:c r="J1573" s="53"/>
      <x:c r="K1573" s="53"/>
      <x:c r="L1573" s="53"/>
      <x:c r="M1573" s="53"/>
      <x:c r="N1573" s="53"/>
      <x:c r="O1573" s="53"/>
      <x:c r="P1573" s="53"/>
      <x:c r="Q1573" s="53"/>
      <x:c r="R1573" s="53"/>
      <x:c r="S1573" s="53"/>
      <x:c r="T1573" s="53"/>
      <x:c r="U1573" s="53"/>
      <x:c r="V1573" s="53"/>
      <x:c r="W1573" s="53"/>
      <x:c r="X1573" s="53"/>
      <x:c r="Y1573" s="53"/>
      <x:c r="Z1573" s="53"/>
      <x:c r="AA1573" s="53"/>
      <x:c r="AB1573" s="53"/>
      <x:c r="AC1573" s="53"/>
      <x:c r="AD1573" s="53"/>
      <x:c r="AE1573" s="53"/>
      <x:c r="AF1573" s="53"/>
    </x:row>
    <x:row r="1574">
      <x:c r="A1574" s="53"/>
      <x:c r="B1574" s="53"/>
      <x:c r="C1574" s="53"/>
      <x:c r="D1574" s="53"/>
      <x:c r="E1574" s="53"/>
      <x:c r="F1574" s="53"/>
      <x:c r="G1574" s="53"/>
      <x:c r="H1574" s="53"/>
      <x:c r="I1574" s="53"/>
      <x:c r="J1574" s="53"/>
      <x:c r="K1574" s="53"/>
      <x:c r="L1574" s="53"/>
      <x:c r="M1574" s="53"/>
      <x:c r="N1574" s="53"/>
      <x:c r="O1574" s="53"/>
      <x:c r="P1574" s="53"/>
      <x:c r="Q1574" s="53"/>
      <x:c r="R1574" s="53"/>
      <x:c r="S1574" s="53"/>
      <x:c r="T1574" s="53"/>
      <x:c r="U1574" s="53"/>
      <x:c r="V1574" s="53"/>
      <x:c r="W1574" s="53"/>
      <x:c r="X1574" s="53"/>
      <x:c r="Y1574" s="53"/>
      <x:c r="Z1574" s="53"/>
      <x:c r="AA1574" s="53"/>
      <x:c r="AB1574" s="53"/>
      <x:c r="AC1574" s="53"/>
      <x:c r="AD1574" s="53"/>
      <x:c r="AE1574" s="53"/>
      <x:c r="AF1574" s="53"/>
    </x:row>
    <x:row r="1575">
      <x:c r="A1575" s="53"/>
      <x:c r="B1575" s="53"/>
      <x:c r="C1575" s="53"/>
      <x:c r="D1575" s="53"/>
      <x:c r="E1575" s="53"/>
      <x:c r="F1575" s="53"/>
      <x:c r="G1575" s="53"/>
      <x:c r="H1575" s="53"/>
      <x:c r="I1575" s="53"/>
      <x:c r="J1575" s="53"/>
      <x:c r="K1575" s="53"/>
      <x:c r="L1575" s="53"/>
      <x:c r="M1575" s="53"/>
      <x:c r="N1575" s="53"/>
      <x:c r="O1575" s="53"/>
      <x:c r="P1575" s="53"/>
      <x:c r="Q1575" s="53"/>
      <x:c r="R1575" s="53"/>
      <x:c r="S1575" s="53"/>
      <x:c r="T1575" s="53"/>
      <x:c r="U1575" s="53"/>
      <x:c r="V1575" s="53"/>
      <x:c r="W1575" s="53"/>
      <x:c r="X1575" s="53"/>
      <x:c r="Y1575" s="53"/>
      <x:c r="Z1575" s="53"/>
      <x:c r="AA1575" s="53"/>
      <x:c r="AB1575" s="53"/>
      <x:c r="AC1575" s="53"/>
      <x:c r="AD1575" s="53"/>
      <x:c r="AE1575" s="53"/>
      <x:c r="AF1575" s="53"/>
    </x:row>
    <x:row r="1576">
      <x:c r="A1576" s="53"/>
      <x:c r="B1576" s="53"/>
      <x:c r="C1576" s="53"/>
      <x:c r="D1576" s="53"/>
      <x:c r="E1576" s="53"/>
      <x:c r="F1576" s="53"/>
      <x:c r="G1576" s="53"/>
      <x:c r="H1576" s="53"/>
      <x:c r="I1576" s="53"/>
      <x:c r="J1576" s="53"/>
      <x:c r="K1576" s="53"/>
      <x:c r="L1576" s="53"/>
      <x:c r="M1576" s="53"/>
      <x:c r="N1576" s="53"/>
      <x:c r="O1576" s="53"/>
      <x:c r="P1576" s="53"/>
      <x:c r="Q1576" s="53"/>
      <x:c r="R1576" s="53"/>
      <x:c r="S1576" s="53"/>
      <x:c r="T1576" s="53"/>
      <x:c r="U1576" s="53"/>
      <x:c r="V1576" s="53"/>
      <x:c r="W1576" s="53"/>
      <x:c r="X1576" s="53"/>
      <x:c r="Y1576" s="53"/>
      <x:c r="Z1576" s="53"/>
      <x:c r="AA1576" s="53"/>
      <x:c r="AB1576" s="53"/>
      <x:c r="AC1576" s="53"/>
      <x:c r="AD1576" s="53"/>
      <x:c r="AE1576" s="53"/>
      <x:c r="AF1576" s="53"/>
    </x:row>
    <x:row r="1577">
      <x:c r="A1577" s="53"/>
      <x:c r="B1577" s="53"/>
      <x:c r="C1577" s="53"/>
      <x:c r="D1577" s="53"/>
      <x:c r="E1577" s="53"/>
      <x:c r="F1577" s="53"/>
      <x:c r="G1577" s="53"/>
      <x:c r="H1577" s="53"/>
      <x:c r="I1577" s="53"/>
      <x:c r="J1577" s="53"/>
      <x:c r="K1577" s="53"/>
      <x:c r="L1577" s="53"/>
      <x:c r="M1577" s="53"/>
      <x:c r="N1577" s="53"/>
      <x:c r="O1577" s="53"/>
      <x:c r="P1577" s="53"/>
      <x:c r="Q1577" s="53"/>
      <x:c r="R1577" s="53"/>
      <x:c r="S1577" s="53"/>
      <x:c r="T1577" s="53"/>
      <x:c r="U1577" s="53"/>
      <x:c r="V1577" s="53"/>
      <x:c r="W1577" s="53"/>
      <x:c r="X1577" s="53"/>
      <x:c r="Y1577" s="53"/>
      <x:c r="Z1577" s="53"/>
      <x:c r="AA1577" s="53"/>
      <x:c r="AB1577" s="53"/>
      <x:c r="AC1577" s="53"/>
      <x:c r="AD1577" s="53"/>
      <x:c r="AE1577" s="53"/>
      <x:c r="AF1577" s="53"/>
    </x:row>
    <x:row r="1578">
      <x:c r="A1578" s="53"/>
      <x:c r="B1578" s="53"/>
      <x:c r="C1578" s="53"/>
      <x:c r="D1578" s="53"/>
      <x:c r="E1578" s="53"/>
      <x:c r="F1578" s="53"/>
      <x:c r="G1578" s="53"/>
      <x:c r="H1578" s="53"/>
      <x:c r="I1578" s="53"/>
      <x:c r="J1578" s="53"/>
      <x:c r="K1578" s="53"/>
      <x:c r="L1578" s="53"/>
      <x:c r="M1578" s="53"/>
      <x:c r="N1578" s="53"/>
      <x:c r="O1578" s="53"/>
      <x:c r="P1578" s="53"/>
      <x:c r="Q1578" s="53"/>
      <x:c r="R1578" s="53"/>
      <x:c r="S1578" s="53"/>
      <x:c r="T1578" s="53"/>
      <x:c r="U1578" s="53"/>
      <x:c r="V1578" s="53"/>
      <x:c r="W1578" s="53"/>
      <x:c r="X1578" s="53"/>
      <x:c r="Y1578" s="53"/>
      <x:c r="Z1578" s="53"/>
      <x:c r="AA1578" s="53"/>
      <x:c r="AB1578" s="53"/>
      <x:c r="AC1578" s="53"/>
      <x:c r="AD1578" s="53"/>
      <x:c r="AE1578" s="53"/>
      <x:c r="AF1578" s="53"/>
    </x:row>
    <x:row r="1579">
      <x:c r="A1579" s="53"/>
      <x:c r="B1579" s="53"/>
      <x:c r="C1579" s="53"/>
      <x:c r="D1579" s="53"/>
      <x:c r="E1579" s="53"/>
      <x:c r="F1579" s="53"/>
      <x:c r="G1579" s="53"/>
      <x:c r="H1579" s="53"/>
      <x:c r="I1579" s="53"/>
      <x:c r="J1579" s="53"/>
      <x:c r="K1579" s="53"/>
      <x:c r="L1579" s="53"/>
      <x:c r="M1579" s="53"/>
      <x:c r="N1579" s="53"/>
      <x:c r="O1579" s="53"/>
      <x:c r="P1579" s="53"/>
      <x:c r="Q1579" s="53"/>
      <x:c r="R1579" s="53"/>
      <x:c r="S1579" s="53"/>
      <x:c r="T1579" s="53"/>
      <x:c r="U1579" s="53"/>
      <x:c r="V1579" s="53"/>
      <x:c r="W1579" s="53"/>
      <x:c r="X1579" s="53"/>
      <x:c r="Y1579" s="53"/>
      <x:c r="Z1579" s="53"/>
      <x:c r="AA1579" s="53"/>
      <x:c r="AB1579" s="53"/>
      <x:c r="AC1579" s="53"/>
      <x:c r="AD1579" s="53"/>
      <x:c r="AE1579" s="53"/>
      <x:c r="AF1579" s="53"/>
    </x:row>
    <x:row r="1580">
      <x:c r="A1580" s="53"/>
      <x:c r="B1580" s="53"/>
      <x:c r="C1580" s="53"/>
      <x:c r="D1580" s="53"/>
      <x:c r="E1580" s="53"/>
      <x:c r="F1580" s="53"/>
      <x:c r="G1580" s="53"/>
      <x:c r="H1580" s="53"/>
      <x:c r="I1580" s="53"/>
      <x:c r="J1580" s="53"/>
      <x:c r="K1580" s="53"/>
      <x:c r="L1580" s="53"/>
      <x:c r="M1580" s="53"/>
      <x:c r="N1580" s="53"/>
      <x:c r="O1580" s="53"/>
      <x:c r="P1580" s="53"/>
      <x:c r="Q1580" s="53"/>
      <x:c r="R1580" s="53"/>
      <x:c r="S1580" s="53"/>
      <x:c r="T1580" s="53"/>
      <x:c r="U1580" s="53"/>
      <x:c r="V1580" s="53"/>
      <x:c r="W1580" s="53"/>
      <x:c r="X1580" s="53"/>
      <x:c r="Y1580" s="53"/>
      <x:c r="Z1580" s="53"/>
      <x:c r="AA1580" s="53"/>
      <x:c r="AB1580" s="53"/>
      <x:c r="AC1580" s="53"/>
      <x:c r="AD1580" s="53"/>
      <x:c r="AE1580" s="53"/>
      <x:c r="AF1580" s="53"/>
    </x:row>
    <x:row r="1581">
      <x:c r="A1581" s="53"/>
      <x:c r="B1581" s="53"/>
      <x:c r="C1581" s="53"/>
      <x:c r="D1581" s="53"/>
      <x:c r="E1581" s="53"/>
      <x:c r="F1581" s="53"/>
      <x:c r="G1581" s="53"/>
      <x:c r="H1581" s="53"/>
      <x:c r="I1581" s="53"/>
      <x:c r="J1581" s="53"/>
      <x:c r="K1581" s="53"/>
      <x:c r="L1581" s="53"/>
      <x:c r="M1581" s="53"/>
      <x:c r="N1581" s="53"/>
      <x:c r="O1581" s="53"/>
      <x:c r="P1581" s="53"/>
      <x:c r="Q1581" s="53"/>
      <x:c r="R1581" s="53"/>
      <x:c r="S1581" s="53"/>
      <x:c r="T1581" s="53"/>
      <x:c r="U1581" s="53"/>
      <x:c r="V1581" s="53"/>
      <x:c r="W1581" s="53"/>
      <x:c r="X1581" s="53"/>
      <x:c r="Y1581" s="53"/>
      <x:c r="Z1581" s="53"/>
      <x:c r="AA1581" s="53"/>
      <x:c r="AB1581" s="53"/>
      <x:c r="AC1581" s="53"/>
      <x:c r="AD1581" s="53"/>
      <x:c r="AE1581" s="53"/>
      <x:c r="AF1581" s="53"/>
    </x:row>
    <x:row r="1582">
      <x:c r="A1582" s="53"/>
      <x:c r="B1582" s="53"/>
      <x:c r="C1582" s="53"/>
      <x:c r="D1582" s="53"/>
      <x:c r="E1582" s="53"/>
      <x:c r="F1582" s="53"/>
      <x:c r="G1582" s="53"/>
      <x:c r="H1582" s="53"/>
      <x:c r="I1582" s="53"/>
      <x:c r="J1582" s="53"/>
      <x:c r="K1582" s="53"/>
      <x:c r="L1582" s="53"/>
      <x:c r="M1582" s="53"/>
      <x:c r="N1582" s="53"/>
      <x:c r="O1582" s="53"/>
      <x:c r="P1582" s="53"/>
      <x:c r="Q1582" s="53"/>
      <x:c r="R1582" s="53"/>
      <x:c r="S1582" s="53"/>
      <x:c r="T1582" s="53"/>
      <x:c r="U1582" s="53"/>
      <x:c r="V1582" s="53"/>
      <x:c r="W1582" s="53"/>
      <x:c r="X1582" s="53"/>
      <x:c r="Y1582" s="53"/>
      <x:c r="Z1582" s="53"/>
      <x:c r="AA1582" s="53"/>
      <x:c r="AB1582" s="53"/>
      <x:c r="AC1582" s="53"/>
      <x:c r="AD1582" s="53"/>
      <x:c r="AE1582" s="53"/>
      <x:c r="AF1582" s="53"/>
    </x:row>
    <x:row r="1583">
      <x:c r="A1583" s="53"/>
      <x:c r="B1583" s="53"/>
      <x:c r="C1583" s="53"/>
      <x:c r="D1583" s="53"/>
      <x:c r="E1583" s="53"/>
      <x:c r="F1583" s="53"/>
      <x:c r="G1583" s="53"/>
      <x:c r="H1583" s="53"/>
      <x:c r="I1583" s="53"/>
      <x:c r="J1583" s="53"/>
      <x:c r="K1583" s="53"/>
      <x:c r="L1583" s="53"/>
      <x:c r="M1583" s="53"/>
      <x:c r="N1583" s="53"/>
      <x:c r="O1583" s="53"/>
      <x:c r="P1583" s="53"/>
      <x:c r="Q1583" s="53"/>
      <x:c r="R1583" s="53"/>
      <x:c r="S1583" s="53"/>
      <x:c r="T1583" s="53"/>
      <x:c r="U1583" s="53"/>
      <x:c r="V1583" s="53"/>
      <x:c r="W1583" s="53"/>
      <x:c r="X1583" s="53"/>
      <x:c r="Y1583" s="53"/>
      <x:c r="Z1583" s="53"/>
      <x:c r="AA1583" s="53"/>
      <x:c r="AB1583" s="53"/>
      <x:c r="AC1583" s="53"/>
      <x:c r="AD1583" s="53"/>
      <x:c r="AE1583" s="53"/>
      <x:c r="AF1583" s="53"/>
    </x:row>
    <x:row r="1584">
      <x:c r="A1584" s="53"/>
      <x:c r="B1584" s="53"/>
      <x:c r="C1584" s="53"/>
      <x:c r="D1584" s="53"/>
      <x:c r="E1584" s="53"/>
      <x:c r="F1584" s="53"/>
      <x:c r="G1584" s="53"/>
      <x:c r="H1584" s="53"/>
      <x:c r="I1584" s="53"/>
      <x:c r="J1584" s="53"/>
      <x:c r="K1584" s="53"/>
      <x:c r="L1584" s="53"/>
      <x:c r="M1584" s="53"/>
      <x:c r="N1584" s="53"/>
      <x:c r="O1584" s="53"/>
      <x:c r="P1584" s="53"/>
      <x:c r="Q1584" s="53"/>
      <x:c r="R1584" s="53"/>
      <x:c r="S1584" s="53"/>
      <x:c r="T1584" s="53"/>
      <x:c r="U1584" s="53"/>
      <x:c r="V1584" s="53"/>
      <x:c r="W1584" s="53"/>
      <x:c r="X1584" s="53"/>
      <x:c r="Y1584" s="53"/>
      <x:c r="Z1584" s="53"/>
      <x:c r="AA1584" s="53"/>
      <x:c r="AB1584" s="53"/>
      <x:c r="AC1584" s="53"/>
      <x:c r="AD1584" s="53"/>
      <x:c r="AE1584" s="53"/>
      <x:c r="AF1584" s="53"/>
    </x:row>
    <x:row r="1585">
      <x:c r="A1585" s="53"/>
      <x:c r="B1585" s="53"/>
      <x:c r="C1585" s="53"/>
      <x:c r="D1585" s="53"/>
      <x:c r="E1585" s="53"/>
      <x:c r="F1585" s="53"/>
      <x:c r="G1585" s="53"/>
      <x:c r="H1585" s="53"/>
      <x:c r="I1585" s="53"/>
      <x:c r="J1585" s="53"/>
      <x:c r="K1585" s="53"/>
      <x:c r="L1585" s="53"/>
      <x:c r="M1585" s="53"/>
      <x:c r="N1585" s="53"/>
      <x:c r="O1585" s="53"/>
      <x:c r="P1585" s="53"/>
      <x:c r="Q1585" s="53"/>
      <x:c r="R1585" s="53"/>
      <x:c r="S1585" s="53"/>
      <x:c r="T1585" s="53"/>
      <x:c r="U1585" s="53"/>
      <x:c r="V1585" s="53"/>
      <x:c r="W1585" s="53"/>
      <x:c r="X1585" s="53"/>
      <x:c r="Y1585" s="53"/>
      <x:c r="Z1585" s="53"/>
      <x:c r="AA1585" s="53"/>
      <x:c r="AB1585" s="53"/>
      <x:c r="AC1585" s="53"/>
      <x:c r="AD1585" s="53"/>
      <x:c r="AE1585" s="53"/>
      <x:c r="AF1585" s="53"/>
    </x:row>
    <x:row r="1586">
      <x:c r="A1586" s="53"/>
      <x:c r="B1586" s="53"/>
      <x:c r="C1586" s="53"/>
      <x:c r="D1586" s="53"/>
      <x:c r="E1586" s="53"/>
      <x:c r="F1586" s="53"/>
      <x:c r="G1586" s="53"/>
      <x:c r="H1586" s="53"/>
      <x:c r="I1586" s="53"/>
      <x:c r="J1586" s="53"/>
      <x:c r="K1586" s="53"/>
      <x:c r="L1586" s="53"/>
      <x:c r="M1586" s="53"/>
      <x:c r="N1586" s="53"/>
      <x:c r="O1586" s="53"/>
      <x:c r="P1586" s="53"/>
      <x:c r="Q1586" s="53"/>
      <x:c r="R1586" s="53"/>
      <x:c r="S1586" s="53"/>
      <x:c r="T1586" s="53"/>
      <x:c r="U1586" s="53"/>
      <x:c r="V1586" s="53"/>
      <x:c r="W1586" s="53"/>
      <x:c r="X1586" s="53"/>
      <x:c r="Y1586" s="53"/>
      <x:c r="Z1586" s="53"/>
      <x:c r="AA1586" s="53"/>
      <x:c r="AB1586" s="53"/>
      <x:c r="AC1586" s="53"/>
      <x:c r="AD1586" s="53"/>
      <x:c r="AE1586" s="53"/>
      <x:c r="AF1586" s="53"/>
    </x:row>
    <x:row r="1587">
      <x:c r="A1587" s="53"/>
      <x:c r="B1587" s="53"/>
      <x:c r="C1587" s="53"/>
      <x:c r="D1587" s="53"/>
      <x:c r="E1587" s="53"/>
      <x:c r="F1587" s="53"/>
      <x:c r="G1587" s="53"/>
      <x:c r="H1587" s="53"/>
      <x:c r="I1587" s="53"/>
      <x:c r="J1587" s="53"/>
      <x:c r="K1587" s="53"/>
      <x:c r="L1587" s="53"/>
      <x:c r="M1587" s="53"/>
      <x:c r="N1587" s="53"/>
      <x:c r="O1587" s="53"/>
      <x:c r="P1587" s="53"/>
      <x:c r="Q1587" s="53"/>
      <x:c r="R1587" s="53"/>
      <x:c r="S1587" s="53"/>
      <x:c r="T1587" s="53"/>
      <x:c r="U1587" s="53"/>
      <x:c r="V1587" s="53"/>
      <x:c r="W1587" s="53"/>
      <x:c r="X1587" s="53"/>
      <x:c r="Y1587" s="53"/>
      <x:c r="Z1587" s="53"/>
      <x:c r="AA1587" s="53"/>
      <x:c r="AB1587" s="53"/>
      <x:c r="AC1587" s="53"/>
      <x:c r="AD1587" s="53"/>
      <x:c r="AE1587" s="53"/>
      <x:c r="AF1587" s="53"/>
    </x:row>
    <x:row r="1588">
      <x:c r="A1588" s="53"/>
      <x:c r="B1588" s="53"/>
      <x:c r="C1588" s="53"/>
      <x:c r="D1588" s="53"/>
      <x:c r="E1588" s="53"/>
      <x:c r="F1588" s="53"/>
      <x:c r="G1588" s="53"/>
      <x:c r="H1588" s="53"/>
      <x:c r="I1588" s="53"/>
      <x:c r="J1588" s="53"/>
      <x:c r="K1588" s="53"/>
      <x:c r="L1588" s="53"/>
      <x:c r="M1588" s="53"/>
      <x:c r="N1588" s="53"/>
      <x:c r="O1588" s="53"/>
      <x:c r="P1588" s="53"/>
      <x:c r="Q1588" s="53"/>
      <x:c r="R1588" s="53"/>
      <x:c r="S1588" s="53"/>
      <x:c r="T1588" s="53"/>
      <x:c r="U1588" s="53"/>
      <x:c r="V1588" s="53"/>
      <x:c r="W1588" s="53"/>
      <x:c r="X1588" s="53"/>
      <x:c r="Y1588" s="53"/>
      <x:c r="Z1588" s="53"/>
      <x:c r="AA1588" s="53"/>
      <x:c r="AB1588" s="53"/>
      <x:c r="AC1588" s="53"/>
      <x:c r="AD1588" s="53"/>
      <x:c r="AE1588" s="53"/>
      <x:c r="AF1588" s="53"/>
    </x:row>
    <x:row r="1589">
      <x:c r="A1589" s="53"/>
      <x:c r="B1589" s="53"/>
      <x:c r="C1589" s="53"/>
      <x:c r="D1589" s="53"/>
      <x:c r="E1589" s="53"/>
      <x:c r="F1589" s="53"/>
      <x:c r="G1589" s="53"/>
      <x:c r="H1589" s="53"/>
      <x:c r="I1589" s="53"/>
      <x:c r="J1589" s="53"/>
      <x:c r="K1589" s="53"/>
      <x:c r="L1589" s="53"/>
      <x:c r="M1589" s="53"/>
      <x:c r="N1589" s="53"/>
      <x:c r="O1589" s="53"/>
      <x:c r="P1589" s="53"/>
      <x:c r="Q1589" s="53"/>
      <x:c r="R1589" s="53"/>
      <x:c r="S1589" s="53"/>
      <x:c r="T1589" s="53"/>
      <x:c r="U1589" s="53"/>
      <x:c r="V1589" s="53"/>
      <x:c r="W1589" s="53"/>
      <x:c r="X1589" s="53"/>
      <x:c r="Y1589" s="53"/>
      <x:c r="Z1589" s="53"/>
      <x:c r="AA1589" s="53"/>
      <x:c r="AB1589" s="53"/>
      <x:c r="AC1589" s="53"/>
      <x:c r="AD1589" s="53"/>
      <x:c r="AE1589" s="53"/>
      <x:c r="AF1589" s="53"/>
    </x:row>
    <x:row r="1590">
      <x:c r="A1590" s="53"/>
      <x:c r="B1590" s="53"/>
      <x:c r="C1590" s="53"/>
      <x:c r="D1590" s="53"/>
      <x:c r="E1590" s="53"/>
      <x:c r="F1590" s="53"/>
      <x:c r="G1590" s="53"/>
      <x:c r="H1590" s="53"/>
      <x:c r="I1590" s="53"/>
      <x:c r="J1590" s="53"/>
      <x:c r="K1590" s="53"/>
      <x:c r="L1590" s="53"/>
      <x:c r="M1590" s="53"/>
      <x:c r="N1590" s="53"/>
      <x:c r="O1590" s="53"/>
      <x:c r="P1590" s="53"/>
      <x:c r="Q1590" s="53"/>
      <x:c r="R1590" s="53"/>
      <x:c r="S1590" s="53"/>
      <x:c r="T1590" s="53"/>
      <x:c r="U1590" s="53"/>
      <x:c r="V1590" s="53"/>
      <x:c r="W1590" s="53"/>
      <x:c r="X1590" s="53"/>
      <x:c r="Y1590" s="53"/>
      <x:c r="Z1590" s="53"/>
      <x:c r="AA1590" s="53"/>
      <x:c r="AB1590" s="53"/>
      <x:c r="AC1590" s="53"/>
      <x:c r="AD1590" s="53"/>
      <x:c r="AE1590" s="53"/>
      <x:c r="AF1590" s="53"/>
    </x:row>
    <x:row r="1591">
      <x:c r="A1591" s="53"/>
      <x:c r="B1591" s="53"/>
      <x:c r="C1591" s="53"/>
      <x:c r="D1591" s="53"/>
      <x:c r="E1591" s="53"/>
      <x:c r="F1591" s="53"/>
      <x:c r="G1591" s="53"/>
      <x:c r="H1591" s="53"/>
      <x:c r="I1591" s="53"/>
      <x:c r="J1591" s="53"/>
      <x:c r="K1591" s="53"/>
      <x:c r="L1591" s="53"/>
      <x:c r="M1591" s="53"/>
      <x:c r="N1591" s="53"/>
      <x:c r="O1591" s="53"/>
      <x:c r="P1591" s="53"/>
      <x:c r="Q1591" s="53"/>
      <x:c r="R1591" s="53"/>
      <x:c r="S1591" s="53"/>
      <x:c r="T1591" s="53"/>
      <x:c r="U1591" s="53"/>
      <x:c r="V1591" s="53"/>
      <x:c r="W1591" s="53"/>
      <x:c r="X1591" s="53"/>
      <x:c r="Y1591" s="53"/>
      <x:c r="Z1591" s="53"/>
      <x:c r="AA1591" s="53"/>
      <x:c r="AB1591" s="53"/>
      <x:c r="AC1591" s="53"/>
      <x:c r="AD1591" s="53"/>
      <x:c r="AE1591" s="53"/>
      <x:c r="AF1591" s="53"/>
    </x:row>
    <x:row r="1592">
      <x:c r="A1592" s="53"/>
      <x:c r="B1592" s="53"/>
      <x:c r="C1592" s="53"/>
      <x:c r="D1592" s="53"/>
      <x:c r="E1592" s="53"/>
      <x:c r="F1592" s="53"/>
      <x:c r="G1592" s="53"/>
      <x:c r="H1592" s="53"/>
      <x:c r="I1592" s="53"/>
      <x:c r="J1592" s="53"/>
      <x:c r="K1592" s="53"/>
      <x:c r="L1592" s="53"/>
      <x:c r="M1592" s="53"/>
      <x:c r="N1592" s="53"/>
      <x:c r="O1592" s="53"/>
      <x:c r="P1592" s="53"/>
      <x:c r="Q1592" s="53"/>
      <x:c r="R1592" s="53"/>
      <x:c r="S1592" s="53"/>
      <x:c r="T1592" s="53"/>
      <x:c r="U1592" s="53"/>
      <x:c r="V1592" s="53"/>
      <x:c r="W1592" s="53"/>
      <x:c r="X1592" s="53"/>
      <x:c r="Y1592" s="53"/>
      <x:c r="Z1592" s="53"/>
      <x:c r="AA1592" s="53"/>
      <x:c r="AB1592" s="53"/>
      <x:c r="AC1592" s="53"/>
      <x:c r="AD1592" s="53"/>
      <x:c r="AE1592" s="53"/>
      <x:c r="AF1592" s="53"/>
    </x:row>
    <x:row r="1593">
      <x:c r="A1593" s="53"/>
      <x:c r="B1593" s="53"/>
      <x:c r="C1593" s="53"/>
      <x:c r="D1593" s="53"/>
      <x:c r="E1593" s="53"/>
      <x:c r="F1593" s="53"/>
      <x:c r="G1593" s="53"/>
      <x:c r="H1593" s="53"/>
      <x:c r="I1593" s="53"/>
      <x:c r="J1593" s="53"/>
      <x:c r="K1593" s="53"/>
      <x:c r="L1593" s="53"/>
      <x:c r="M1593" s="53"/>
      <x:c r="N1593" s="53"/>
      <x:c r="O1593" s="53"/>
      <x:c r="P1593" s="53"/>
      <x:c r="Q1593" s="53"/>
      <x:c r="R1593" s="53"/>
      <x:c r="S1593" s="53"/>
      <x:c r="T1593" s="53"/>
      <x:c r="U1593" s="53"/>
      <x:c r="V1593" s="53"/>
      <x:c r="W1593" s="53"/>
      <x:c r="X1593" s="53"/>
      <x:c r="Y1593" s="53"/>
      <x:c r="Z1593" s="53"/>
      <x:c r="AA1593" s="53"/>
      <x:c r="AB1593" s="53"/>
      <x:c r="AC1593" s="53"/>
      <x:c r="AD1593" s="53"/>
      <x:c r="AE1593" s="53"/>
      <x:c r="AF1593" s="53"/>
    </x:row>
    <x:row r="1594">
      <x:c r="A1594" s="53"/>
      <x:c r="B1594" s="53"/>
      <x:c r="C1594" s="53"/>
      <x:c r="D1594" s="53"/>
      <x:c r="E1594" s="53"/>
      <x:c r="F1594" s="53"/>
      <x:c r="G1594" s="53"/>
      <x:c r="H1594" s="53"/>
      <x:c r="I1594" s="53"/>
      <x:c r="J1594" s="53"/>
      <x:c r="K1594" s="53"/>
      <x:c r="L1594" s="53"/>
      <x:c r="M1594" s="53"/>
      <x:c r="N1594" s="53"/>
      <x:c r="O1594" s="53"/>
      <x:c r="P1594" s="53"/>
      <x:c r="Q1594" s="53"/>
      <x:c r="R1594" s="53"/>
      <x:c r="S1594" s="53"/>
      <x:c r="T1594" s="53"/>
      <x:c r="U1594" s="53"/>
      <x:c r="V1594" s="53"/>
      <x:c r="W1594" s="53"/>
      <x:c r="X1594" s="53"/>
      <x:c r="Y1594" s="53"/>
      <x:c r="Z1594" s="53"/>
      <x:c r="AA1594" s="53"/>
      <x:c r="AB1594" s="53"/>
      <x:c r="AC1594" s="53"/>
      <x:c r="AD1594" s="53"/>
      <x:c r="AE1594" s="53"/>
      <x:c r="AF1594" s="53"/>
    </x:row>
    <x:row r="1595">
      <x:c r="A1595" s="53"/>
      <x:c r="B1595" s="53"/>
      <x:c r="C1595" s="53"/>
      <x:c r="D1595" s="53"/>
      <x:c r="E1595" s="53"/>
      <x:c r="F1595" s="53"/>
      <x:c r="G1595" s="53"/>
      <x:c r="H1595" s="53"/>
      <x:c r="I1595" s="53"/>
      <x:c r="J1595" s="53"/>
      <x:c r="K1595" s="53"/>
      <x:c r="L1595" s="53"/>
      <x:c r="M1595" s="53"/>
      <x:c r="N1595" s="53"/>
      <x:c r="O1595" s="53"/>
      <x:c r="P1595" s="53"/>
      <x:c r="Q1595" s="53"/>
      <x:c r="R1595" s="53"/>
      <x:c r="S1595" s="53"/>
      <x:c r="T1595" s="53"/>
      <x:c r="U1595" s="53"/>
      <x:c r="V1595" s="53"/>
      <x:c r="W1595" s="53"/>
      <x:c r="X1595" s="53"/>
      <x:c r="Y1595" s="53"/>
      <x:c r="Z1595" s="53"/>
      <x:c r="AA1595" s="53"/>
      <x:c r="AB1595" s="53"/>
      <x:c r="AC1595" s="53"/>
      <x:c r="AD1595" s="53"/>
      <x:c r="AE1595" s="53"/>
      <x:c r="AF1595" s="53"/>
    </x:row>
    <x:row r="1596">
      <x:c r="A1596" s="53"/>
      <x:c r="B1596" s="53"/>
      <x:c r="C1596" s="53"/>
      <x:c r="D1596" s="53"/>
      <x:c r="E1596" s="53"/>
      <x:c r="F1596" s="53"/>
      <x:c r="G1596" s="53"/>
      <x:c r="H1596" s="53"/>
      <x:c r="I1596" s="53"/>
      <x:c r="J1596" s="53"/>
      <x:c r="K1596" s="53"/>
      <x:c r="L1596" s="53"/>
      <x:c r="M1596" s="53"/>
      <x:c r="N1596" s="53"/>
      <x:c r="O1596" s="53"/>
      <x:c r="P1596" s="53"/>
      <x:c r="Q1596" s="53"/>
      <x:c r="R1596" s="53"/>
      <x:c r="S1596" s="53"/>
      <x:c r="T1596" s="53"/>
      <x:c r="U1596" s="53"/>
      <x:c r="V1596" s="53"/>
      <x:c r="W1596" s="53"/>
      <x:c r="X1596" s="53"/>
      <x:c r="Y1596" s="53"/>
      <x:c r="Z1596" s="53"/>
      <x:c r="AA1596" s="53"/>
      <x:c r="AB1596" s="53"/>
      <x:c r="AC1596" s="53"/>
      <x:c r="AD1596" s="53"/>
      <x:c r="AE1596" s="53"/>
      <x:c r="AF1596" s="53"/>
    </x:row>
    <x:row r="1597">
      <x:c r="A1597" s="53"/>
      <x:c r="B1597" s="53"/>
      <x:c r="C1597" s="53"/>
      <x:c r="D1597" s="53"/>
      <x:c r="E1597" s="53"/>
      <x:c r="F1597" s="53"/>
      <x:c r="G1597" s="53"/>
      <x:c r="H1597" s="53"/>
      <x:c r="I1597" s="53"/>
      <x:c r="J1597" s="53"/>
      <x:c r="K1597" s="53"/>
      <x:c r="L1597" s="53"/>
      <x:c r="M1597" s="53"/>
      <x:c r="N1597" s="53"/>
      <x:c r="O1597" s="53"/>
      <x:c r="P1597" s="53"/>
      <x:c r="Q1597" s="53"/>
      <x:c r="R1597" s="53"/>
      <x:c r="S1597" s="53"/>
      <x:c r="T1597" s="53"/>
      <x:c r="U1597" s="53"/>
      <x:c r="V1597" s="53"/>
      <x:c r="W1597" s="53"/>
      <x:c r="X1597" s="53"/>
      <x:c r="Y1597" s="53"/>
      <x:c r="Z1597" s="53"/>
      <x:c r="AA1597" s="53"/>
      <x:c r="AB1597" s="53"/>
      <x:c r="AC1597" s="53"/>
      <x:c r="AD1597" s="53"/>
      <x:c r="AE1597" s="53"/>
      <x:c r="AF1597" s="53"/>
    </x:row>
    <x:row r="1598">
      <x:c r="A1598" s="53"/>
      <x:c r="B1598" s="53"/>
      <x:c r="C1598" s="53"/>
      <x:c r="D1598" s="53"/>
      <x:c r="E1598" s="53"/>
      <x:c r="F1598" s="53"/>
      <x:c r="G1598" s="53"/>
      <x:c r="H1598" s="53"/>
      <x:c r="I1598" s="53"/>
      <x:c r="J1598" s="53"/>
      <x:c r="K1598" s="53"/>
      <x:c r="L1598" s="53"/>
      <x:c r="M1598" s="53"/>
      <x:c r="N1598" s="53"/>
      <x:c r="O1598" s="53"/>
      <x:c r="P1598" s="53"/>
      <x:c r="Q1598" s="53"/>
      <x:c r="R1598" s="53"/>
      <x:c r="S1598" s="53"/>
      <x:c r="T1598" s="53"/>
      <x:c r="U1598" s="53"/>
      <x:c r="V1598" s="53"/>
      <x:c r="W1598" s="53"/>
      <x:c r="X1598" s="53"/>
      <x:c r="Y1598" s="53"/>
      <x:c r="Z1598" s="53"/>
      <x:c r="AA1598" s="53"/>
      <x:c r="AB1598" s="53"/>
      <x:c r="AC1598" s="53"/>
      <x:c r="AD1598" s="53"/>
      <x:c r="AE1598" s="53"/>
      <x:c r="AF1598" s="53"/>
    </x:row>
    <x:row r="1599">
      <x:c r="A1599" s="53"/>
      <x:c r="B1599" s="53"/>
      <x:c r="C1599" s="53"/>
      <x:c r="D1599" s="53"/>
      <x:c r="E1599" s="53"/>
      <x:c r="F1599" s="53"/>
      <x:c r="G1599" s="53"/>
      <x:c r="H1599" s="53"/>
      <x:c r="I1599" s="53"/>
      <x:c r="J1599" s="53"/>
      <x:c r="K1599" s="53"/>
      <x:c r="L1599" s="53"/>
      <x:c r="M1599" s="53"/>
      <x:c r="N1599" s="53"/>
      <x:c r="O1599" s="53"/>
      <x:c r="P1599" s="53"/>
      <x:c r="Q1599" s="53"/>
      <x:c r="R1599" s="53"/>
      <x:c r="S1599" s="53"/>
      <x:c r="T1599" s="53"/>
      <x:c r="U1599" s="53"/>
      <x:c r="V1599" s="53"/>
      <x:c r="W1599" s="53"/>
      <x:c r="X1599" s="53"/>
      <x:c r="Y1599" s="53"/>
      <x:c r="Z1599" s="53"/>
      <x:c r="AA1599" s="53"/>
      <x:c r="AB1599" s="53"/>
      <x:c r="AC1599" s="53"/>
      <x:c r="AD1599" s="53"/>
      <x:c r="AE1599" s="53"/>
      <x:c r="AF1599" s="53"/>
    </x:row>
    <x:row r="1600">
      <x:c r="A1600" s="53"/>
      <x:c r="B1600" s="53"/>
      <x:c r="C1600" s="53"/>
      <x:c r="D1600" s="53"/>
      <x:c r="E1600" s="53"/>
      <x:c r="F1600" s="53"/>
      <x:c r="G1600" s="53"/>
      <x:c r="H1600" s="53"/>
      <x:c r="I1600" s="53"/>
      <x:c r="J1600" s="53"/>
      <x:c r="K1600" s="53"/>
      <x:c r="L1600" s="53"/>
      <x:c r="M1600" s="53"/>
      <x:c r="N1600" s="53"/>
      <x:c r="O1600" s="53"/>
      <x:c r="P1600" s="53"/>
      <x:c r="Q1600" s="53"/>
      <x:c r="R1600" s="53"/>
      <x:c r="S1600" s="53"/>
      <x:c r="T1600" s="53"/>
      <x:c r="U1600" s="53"/>
      <x:c r="V1600" s="53"/>
      <x:c r="W1600" s="53"/>
      <x:c r="X1600" s="53"/>
      <x:c r="Y1600" s="53"/>
      <x:c r="Z1600" s="53"/>
      <x:c r="AA1600" s="53"/>
      <x:c r="AB1600" s="53"/>
      <x:c r="AC1600" s="53"/>
      <x:c r="AD1600" s="53"/>
      <x:c r="AE1600" s="53"/>
      <x:c r="AF1600" s="53"/>
    </x:row>
  </x:sheetData>
  <x:mergeCells>
    <x:mergeCell ref="A1:H2"/>
    <x:mergeCell ref="A21:H23"/>
  </x:mergeCells>
  <x:pageMargins left="0.7" right="0.7" top="0.75" bottom="0.75" header="0.3" footer="0.3"/>
  <x:drawing xmlns:r="http://schemas.openxmlformats.org/officeDocument/2006/relationships" r:id="Re1fac8a1a75e45af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</x:cols>
  <x:sheetData>
    <x:row r="1">
      <x:c r="A1" s="66" t="str">
        <x:v>Purpose Domain</x:v>
      </x:c>
      <x:c r="B1" s="66" t="str">
        <x:v>User Group</x:v>
      </x:c>
      <x:c r="C1" s="66" t="str">
        <x:v>Intended Scale</x:v>
      </x:c>
      <x:c r="D1" s="66" t="str">
        <x:v>Data Classification</x:v>
      </x:c>
      <x:c r="E1" s="66" t="str">
        <x:v>Personal Data</x:v>
      </x:c>
      <x:c r="F1" s="66" t="str">
        <x:v>Research Confidentiality</x:v>
      </x:c>
      <x:c r="G1" s="66" t="str">
        <x:v>Decision Impact</x:v>
      </x:c>
      <x:c r="H1" s="66" t="str">
        <x:v>System Integration</x:v>
      </x:c>
      <x:c r="I1" s="66" t="str">
        <x:v>Autonomous Actions</x:v>
      </x:c>
      <x:c r="J1" s="66" t="str">
        <x:v>Procurement Type</x:v>
      </x:c>
      <x:c r="K1" s="66" t="str">
        <x:v>Statutory High-Risk</x:v>
      </x:c>
      <x:c r="L1" s="66" t="str">
        <x:v>Pathway</x:v>
      </x:c>
      <x:c r="M1" s="66" t="str">
        <x:v>Assurance Stage</x:v>
      </x:c>
      <x:c r="N1" s="66" t="str">
        <x:v>Technical Finding</x:v>
      </x:c>
      <x:c r="O1" s="66" t="str">
        <x:v>Specialist Review</x:v>
      </x:c>
      <x:c r="P1" s="66" t="str">
        <x:v>Institutional Decision</x:v>
      </x:c>
      <x:c r="Q1" s="66" t="str">
        <x:v>Register Status</x:v>
      </x:c>
      <x:c r="R1" s="66" t="str">
        <x:v>Rating</x:v>
      </x:c>
      <x:c r="S1" s="66" t="str">
        <x:v>Review Status</x:v>
      </x:c>
      <x:c r="T1" s="53" t="str">
        <x:v>Existing Assurance Scope</x:v>
      </x:c>
      <x:c r="U1" s="53" t="str">
        <x:v>Secure Assessment Content</x:v>
      </x:c>
      <x:c r="V1" s="53" t="str">
        <x:v>Human Participants / Ethics</x:v>
      </x:c>
      <x:c r="W1" s="53" t="str">
        <x:v>NDA / Contractual Restrictions</x:v>
      </x:c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>
      <x:c r="A2" s="53" t="str">
        <x:v>Teaching &amp; Learning</x:v>
      </x:c>
      <x:c r="B2" s="53" t="str">
        <x:v>Faculty</x:v>
      </x:c>
      <x:c r="C2" s="53" t="str">
        <x:v>Individual / Exploration</x:v>
      </x:c>
      <x:c r="D2" s="53" t="str">
        <x:v>Public</x:v>
      </x:c>
      <x:c r="E2" s="53" t="str">
        <x:v>None</x:v>
      </x:c>
      <x:c r="F2" s="53" t="str">
        <x:v>No</x:v>
      </x:c>
      <x:c r="G2" s="53" t="str">
        <x:v>No material effect</x:v>
      </x:c>
      <x:c r="H2" s="53" t="str">
        <x:v>None</x:v>
      </x:c>
      <x:c r="I2" s="53" t="str">
        <x:v>No</x:v>
      </x:c>
      <x:c r="J2" s="53" t="str">
        <x:v>No procurement / exploration</x:v>
      </x:c>
      <x:c r="K2" s="53" t="str">
        <x:v>No known trigger after factual screening</x:v>
      </x:c>
      <x:c r="L2" s="53" t="str">
        <x:v>GREEN</x:v>
      </x:c>
      <x:c r="M2" s="53" t="str">
        <x:v>Draft</x:v>
      </x:c>
      <x:c r="N2" s="53" t="str">
        <x:v>Not assessed</x:v>
      </x:c>
      <x:c r="O2" s="53" t="str">
        <x:v>Not required</x:v>
      </x:c>
      <x:c r="P2" s="53" t="str">
        <x:v>Pending</x:v>
      </x:c>
      <x:c r="Q2" s="53" t="str">
        <x:v>Unassessed</x:v>
      </x:c>
      <x:c r="R2" s="53" t="str">
        <x:v>Not assessed</x:v>
      </x:c>
      <x:c r="S2" s="53" t="str">
        <x:v>Open</x:v>
      </x:c>
      <x:c r="T2" s="53" t="str">
        <x:v>New / Unassessed service or scope</x:v>
      </x:c>
      <x:c r="U2" s="53" t="str">
        <x:v>No</x:v>
      </x:c>
      <x:c r="V2" s="53" t="str">
        <x:v>No</x:v>
      </x:c>
      <x:c r="W2" s="53" t="str">
        <x:v>No</x:v>
      </x:c>
      <x:c r="X2" s="53"/>
      <x:c r="Y2" s="53"/>
      <x:c r="Z2" s="53"/>
      <x:c r="AA2" s="53"/>
      <x:c r="AB2" s="53"/>
      <x:c r="AC2" s="53"/>
      <x:c r="AD2" s="53"/>
      <x:c r="AE2" s="53"/>
      <x:c r="AF2" s="53"/>
    </x:row>
    <x:row r="3">
      <x:c r="A3" s="53" t="str">
        <x:v>Assessment</x:v>
      </x:c>
      <x:c r="B3" s="53" t="str">
        <x:v>Researchers</x:v>
      </x:c>
      <x:c r="C3" s="53" t="str">
        <x:v>Team / Department</x:v>
      </x:c>
      <x:c r="D3" s="53" t="str">
        <x:v>Internal</x:v>
      </x:c>
      <x:c r="E3" s="53" t="str">
        <x:v>Fully anonymised under approved criteria</x:v>
      </x:c>
      <x:c r="F3" s="53" t="str">
        <x:v>Yes</x:v>
      </x:c>
      <x:c r="G3" s="53" t="str">
        <x:v>Human-reviewed decision support</x:v>
      </x:c>
      <x:c r="H3" s="53" t="str">
        <x:v>Read-only / low privilege</x:v>
      </x:c>
      <x:c r="I3" s="53" t="str">
        <x:v>Limited with human confirmation</x:v>
      </x:c>
      <x:c r="J3" s="53" t="str">
        <x:v>Free / individual account</x:v>
      </x:c>
      <x:c r="K3" s="53" t="str">
        <x:v>Possible — automated learner testing/evaluation/ranking</x:v>
      </x:c>
      <x:c r="L3" s="53" t="str">
        <x:v>AMBER</x:v>
      </x:c>
      <x:c r="M3" s="53" t="str">
        <x:v>Evidence gathering</x:v>
      </x:c>
      <x:c r="N3" s="53" t="str">
        <x:v>Not required — existing assured scope</x:v>
      </x:c>
      <x:c r="O3" s="53" t="str">
        <x:v>Not started</x:v>
      </x:c>
      <x:c r="P3" s="53" t="str">
        <x:v>Approve</x:v>
      </x:c>
      <x:c r="Q3" s="53" t="str">
        <x:v>BUV Provided / Assured</x:v>
      </x:c>
      <x:c r="R3" s="53" t="str">
        <x:v>Low</x:v>
      </x:c>
      <x:c r="S3" s="53" t="str">
        <x:v>Evidence needed</x:v>
      </x:c>
      <x:c r="T3" s="53" t="str">
        <x:v>Existing BUV-assured service within approved scope</x:v>
      </x:c>
      <x:c r="U3" s="53" t="str">
        <x:v>Draft / non-secure only</x:v>
      </x:c>
      <x:c r="V3" s="53" t="str">
        <x:v>Yes</x:v>
      </x:c>
      <x:c r="W3" s="53" t="str">
        <x:v>Yes</x:v>
      </x:c>
      <x:c r="X3" s="53"/>
      <x:c r="Y3" s="53"/>
      <x:c r="Z3" s="53"/>
      <x:c r="AA3" s="53"/>
      <x:c r="AB3" s="53"/>
      <x:c r="AC3" s="53"/>
      <x:c r="AD3" s="53"/>
      <x:c r="AE3" s="53"/>
      <x:c r="AF3" s="53"/>
    </x:row>
    <x:row r="4">
      <x:c r="A4" s="53" t="str">
        <x:v>Research</x:v>
      </x:c>
      <x:c r="B4" s="53" t="str">
        <x:v>Professional Staff</x:v>
      </x:c>
      <x:c r="C4" s="53" t="str">
        <x:v>Pilot Cohort</x:v>
      </x:c>
      <x:c r="D4" s="53" t="str">
        <x:v>Confidential</x:v>
      </x:c>
      <x:c r="E4" s="53" t="str">
        <x:v>Pseudonymised / masked</x:v>
      </x:c>
      <x:c r="F4" s="53" t="str">
        <x:v>Unknown</x:v>
      </x:c>
      <x:c r="G4" s="53" t="str">
        <x:v>Material / consequential decision</x:v>
      </x:c>
      <x:c r="H4" s="53" t="str">
        <x:v>Write / action capability</x:v>
      </x:c>
      <x:c r="I4" s="53" t="str">
        <x:v>Yes - consequential actions</x:v>
      </x:c>
      <x:c r="J4" s="53" t="str">
        <x:v>Departmental pilot</x:v>
      </x:c>
      <x:c r="K4" s="53" t="str">
        <x:v>Possible — learner behaviour monitoring / biometrics</x:v>
      </x:c>
      <x:c r="L4" s="53" t="str">
        <x:v>RED</x:v>
      </x:c>
      <x:c r="M4" s="53" t="str">
        <x:v>Specialist review</x:v>
      </x:c>
      <x:c r="N4" s="53" t="str">
        <x:v>Supported</x:v>
      </x:c>
      <x:c r="O4" s="53" t="str">
        <x:v>In progress</x:v>
      </x:c>
      <x:c r="P4" s="53" t="str">
        <x:v>Conditional</x:v>
      </x:c>
      <x:c r="Q4" s="53" t="str">
        <x:v>Conditional</x:v>
      </x:c>
      <x:c r="R4" s="53" t="str">
        <x:v>Medium</x:v>
      </x:c>
      <x:c r="S4" s="53" t="str">
        <x:v>Mitigation required</x:v>
      </x:c>
      <x:c r="T4" s="53" t="str">
        <x:v>Existing service — new/expanded use</x:v>
      </x:c>
      <x:c r="U4" s="53" t="str">
        <x:v>Yes - live / secure assessment</x:v>
      </x:c>
      <x:c r="V4" s="53" t="str">
        <x:v>Unknown</x:v>
      </x:c>
      <x:c r="W4" s="53" t="str">
        <x:v>Unknown</x:v>
      </x:c>
      <x:c r="X4" s="53"/>
      <x:c r="Y4" s="53"/>
      <x:c r="Z4" s="53"/>
      <x:c r="AA4" s="53"/>
      <x:c r="AB4" s="53"/>
      <x:c r="AC4" s="53"/>
      <x:c r="AD4" s="53"/>
      <x:c r="AE4" s="53"/>
      <x:c r="AF4" s="53"/>
    </x:row>
    <x:row r="5">
      <x:c r="A5" s="53" t="str">
        <x:v>Student Support</x:v>
      </x:c>
      <x:c r="B5" s="53" t="str">
        <x:v>Students</x:v>
      </x:c>
      <x:c r="C5" s="53" t="str">
        <x:v>School / Function</x:v>
      </x:c>
      <x:c r="D5" s="53" t="str">
        <x:v>Restricted</x:v>
      </x:c>
      <x:c r="E5" s="53" t="str">
        <x:v>Basic / Ordinary identifiable</x:v>
      </x:c>
      <x:c r="F5" s="53"/>
      <x:c r="G5" s="53" t="str">
        <x:v>Unknown</x:v>
      </x:c>
      <x:c r="H5" s="53" t="str">
        <x:v>Privileged / broad access</x:v>
      </x:c>
      <x:c r="I5" s="53" t="str">
        <x:v>Unknown</x:v>
      </x:c>
      <x:c r="J5" s="53" t="str">
        <x:v>Paid institutional service</x:v>
      </x:c>
      <x:c r="K5" s="53" t="str">
        <x:v>Possible — admissions/progression/discipline/employment or similar consequential use</x:v>
      </x:c>
      <x:c r="L5" s="53" t="str">
        <x:v>RESEARCH CONFIDENTIALITY</x:v>
      </x:c>
      <x:c r="M5" s="53" t="str">
        <x:v>Ready for decision</x:v>
      </x:c>
      <x:c r="N5" s="53" t="str">
        <x:v>Supported with Controls</x:v>
      </x:c>
      <x:c r="O5" s="53" t="str">
        <x:v>Completed / No objection</x:v>
      </x:c>
      <x:c r="P5" s="53" t="str">
        <x:v>Pilot</x:v>
      </x:c>
      <x:c r="Q5" s="53" t="str">
        <x:v>Pilot</x:v>
      </x:c>
      <x:c r="R5" s="53" t="str">
        <x:v>High</x:v>
      </x:c>
      <x:c r="S5" s="53" t="str">
        <x:v>Ready</x:v>
      </x:c>
      <x:c r="T5" s="53" t="str">
        <x:v>Conditional / Pilot scope</x:v>
      </x:c>
      <x:c r="U5" s="53" t="str">
        <x:v>Unknown</x:v>
      </x:c>
      <x:c r="V5" s="53"/>
      <x:c r="W5" s="53"/>
      <x:c r="X5" s="53"/>
      <x:c r="Y5" s="53"/>
      <x:c r="Z5" s="53"/>
      <x:c r="AA5" s="53"/>
      <x:c r="AB5" s="53"/>
      <x:c r="AC5" s="53"/>
      <x:c r="AD5" s="53"/>
      <x:c r="AE5" s="53"/>
      <x:c r="AF5" s="53"/>
    </x:row>
    <x:row r="6">
      <x:c r="A6" s="53" t="str">
        <x:v>Professional Services</x:v>
      </x:c>
      <x:c r="B6" s="53" t="str">
        <x:v>Applicants</x:v>
      </x:c>
      <x:c r="C6" s="53" t="str">
        <x:v>Institution-wide</x:v>
      </x:c>
      <x:c r="D6" s="53" t="str">
        <x:v>Unknown</x:v>
      </x:c>
      <x:c r="E6" s="53" t="str">
        <x:v>Sensitive / Special</x:v>
      </x:c>
      <x:c r="F6" s="53"/>
      <x:c r="G6" s="53"/>
      <x:c r="H6" s="53" t="str">
        <x:v>Unknown</x:v>
      </x:c>
      <x:c r="I6" s="53"/>
      <x:c r="J6" s="53" t="str">
        <x:v>Existing enterprise service</x:v>
      </x:c>
      <x:c r="K6" s="53" t="str">
        <x:v>Possible — other high-impact/consequential use</x:v>
      </x:c>
      <x:c r="L6" s="53" t="str">
        <x:v>RED + RESEARCH CONFIDENTIALITY</x:v>
      </x:c>
      <x:c r="M6" s="53" t="str">
        <x:v>Decision recorded</x:v>
      </x:c>
      <x:c r="N6" s="53" t="str">
        <x:v>Technical Risk Identified</x:v>
      </x:c>
      <x:c r="O6" s="53" t="str">
        <x:v>Completed / Conditions</x:v>
      </x:c>
      <x:c r="P6" s="53" t="str">
        <x:v>Reject</x:v>
      </x:c>
      <x:c r="Q6" s="53" t="str">
        <x:v>Restricted</x:v>
      </x:c>
      <x:c r="R6" s="53" t="str">
        <x:v>N/A</x:v>
      </x:c>
      <x:c r="S6" s="53" t="str">
        <x:v>Closed</x:v>
      </x:c>
      <x:c r="T6" s="53" t="str">
        <x:v>Unknown</x:v>
      </x:c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</x:row>
    <x:row r="7">
      <x:c r="A7" s="53" t="str">
        <x:v>Administration</x:v>
      </x:c>
      <x:c r="B7" s="53" t="str">
        <x:v>External / Third Party</x:v>
      </x:c>
      <x:c r="C7" s="53"/>
      <x:c r="D7" s="53"/>
      <x:c r="E7" s="53" t="str">
        <x:v>Large-scale / Systematic</x:v>
      </x:c>
      <x:c r="F7" s="53"/>
      <x:c r="G7" s="53"/>
      <x:c r="H7" s="53"/>
      <x:c r="I7" s="53"/>
      <x:c r="J7" s="53"/>
      <x:c r="K7" s="53" t="str">
        <x:v>Legal review confirms high-risk</x:v>
      </x:c>
      <x:c r="L7" s="53"/>
      <x:c r="M7" s="53" t="str">
        <x:v>Suspended / Reassessment</x:v>
      </x:c>
      <x:c r="N7" s="53"/>
      <x:c r="O7" s="53" t="str">
        <x:v>Blocked / Concern</x:v>
      </x:c>
      <x:c r="P7" s="53" t="str">
        <x:v>Suspend</x:v>
      </x:c>
      <x:c r="Q7" s="53" t="str">
        <x:v>Suspended</x:v>
      </x:c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3"/>
      <x:c r="AF7" s="53"/>
    </x:row>
    <x:row r="8">
      <x:c r="A8" s="53" t="str">
        <x:v>IT / Cybersecurity</x:v>
      </x:c>
      <x:c r="B8" s="53" t="str">
        <x:v>Mixed</x:v>
      </x:c>
      <x:c r="C8" s="53"/>
      <x:c r="D8" s="53"/>
      <x:c r="E8" s="53" t="str">
        <x:v>Unknown</x:v>
      </x:c>
      <x:c r="F8" s="53"/>
      <x:c r="G8" s="53"/>
      <x:c r="H8" s="53"/>
      <x:c r="I8" s="53"/>
      <x:c r="J8" s="53"/>
      <x:c r="K8" s="53" t="str">
        <x:v>Unknown — Legal review required</x:v>
      </x:c>
      <x:c r="L8" s="53"/>
      <x:c r="M8" s="53"/>
      <x:c r="N8" s="53"/>
      <x:c r="O8" s="53"/>
      <x:c r="P8" s="53" t="str">
        <x:v>Retire</x:v>
      </x:c>
      <x:c r="Q8" s="53" t="str">
        <x:v>Retired</x:v>
      </x:c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</x:row>
    <x:row r="9">
      <x:c r="A9" s="53" t="str">
        <x:v>Other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3"/>
      <x:c r="AB16" s="53"/>
      <x:c r="AC16" s="53"/>
      <x:c r="AD16" s="53"/>
      <x:c r="AE16" s="53"/>
      <x:c r="AF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  <x:c r="AA17" s="53"/>
      <x:c r="AB17" s="53"/>
      <x:c r="AC17" s="53"/>
      <x:c r="AD17" s="53"/>
      <x:c r="AE17" s="53"/>
      <x:c r="AF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3"/>
      <x:c r="AB18" s="53"/>
      <x:c r="AC18" s="53"/>
      <x:c r="AD18" s="53"/>
      <x:c r="AE18" s="53"/>
      <x:c r="AF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  <x:c r="AA19" s="53"/>
      <x:c r="AB19" s="53"/>
      <x:c r="AC19" s="53"/>
      <x:c r="AD19" s="53"/>
      <x:c r="AE19" s="53"/>
      <x:c r="AF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3"/>
      <x:c r="AB20" s="53"/>
      <x:c r="AC20" s="53"/>
      <x:c r="AD20" s="53"/>
      <x:c r="AE20" s="53"/>
      <x:c r="AF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  <x:c r="AA21" s="53"/>
      <x:c r="AB21" s="53"/>
      <x:c r="AC21" s="53"/>
      <x:c r="AD21" s="53"/>
      <x:c r="AE21" s="53"/>
      <x:c r="AF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3"/>
      <x:c r="AB22" s="53"/>
      <x:c r="AC22" s="53"/>
      <x:c r="AD22" s="53"/>
      <x:c r="AE22" s="53"/>
      <x:c r="AF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  <x:c r="AA23" s="53"/>
      <x:c r="AB23" s="53"/>
      <x:c r="AC23" s="53"/>
      <x:c r="AD23" s="53"/>
      <x:c r="AE23" s="53"/>
      <x:c r="AF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3"/>
      <x:c r="AB24" s="53"/>
      <x:c r="AC24" s="53"/>
      <x:c r="AD24" s="53"/>
      <x:c r="AE24" s="53"/>
      <x:c r="AF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  <x:c r="AA25" s="53"/>
      <x:c r="AB25" s="53"/>
      <x:c r="AC25" s="53"/>
      <x:c r="AD25" s="53"/>
      <x:c r="AE25" s="53"/>
      <x:c r="AF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3"/>
      <x:c r="AB26" s="53"/>
      <x:c r="AC26" s="53"/>
      <x:c r="AD26" s="53"/>
      <x:c r="AE26" s="53"/>
      <x:c r="AF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3"/>
      <x:c r="AD27" s="53"/>
      <x:c r="AE27" s="53"/>
      <x:c r="AF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3"/>
      <x:c r="AB28" s="53"/>
      <x:c r="AC28" s="53"/>
      <x:c r="AD28" s="53"/>
      <x:c r="AE28" s="53"/>
      <x:c r="AF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  <x:c r="AA29" s="53"/>
      <x:c r="AB29" s="53"/>
      <x:c r="AC29" s="53"/>
      <x:c r="AD29" s="53"/>
      <x:c r="AE29" s="53"/>
      <x:c r="AF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3"/>
      <x:c r="AB30" s="53"/>
      <x:c r="AC30" s="53"/>
      <x:c r="AD30" s="53"/>
      <x:c r="AE30" s="53"/>
      <x:c r="AF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  <x:c r="AA31" s="53"/>
      <x:c r="AB31" s="53"/>
      <x:c r="AC31" s="53"/>
      <x:c r="AD31" s="53"/>
      <x:c r="AE31" s="53"/>
      <x:c r="AF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3"/>
      <x:c r="AB32" s="53"/>
      <x:c r="AC32" s="53"/>
      <x:c r="AD32" s="53"/>
      <x:c r="AE32" s="53"/>
      <x:c r="AF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  <x:c r="AA33" s="53"/>
      <x:c r="AB33" s="53"/>
      <x:c r="AC33" s="53"/>
      <x:c r="AD33" s="53"/>
      <x:c r="AE33" s="53"/>
      <x:c r="AF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3"/>
      <x:c r="AB34" s="53"/>
      <x:c r="AC34" s="53"/>
      <x:c r="AD34" s="53"/>
      <x:c r="AE34" s="53"/>
      <x:c r="AF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  <x:c r="AA35" s="53"/>
      <x:c r="AB35" s="53"/>
      <x:c r="AC35" s="53"/>
      <x:c r="AD35" s="53"/>
      <x:c r="AE35" s="53"/>
      <x:c r="AF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3"/>
      <x:c r="AB36" s="53"/>
      <x:c r="AC36" s="53"/>
      <x:c r="AD36" s="53"/>
      <x:c r="AE36" s="53"/>
      <x:c r="AF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  <x:c r="AA37" s="53"/>
      <x:c r="AB37" s="53"/>
      <x:c r="AC37" s="53"/>
      <x:c r="AD37" s="53"/>
      <x:c r="AE37" s="53"/>
      <x:c r="AF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3"/>
      <x:c r="AB38" s="53"/>
      <x:c r="AC38" s="53"/>
      <x:c r="AD38" s="53"/>
      <x:c r="AE38" s="53"/>
      <x:c r="AF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  <x:c r="AA39" s="53"/>
      <x:c r="AB39" s="53"/>
      <x:c r="AC39" s="53"/>
      <x:c r="AD39" s="53"/>
      <x:c r="AE39" s="53"/>
      <x:c r="AF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3"/>
      <x:c r="AB40" s="53"/>
      <x:c r="AC40" s="53"/>
      <x:c r="AD40" s="53"/>
      <x:c r="AE40" s="53"/>
      <x:c r="AF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  <x:c r="AA41" s="53"/>
      <x:c r="AB41" s="53"/>
      <x:c r="AC41" s="53"/>
      <x:c r="AD41" s="53"/>
      <x:c r="AE41" s="53"/>
      <x:c r="AF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3"/>
      <x:c r="AB42" s="53"/>
      <x:c r="AC42" s="53"/>
      <x:c r="AD42" s="53"/>
      <x:c r="AE42" s="53"/>
      <x:c r="AF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  <x:c r="AA43" s="53"/>
      <x:c r="AB43" s="53"/>
      <x:c r="AC43" s="53"/>
      <x:c r="AD43" s="53"/>
      <x:c r="AE43" s="53"/>
      <x:c r="AF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3"/>
      <x:c r="AB44" s="53"/>
      <x:c r="AC44" s="53"/>
      <x:c r="AD44" s="53"/>
      <x:c r="AE44" s="53"/>
      <x:c r="AF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  <x:c r="AA45" s="53"/>
      <x:c r="AB45" s="53"/>
      <x:c r="AC45" s="53"/>
      <x:c r="AD45" s="53"/>
      <x:c r="AE45" s="53"/>
      <x:c r="AF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3"/>
      <x:c r="AB46" s="53"/>
      <x:c r="AC46" s="53"/>
      <x:c r="AD46" s="53"/>
      <x:c r="AE46" s="53"/>
      <x:c r="AF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  <x:c r="AA47" s="53"/>
      <x:c r="AB47" s="53"/>
      <x:c r="AC47" s="53"/>
      <x:c r="AD47" s="53"/>
      <x:c r="AE47" s="53"/>
      <x:c r="AF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3"/>
      <x:c r="AB48" s="53"/>
      <x:c r="AC48" s="53"/>
      <x:c r="AD48" s="53"/>
      <x:c r="AE48" s="53"/>
      <x:c r="AF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  <x:c r="AA49" s="53"/>
      <x:c r="AB49" s="53"/>
      <x:c r="AC49" s="53"/>
      <x:c r="AD49" s="53"/>
      <x:c r="AE49" s="53"/>
      <x:c r="AF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3"/>
      <x:c r="AB50" s="53"/>
      <x:c r="AC50" s="53"/>
      <x:c r="AD50" s="53"/>
      <x:c r="AE50" s="53"/>
      <x:c r="AF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  <x:c r="AA51" s="53"/>
      <x:c r="AB51" s="53"/>
      <x:c r="AC51" s="53"/>
      <x:c r="AD51" s="53"/>
      <x:c r="AE51" s="53"/>
      <x:c r="AF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3"/>
      <x:c r="AB74" s="53"/>
      <x:c r="AC74" s="53"/>
      <x:c r="AD74" s="53"/>
      <x:c r="AE74" s="53"/>
      <x:c r="AF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3"/>
      <x:c r="AB75" s="53"/>
      <x:c r="AC75" s="53"/>
      <x:c r="AD75" s="53"/>
      <x:c r="AE75" s="53"/>
      <x:c r="AF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3"/>
      <x:c r="AB76" s="53"/>
      <x:c r="AC76" s="53"/>
      <x:c r="AD76" s="53"/>
      <x:c r="AE76" s="53"/>
      <x:c r="AF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  <x:c r="AA77" s="53"/>
      <x:c r="AB77" s="53"/>
      <x:c r="AC77" s="53"/>
      <x:c r="AD77" s="53"/>
      <x:c r="AE77" s="53"/>
      <x:c r="AF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3"/>
      <x:c r="AB78" s="53"/>
      <x:c r="AC78" s="53"/>
      <x:c r="AD78" s="53"/>
      <x:c r="AE78" s="53"/>
      <x:c r="AF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  <x:c r="AA79" s="53"/>
      <x:c r="AB79" s="53"/>
      <x:c r="AC79" s="53"/>
      <x:c r="AD79" s="53"/>
      <x:c r="AE79" s="53"/>
      <x:c r="AF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3"/>
      <x:c r="AB80" s="53"/>
      <x:c r="AC80" s="53"/>
      <x:c r="AD80" s="53"/>
      <x:c r="AE80" s="53"/>
      <x:c r="AF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  <x:c r="AA81" s="53"/>
      <x:c r="AB81" s="53"/>
      <x:c r="AC81" s="53"/>
      <x:c r="AD81" s="53"/>
      <x:c r="AE81" s="53"/>
      <x:c r="AF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3"/>
      <x:c r="AB82" s="53"/>
      <x:c r="AC82" s="53"/>
      <x:c r="AD82" s="53"/>
      <x:c r="AE82" s="53"/>
      <x:c r="AF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  <x:c r="AA83" s="53"/>
      <x:c r="AB83" s="53"/>
      <x:c r="AC83" s="53"/>
      <x:c r="AD83" s="53"/>
      <x:c r="AE83" s="53"/>
      <x:c r="AF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3"/>
      <x:c r="AB84" s="53"/>
      <x:c r="AC84" s="53"/>
      <x:c r="AD84" s="53"/>
      <x:c r="AE84" s="53"/>
      <x:c r="AF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  <x:c r="AA85" s="53"/>
      <x:c r="AB85" s="53"/>
      <x:c r="AC85" s="53"/>
      <x:c r="AD85" s="53"/>
      <x:c r="AE85" s="53"/>
      <x:c r="AF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3"/>
      <x:c r="AB86" s="53"/>
      <x:c r="AC86" s="53"/>
      <x:c r="AD86" s="53"/>
      <x:c r="AE86" s="53"/>
      <x:c r="AF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  <x:c r="AA87" s="53"/>
      <x:c r="AB87" s="53"/>
      <x:c r="AC87" s="53"/>
      <x:c r="AD87" s="53"/>
      <x:c r="AE87" s="53"/>
      <x:c r="AF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3"/>
      <x:c r="AB88" s="53"/>
      <x:c r="AC88" s="53"/>
      <x:c r="AD88" s="53"/>
      <x:c r="AE88" s="53"/>
      <x:c r="AF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  <x:c r="AA89" s="53"/>
      <x:c r="AB89" s="53"/>
      <x:c r="AC89" s="53"/>
      <x:c r="AD89" s="53"/>
      <x:c r="AE89" s="53"/>
      <x:c r="AF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3"/>
      <x:c r="AB90" s="53"/>
      <x:c r="AC90" s="53"/>
      <x:c r="AD90" s="53"/>
      <x:c r="AE90" s="53"/>
      <x:c r="AF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  <x:c r="AA91" s="53"/>
      <x:c r="AB91" s="53"/>
      <x:c r="AC91" s="53"/>
      <x:c r="AD91" s="53"/>
      <x:c r="AE91" s="53"/>
      <x:c r="AF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3"/>
      <x:c r="AB92" s="53"/>
      <x:c r="AC92" s="53"/>
      <x:c r="AD92" s="53"/>
      <x:c r="AE92" s="53"/>
      <x:c r="AF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  <x:c r="AA93" s="53"/>
      <x:c r="AB93" s="53"/>
      <x:c r="AC93" s="53"/>
      <x:c r="AD93" s="53"/>
      <x:c r="AE93" s="53"/>
      <x:c r="AF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3"/>
      <x:c r="AB94" s="53"/>
      <x:c r="AC94" s="53"/>
      <x:c r="AD94" s="53"/>
      <x:c r="AE94" s="53"/>
      <x:c r="AF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  <x:c r="AA95" s="53"/>
      <x:c r="AB95" s="53"/>
      <x:c r="AC95" s="53"/>
      <x:c r="AD95" s="53"/>
      <x:c r="AE95" s="53"/>
      <x:c r="AF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3"/>
      <x:c r="AB96" s="53"/>
      <x:c r="AC96" s="53"/>
      <x:c r="AD96" s="53"/>
      <x:c r="AE96" s="53"/>
      <x:c r="AF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  <x:c r="AA97" s="53"/>
      <x:c r="AB97" s="53"/>
      <x:c r="AC97" s="53"/>
      <x:c r="AD97" s="53"/>
      <x:c r="AE97" s="53"/>
      <x:c r="AF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3"/>
      <x:c r="AB98" s="53"/>
      <x:c r="AC98" s="53"/>
      <x:c r="AD98" s="53"/>
      <x:c r="AE98" s="53"/>
      <x:c r="AF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  <x:c r="AA99" s="53"/>
      <x:c r="AB99" s="53"/>
      <x:c r="AC99" s="53"/>
      <x:c r="AD99" s="53"/>
      <x:c r="AE99" s="53"/>
      <x:c r="AF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3"/>
      <x:c r="AB100" s="53"/>
      <x:c r="AC100" s="53"/>
      <x:c r="AD100" s="53"/>
      <x:c r="AE100" s="53"/>
      <x:c r="AF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  <x:c r="AA101" s="53"/>
      <x:c r="AB101" s="53"/>
      <x:c r="AC101" s="53"/>
      <x:c r="AD101" s="53"/>
      <x:c r="AE101" s="53"/>
      <x:c r="AF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3"/>
      <x:c r="AB102" s="53"/>
      <x:c r="AC102" s="53"/>
      <x:c r="AD102" s="53"/>
      <x:c r="AE102" s="53"/>
      <x:c r="AF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  <x:c r="AA103" s="53"/>
      <x:c r="AB103" s="53"/>
      <x:c r="AC103" s="53"/>
      <x:c r="AD103" s="53"/>
      <x:c r="AE103" s="53"/>
      <x:c r="AF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  <x:c r="AA104" s="53"/>
      <x:c r="AB104" s="53"/>
      <x:c r="AC104" s="53"/>
      <x:c r="AD104" s="53"/>
      <x:c r="AE104" s="53"/>
      <x:c r="AF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  <x:c r="AA105" s="53"/>
      <x:c r="AB105" s="53"/>
      <x:c r="AC105" s="53"/>
      <x:c r="AD105" s="53"/>
      <x:c r="AE105" s="53"/>
      <x:c r="AF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  <x:c r="AA106" s="53"/>
      <x:c r="AB106" s="53"/>
      <x:c r="AC106" s="53"/>
      <x:c r="AD106" s="53"/>
      <x:c r="AE106" s="53"/>
      <x:c r="AF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  <x:c r="AA107" s="53"/>
      <x:c r="AB107" s="53"/>
      <x:c r="AC107" s="53"/>
      <x:c r="AD107" s="53"/>
      <x:c r="AE107" s="53"/>
      <x:c r="AF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  <x:c r="AA108" s="53"/>
      <x:c r="AB108" s="53"/>
      <x:c r="AC108" s="53"/>
      <x:c r="AD108" s="53"/>
      <x:c r="AE108" s="53"/>
      <x:c r="AF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  <x:c r="AA109" s="53"/>
      <x:c r="AB109" s="53"/>
      <x:c r="AC109" s="53"/>
      <x:c r="AD109" s="53"/>
      <x:c r="AE109" s="53"/>
      <x:c r="AF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  <x:c r="AA110" s="53"/>
      <x:c r="AB110" s="53"/>
      <x:c r="AC110" s="53"/>
      <x:c r="AD110" s="53"/>
      <x:c r="AE110" s="53"/>
      <x:c r="AF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  <x:c r="AA111" s="53"/>
      <x:c r="AB111" s="53"/>
      <x:c r="AC111" s="53"/>
      <x:c r="AD111" s="53"/>
      <x:c r="AE111" s="53"/>
      <x:c r="AF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  <x:c r="AA112" s="53"/>
      <x:c r="AB112" s="53"/>
      <x:c r="AC112" s="53"/>
      <x:c r="AD112" s="53"/>
      <x:c r="AE112" s="53"/>
      <x:c r="AF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  <x:c r="AA113" s="53"/>
      <x:c r="AB113" s="53"/>
      <x:c r="AC113" s="53"/>
      <x:c r="AD113" s="53"/>
      <x:c r="AE113" s="53"/>
      <x:c r="AF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  <x:c r="AA114" s="53"/>
      <x:c r="AB114" s="53"/>
      <x:c r="AC114" s="53"/>
      <x:c r="AD114" s="53"/>
      <x:c r="AE114" s="53"/>
      <x:c r="AF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  <x:c r="AA115" s="53"/>
      <x:c r="AB115" s="53"/>
      <x:c r="AC115" s="53"/>
      <x:c r="AD115" s="53"/>
      <x:c r="AE115" s="53"/>
      <x:c r="AF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  <x:c r="AA116" s="53"/>
      <x:c r="AB116" s="53"/>
      <x:c r="AC116" s="53"/>
      <x:c r="AD116" s="53"/>
      <x:c r="AE116" s="53"/>
      <x:c r="AF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  <x:c r="AA117" s="53"/>
      <x:c r="AB117" s="53"/>
      <x:c r="AC117" s="53"/>
      <x:c r="AD117" s="53"/>
      <x:c r="AE117" s="53"/>
      <x:c r="AF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  <x:c r="AA118" s="53"/>
      <x:c r="AB118" s="53"/>
      <x:c r="AC118" s="53"/>
      <x:c r="AD118" s="53"/>
      <x:c r="AE118" s="53"/>
      <x:c r="AF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53"/>
      <x:c r="AC119" s="53"/>
      <x:c r="AD119" s="53"/>
      <x:c r="AE119" s="53"/>
      <x:c r="AF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53"/>
      <x:c r="AC120" s="53"/>
      <x:c r="AD120" s="53"/>
      <x:c r="AE120" s="53"/>
      <x:c r="AF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53"/>
      <x:c r="AC121" s="53"/>
      <x:c r="AD121" s="53"/>
      <x:c r="AE121" s="53"/>
      <x:c r="AF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53"/>
      <x:c r="AC122" s="53"/>
      <x:c r="AD122" s="53"/>
      <x:c r="AE122" s="53"/>
      <x:c r="AF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53"/>
      <x:c r="AC123" s="53"/>
      <x:c r="AD123" s="53"/>
      <x:c r="AE123" s="53"/>
      <x:c r="AF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53"/>
      <x:c r="AC124" s="53"/>
      <x:c r="AD124" s="53"/>
      <x:c r="AE124" s="53"/>
      <x:c r="AF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53"/>
      <x:c r="AC125" s="53"/>
      <x:c r="AD125" s="53"/>
      <x:c r="AE125" s="53"/>
      <x:c r="AF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53"/>
      <x:c r="AC126" s="53"/>
      <x:c r="AD126" s="53"/>
      <x:c r="AE126" s="53"/>
      <x:c r="AF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53"/>
      <x:c r="AC127" s="53"/>
      <x:c r="AD127" s="53"/>
      <x:c r="AE127" s="53"/>
      <x:c r="AF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53"/>
      <x:c r="AC128" s="53"/>
      <x:c r="AD128" s="53"/>
      <x:c r="AE128" s="53"/>
      <x:c r="AF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53"/>
      <x:c r="AC129" s="53"/>
      <x:c r="AD129" s="53"/>
      <x:c r="AE129" s="53"/>
      <x:c r="AF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53"/>
      <x:c r="AC130" s="53"/>
      <x:c r="AD130" s="53"/>
      <x:c r="AE130" s="53"/>
      <x:c r="AF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53"/>
      <x:c r="AC131" s="53"/>
      <x:c r="AD131" s="53"/>
      <x:c r="AE131" s="53"/>
      <x:c r="AF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53"/>
      <x:c r="AC132" s="53"/>
      <x:c r="AD132" s="53"/>
      <x:c r="AE132" s="53"/>
      <x:c r="AF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53"/>
      <x:c r="AC133" s="53"/>
      <x:c r="AD133" s="53"/>
      <x:c r="AE133" s="53"/>
      <x:c r="AF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53"/>
      <x:c r="AC134" s="53"/>
      <x:c r="AD134" s="53"/>
      <x:c r="AE134" s="53"/>
      <x:c r="AF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53"/>
      <x:c r="AC135" s="53"/>
      <x:c r="AD135" s="53"/>
      <x:c r="AE135" s="53"/>
      <x:c r="AF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53"/>
      <x:c r="AC136" s="53"/>
      <x:c r="AD136" s="53"/>
      <x:c r="AE136" s="53"/>
      <x:c r="AF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53"/>
      <x:c r="AC137" s="53"/>
      <x:c r="AD137" s="53"/>
      <x:c r="AE137" s="53"/>
      <x:c r="AF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53"/>
      <x:c r="AC138" s="53"/>
      <x:c r="AD138" s="53"/>
      <x:c r="AE138" s="53"/>
      <x:c r="AF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53"/>
      <x:c r="AC139" s="53"/>
      <x:c r="AD139" s="53"/>
      <x:c r="AE139" s="53"/>
      <x:c r="AF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53"/>
      <x:c r="AC140" s="53"/>
      <x:c r="AD140" s="53"/>
      <x:c r="AE140" s="53"/>
      <x:c r="AF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53"/>
      <x:c r="AC141" s="53"/>
      <x:c r="AD141" s="53"/>
      <x:c r="AE141" s="53"/>
      <x:c r="AF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53"/>
      <x:c r="AC142" s="53"/>
      <x:c r="AD142" s="53"/>
      <x:c r="AE142" s="53"/>
      <x:c r="AF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53"/>
      <x:c r="AC143" s="53"/>
      <x:c r="AD143" s="53"/>
      <x:c r="AE143" s="53"/>
      <x:c r="AF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53"/>
      <x:c r="AC144" s="53"/>
      <x:c r="AD144" s="53"/>
      <x:c r="AE144" s="53"/>
      <x:c r="AF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53"/>
      <x:c r="AC145" s="53"/>
      <x:c r="AD145" s="53"/>
      <x:c r="AE145" s="53"/>
      <x:c r="AF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53"/>
      <x:c r="AC146" s="53"/>
      <x:c r="AD146" s="53"/>
      <x:c r="AE146" s="53"/>
      <x:c r="AF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53"/>
      <x:c r="AC147" s="53"/>
      <x:c r="AD147" s="53"/>
      <x:c r="AE147" s="53"/>
      <x:c r="AF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53"/>
      <x:c r="AC148" s="53"/>
      <x:c r="AD148" s="53"/>
      <x:c r="AE148" s="53"/>
      <x:c r="AF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53"/>
      <x:c r="AC149" s="53"/>
      <x:c r="AD149" s="53"/>
      <x:c r="AE149" s="53"/>
      <x:c r="AF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53"/>
      <x:c r="AC150" s="53"/>
      <x:c r="AD150" s="53"/>
      <x:c r="AE150" s="53"/>
      <x:c r="AF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53"/>
      <x:c r="AC151" s="53"/>
      <x:c r="AD151" s="53"/>
      <x:c r="AE151" s="53"/>
      <x:c r="AF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53"/>
      <x:c r="AC152" s="53"/>
      <x:c r="AD152" s="53"/>
      <x:c r="AE152" s="53"/>
      <x:c r="AF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53"/>
      <x:c r="AC153" s="53"/>
      <x:c r="AD153" s="53"/>
      <x:c r="AE153" s="53"/>
      <x:c r="AF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53"/>
      <x:c r="AC154" s="53"/>
      <x:c r="AD154" s="53"/>
      <x:c r="AE154" s="53"/>
      <x:c r="AF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53"/>
      <x:c r="AC155" s="53"/>
      <x:c r="AD155" s="53"/>
      <x:c r="AE155" s="53"/>
      <x:c r="AF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53"/>
      <x:c r="AC156" s="53"/>
      <x:c r="AD156" s="53"/>
      <x:c r="AE156" s="53"/>
      <x:c r="AF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53"/>
      <x:c r="AC157" s="53"/>
      <x:c r="AD157" s="53"/>
      <x:c r="AE157" s="53"/>
      <x:c r="AF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53"/>
      <x:c r="AC158" s="53"/>
      <x:c r="AD158" s="53"/>
      <x:c r="AE158" s="53"/>
      <x:c r="AF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53"/>
      <x:c r="AC159" s="53"/>
      <x:c r="AD159" s="53"/>
      <x:c r="AE159" s="53"/>
      <x:c r="AF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53"/>
      <x:c r="AC160" s="53"/>
      <x:c r="AD160" s="53"/>
      <x:c r="AE160" s="53"/>
      <x:c r="AF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53"/>
      <x:c r="AC161" s="53"/>
      <x:c r="AD161" s="53"/>
      <x:c r="AE161" s="53"/>
      <x:c r="AF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53"/>
      <x:c r="AC162" s="53"/>
      <x:c r="AD162" s="53"/>
      <x:c r="AE162" s="53"/>
      <x:c r="AF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53"/>
      <x:c r="AC163" s="53"/>
      <x:c r="AD163" s="53"/>
      <x:c r="AE163" s="53"/>
      <x:c r="AF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53"/>
      <x:c r="AC164" s="53"/>
      <x:c r="AD164" s="53"/>
      <x:c r="AE164" s="53"/>
      <x:c r="AF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53"/>
      <x:c r="AC165" s="53"/>
      <x:c r="AD165" s="53"/>
      <x:c r="AE165" s="53"/>
      <x:c r="AF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53"/>
      <x:c r="AC166" s="53"/>
      <x:c r="AD166" s="53"/>
      <x:c r="AE166" s="53"/>
      <x:c r="AF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53"/>
      <x:c r="AC167" s="53"/>
      <x:c r="AD167" s="53"/>
      <x:c r="AE167" s="53"/>
      <x:c r="AF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53"/>
      <x:c r="AC168" s="53"/>
      <x:c r="AD168" s="53"/>
      <x:c r="AE168" s="53"/>
      <x:c r="AF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53"/>
      <x:c r="AC169" s="53"/>
      <x:c r="AD169" s="53"/>
      <x:c r="AE169" s="53"/>
      <x:c r="AF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53"/>
      <x:c r="AC170" s="53"/>
      <x:c r="AD170" s="53"/>
      <x:c r="AE170" s="53"/>
      <x:c r="AF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53"/>
      <x:c r="AC171" s="53"/>
      <x:c r="AD171" s="53"/>
      <x:c r="AE171" s="53"/>
      <x:c r="AF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53"/>
      <x:c r="AC172" s="53"/>
      <x:c r="AD172" s="53"/>
      <x:c r="AE172" s="53"/>
      <x:c r="AF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53"/>
      <x:c r="AC173" s="53"/>
      <x:c r="AD173" s="53"/>
      <x:c r="AE173" s="53"/>
      <x:c r="AF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53"/>
      <x:c r="AC174" s="53"/>
      <x:c r="AD174" s="53"/>
      <x:c r="AE174" s="53"/>
      <x:c r="AF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53"/>
      <x:c r="AC175" s="53"/>
      <x:c r="AD175" s="53"/>
      <x:c r="AE175" s="53"/>
      <x:c r="AF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53"/>
      <x:c r="AC176" s="53"/>
      <x:c r="AD176" s="53"/>
      <x:c r="AE176" s="53"/>
      <x:c r="AF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53"/>
      <x:c r="AC177" s="53"/>
      <x:c r="AD177" s="53"/>
      <x:c r="AE177" s="53"/>
      <x:c r="AF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53"/>
      <x:c r="AC178" s="53"/>
      <x:c r="AD178" s="53"/>
      <x:c r="AE178" s="53"/>
      <x:c r="AF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53"/>
      <x:c r="AC179" s="53"/>
      <x:c r="AD179" s="53"/>
      <x:c r="AE179" s="53"/>
      <x:c r="AF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53"/>
      <x:c r="AC180" s="53"/>
      <x:c r="AD180" s="53"/>
      <x:c r="AE180" s="53"/>
      <x:c r="AF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53"/>
      <x:c r="AC181" s="53"/>
      <x:c r="AD181" s="53"/>
      <x:c r="AE181" s="53"/>
      <x:c r="AF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53"/>
      <x:c r="AC182" s="53"/>
      <x:c r="AD182" s="53"/>
      <x:c r="AE182" s="53"/>
      <x:c r="AF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53"/>
      <x:c r="AC183" s="53"/>
      <x:c r="AD183" s="53"/>
      <x:c r="AE183" s="53"/>
      <x:c r="AF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53"/>
      <x:c r="AC184" s="53"/>
      <x:c r="AD184" s="53"/>
      <x:c r="AE184" s="53"/>
      <x:c r="AF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53"/>
      <x:c r="AC185" s="53"/>
      <x:c r="AD185" s="53"/>
      <x:c r="AE185" s="53"/>
      <x:c r="AF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53"/>
      <x:c r="AC186" s="53"/>
      <x:c r="AD186" s="53"/>
      <x:c r="AE186" s="53"/>
      <x:c r="AF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53"/>
      <x:c r="AC187" s="53"/>
      <x:c r="AD187" s="53"/>
      <x:c r="AE187" s="53"/>
      <x:c r="AF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53"/>
      <x:c r="AC188" s="53"/>
      <x:c r="AD188" s="53"/>
      <x:c r="AE188" s="53"/>
      <x:c r="AF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53"/>
      <x:c r="AC189" s="53"/>
      <x:c r="AD189" s="53"/>
      <x:c r="AE189" s="53"/>
      <x:c r="AF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53"/>
      <x:c r="AC190" s="53"/>
      <x:c r="AD190" s="53"/>
      <x:c r="AE190" s="53"/>
      <x:c r="AF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53"/>
      <x:c r="AC191" s="53"/>
      <x:c r="AD191" s="53"/>
      <x:c r="AE191" s="53"/>
      <x:c r="AF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53"/>
      <x:c r="AC192" s="53"/>
      <x:c r="AD192" s="53"/>
      <x:c r="AE192" s="53"/>
      <x:c r="AF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53"/>
      <x:c r="AC193" s="53"/>
      <x:c r="AD193" s="53"/>
      <x:c r="AE193" s="53"/>
      <x:c r="AF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53"/>
      <x:c r="AC194" s="53"/>
      <x:c r="AD194" s="53"/>
      <x:c r="AE194" s="53"/>
      <x:c r="AF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53"/>
      <x:c r="AC195" s="53"/>
      <x:c r="AD195" s="53"/>
      <x:c r="AE195" s="53"/>
      <x:c r="AF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53"/>
      <x:c r="AC196" s="53"/>
      <x:c r="AD196" s="53"/>
      <x:c r="AE196" s="53"/>
      <x:c r="AF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  <x:c r="AA197" s="53"/>
      <x:c r="AB197" s="53"/>
      <x:c r="AC197" s="53"/>
      <x:c r="AD197" s="53"/>
      <x:c r="AE197" s="53"/>
      <x:c r="AF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  <x:c r="AA198" s="53"/>
      <x:c r="AB198" s="53"/>
      <x:c r="AC198" s="53"/>
      <x:c r="AD198" s="53"/>
      <x:c r="AE198" s="53"/>
      <x:c r="AF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  <x:c r="AA199" s="53"/>
      <x:c r="AB199" s="53"/>
      <x:c r="AC199" s="53"/>
      <x:c r="AD199" s="53"/>
      <x:c r="AE199" s="53"/>
      <x:c r="AF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  <x:c r="AA200" s="53"/>
      <x:c r="AB200" s="53"/>
      <x:c r="AC200" s="53"/>
      <x:c r="AD200" s="53"/>
      <x:c r="AE200" s="53"/>
      <x:c r="AF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  <x:c r="AA201" s="53"/>
      <x:c r="AB201" s="53"/>
      <x:c r="AC201" s="53"/>
      <x:c r="AD201" s="53"/>
      <x:c r="AE201" s="53"/>
      <x:c r="AF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  <x:c r="AA202" s="53"/>
      <x:c r="AB202" s="53"/>
      <x:c r="AC202" s="53"/>
      <x:c r="AD202" s="53"/>
      <x:c r="AE202" s="53"/>
      <x:c r="AF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  <x:c r="AA203" s="53"/>
      <x:c r="AB203" s="53"/>
      <x:c r="AC203" s="53"/>
      <x:c r="AD203" s="53"/>
      <x:c r="AE203" s="53"/>
      <x:c r="AF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  <x:c r="AA204" s="53"/>
      <x:c r="AB204" s="53"/>
      <x:c r="AC204" s="53"/>
      <x:c r="AD204" s="53"/>
      <x:c r="AE204" s="53"/>
      <x:c r="AF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  <x:c r="AA205" s="53"/>
      <x:c r="AB205" s="53"/>
      <x:c r="AC205" s="53"/>
      <x:c r="AD205" s="53"/>
      <x:c r="AE205" s="53"/>
      <x:c r="AF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  <x:c r="AA206" s="53"/>
      <x:c r="AB206" s="53"/>
      <x:c r="AC206" s="53"/>
      <x:c r="AD206" s="53"/>
      <x:c r="AE206" s="53"/>
      <x:c r="AF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  <x:c r="AA207" s="53"/>
      <x:c r="AB207" s="53"/>
      <x:c r="AC207" s="53"/>
      <x:c r="AD207" s="53"/>
      <x:c r="AE207" s="53"/>
      <x:c r="AF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  <x:c r="AA208" s="53"/>
      <x:c r="AB208" s="53"/>
      <x:c r="AC208" s="53"/>
      <x:c r="AD208" s="53"/>
      <x:c r="AE208" s="53"/>
      <x:c r="AF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  <x:c r="AA209" s="53"/>
      <x:c r="AB209" s="53"/>
      <x:c r="AC209" s="53"/>
      <x:c r="AD209" s="53"/>
      <x:c r="AE209" s="53"/>
      <x:c r="AF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  <x:c r="AA210" s="53"/>
      <x:c r="AB210" s="53"/>
      <x:c r="AC210" s="53"/>
      <x:c r="AD210" s="53"/>
      <x:c r="AE210" s="53"/>
      <x:c r="AF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  <x:c r="AA211" s="53"/>
      <x:c r="AB211" s="53"/>
      <x:c r="AC211" s="53"/>
      <x:c r="AD211" s="53"/>
      <x:c r="AE211" s="53"/>
      <x:c r="AF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  <x:c r="AA212" s="53"/>
      <x:c r="AB212" s="53"/>
      <x:c r="AC212" s="53"/>
      <x:c r="AD212" s="53"/>
      <x:c r="AE212" s="53"/>
      <x:c r="AF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  <x:c r="AA213" s="53"/>
      <x:c r="AB213" s="53"/>
      <x:c r="AC213" s="53"/>
      <x:c r="AD213" s="53"/>
      <x:c r="AE213" s="53"/>
      <x:c r="AF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  <x:c r="AA214" s="53"/>
      <x:c r="AB214" s="53"/>
      <x:c r="AC214" s="53"/>
      <x:c r="AD214" s="53"/>
      <x:c r="AE214" s="53"/>
      <x:c r="AF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  <x:c r="AA215" s="53"/>
      <x:c r="AB215" s="53"/>
      <x:c r="AC215" s="53"/>
      <x:c r="AD215" s="53"/>
      <x:c r="AE215" s="53"/>
      <x:c r="AF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  <x:c r="AA216" s="53"/>
      <x:c r="AB216" s="53"/>
      <x:c r="AC216" s="53"/>
      <x:c r="AD216" s="53"/>
      <x:c r="AE216" s="53"/>
      <x:c r="AF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  <x:c r="AA217" s="53"/>
      <x:c r="AB217" s="53"/>
      <x:c r="AC217" s="53"/>
      <x:c r="AD217" s="53"/>
      <x:c r="AE217" s="53"/>
      <x:c r="AF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  <x:c r="AA218" s="53"/>
      <x:c r="AB218" s="53"/>
      <x:c r="AC218" s="53"/>
      <x:c r="AD218" s="53"/>
      <x:c r="AE218" s="53"/>
      <x:c r="AF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  <x:c r="AA219" s="53"/>
      <x:c r="AB219" s="53"/>
      <x:c r="AC219" s="53"/>
      <x:c r="AD219" s="53"/>
      <x:c r="AE219" s="53"/>
      <x:c r="AF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  <x:c r="AA220" s="53"/>
      <x:c r="AB220" s="53"/>
      <x:c r="AC220" s="53"/>
      <x:c r="AD220" s="53"/>
      <x:c r="AE220" s="53"/>
      <x:c r="AF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  <x:c r="AA221" s="53"/>
      <x:c r="AB221" s="53"/>
      <x:c r="AC221" s="53"/>
      <x:c r="AD221" s="53"/>
      <x:c r="AE221" s="53"/>
      <x:c r="AF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  <x:c r="AA222" s="53"/>
      <x:c r="AB222" s="53"/>
      <x:c r="AC222" s="53"/>
      <x:c r="AD222" s="53"/>
      <x:c r="AE222" s="53"/>
      <x:c r="AF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  <x:c r="AA223" s="53"/>
      <x:c r="AB223" s="53"/>
      <x:c r="AC223" s="53"/>
      <x:c r="AD223" s="53"/>
      <x:c r="AE223" s="53"/>
      <x:c r="AF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  <x:c r="AA224" s="53"/>
      <x:c r="AB224" s="53"/>
      <x:c r="AC224" s="53"/>
      <x:c r="AD224" s="53"/>
      <x:c r="AE224" s="53"/>
      <x:c r="AF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  <x:c r="AA225" s="53"/>
      <x:c r="AB225" s="53"/>
      <x:c r="AC225" s="53"/>
      <x:c r="AD225" s="53"/>
      <x:c r="AE225" s="53"/>
      <x:c r="AF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  <x:c r="AA226" s="53"/>
      <x:c r="AB226" s="53"/>
      <x:c r="AC226" s="53"/>
      <x:c r="AD226" s="53"/>
      <x:c r="AE226" s="53"/>
      <x:c r="AF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  <x:c r="AA227" s="53"/>
      <x:c r="AB227" s="53"/>
      <x:c r="AC227" s="53"/>
      <x:c r="AD227" s="53"/>
      <x:c r="AE227" s="53"/>
      <x:c r="AF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  <x:c r="AA228" s="53"/>
      <x:c r="AB228" s="53"/>
      <x:c r="AC228" s="53"/>
      <x:c r="AD228" s="53"/>
      <x:c r="AE228" s="53"/>
      <x:c r="AF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  <x:c r="AA229" s="53"/>
      <x:c r="AB229" s="53"/>
      <x:c r="AC229" s="53"/>
      <x:c r="AD229" s="53"/>
      <x:c r="AE229" s="53"/>
      <x:c r="AF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  <x:c r="AA230" s="53"/>
      <x:c r="AB230" s="53"/>
      <x:c r="AC230" s="53"/>
      <x:c r="AD230" s="53"/>
      <x:c r="AE230" s="53"/>
      <x:c r="AF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  <x:c r="AA231" s="53"/>
      <x:c r="AB231" s="53"/>
      <x:c r="AC231" s="53"/>
      <x:c r="AD231" s="53"/>
      <x:c r="AE231" s="53"/>
      <x:c r="AF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  <x:c r="AA232" s="53"/>
      <x:c r="AB232" s="53"/>
      <x:c r="AC232" s="53"/>
      <x:c r="AD232" s="53"/>
      <x:c r="AE232" s="53"/>
      <x:c r="AF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  <x:c r="AA233" s="53"/>
      <x:c r="AB233" s="53"/>
      <x:c r="AC233" s="53"/>
      <x:c r="AD233" s="53"/>
      <x:c r="AE233" s="53"/>
      <x:c r="AF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  <x:c r="AA234" s="53"/>
      <x:c r="AB234" s="53"/>
      <x:c r="AC234" s="53"/>
      <x:c r="AD234" s="53"/>
      <x:c r="AE234" s="53"/>
      <x:c r="AF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  <x:c r="AA235" s="53"/>
      <x:c r="AB235" s="53"/>
      <x:c r="AC235" s="53"/>
      <x:c r="AD235" s="53"/>
      <x:c r="AE235" s="53"/>
      <x:c r="AF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  <x:c r="AA236" s="53"/>
      <x:c r="AB236" s="53"/>
      <x:c r="AC236" s="53"/>
      <x:c r="AD236" s="53"/>
      <x:c r="AE236" s="53"/>
      <x:c r="AF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  <x:c r="AA237" s="53"/>
      <x:c r="AB237" s="53"/>
      <x:c r="AC237" s="53"/>
      <x:c r="AD237" s="53"/>
      <x:c r="AE237" s="53"/>
      <x:c r="AF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  <x:c r="AA238" s="53"/>
      <x:c r="AB238" s="53"/>
      <x:c r="AC238" s="53"/>
      <x:c r="AD238" s="53"/>
      <x:c r="AE238" s="53"/>
      <x:c r="AF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  <x:c r="AA239" s="53"/>
      <x:c r="AB239" s="53"/>
      <x:c r="AC239" s="53"/>
      <x:c r="AD239" s="53"/>
      <x:c r="AE239" s="53"/>
      <x:c r="AF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  <x:c r="AA240" s="53"/>
      <x:c r="AB240" s="53"/>
      <x:c r="AC240" s="53"/>
      <x:c r="AD240" s="53"/>
      <x:c r="AE240" s="53"/>
      <x:c r="AF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  <x:c r="AA241" s="53"/>
      <x:c r="AB241" s="53"/>
      <x:c r="AC241" s="53"/>
      <x:c r="AD241" s="53"/>
      <x:c r="AE241" s="53"/>
      <x:c r="AF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  <x:c r="AA242" s="53"/>
      <x:c r="AB242" s="53"/>
      <x:c r="AC242" s="53"/>
      <x:c r="AD242" s="53"/>
      <x:c r="AE242" s="53"/>
      <x:c r="AF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  <x:c r="AA243" s="53"/>
      <x:c r="AB243" s="53"/>
      <x:c r="AC243" s="53"/>
      <x:c r="AD243" s="53"/>
      <x:c r="AE243" s="53"/>
      <x:c r="AF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  <x:c r="AA244" s="53"/>
      <x:c r="AB244" s="53"/>
      <x:c r="AC244" s="53"/>
      <x:c r="AD244" s="53"/>
      <x:c r="AE244" s="53"/>
      <x:c r="AF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  <x:c r="AA245" s="53"/>
      <x:c r="AB245" s="53"/>
      <x:c r="AC245" s="53"/>
      <x:c r="AD245" s="53"/>
      <x:c r="AE245" s="53"/>
      <x:c r="AF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  <x:c r="AA246" s="53"/>
      <x:c r="AB246" s="53"/>
      <x:c r="AC246" s="53"/>
      <x:c r="AD246" s="53"/>
      <x:c r="AE246" s="53"/>
      <x:c r="AF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  <x:c r="AA247" s="53"/>
      <x:c r="AB247" s="53"/>
      <x:c r="AC247" s="53"/>
      <x:c r="AD247" s="53"/>
      <x:c r="AE247" s="53"/>
      <x:c r="AF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  <x:c r="AA248" s="53"/>
      <x:c r="AB248" s="53"/>
      <x:c r="AC248" s="53"/>
      <x:c r="AD248" s="53"/>
      <x:c r="AE248" s="53"/>
      <x:c r="AF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  <x:c r="AA249" s="53"/>
      <x:c r="AB249" s="53"/>
      <x:c r="AC249" s="53"/>
      <x:c r="AD249" s="53"/>
      <x:c r="AE249" s="53"/>
      <x:c r="AF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  <x:c r="AA250" s="53"/>
      <x:c r="AB250" s="53"/>
      <x:c r="AC250" s="53"/>
      <x:c r="AD250" s="53"/>
      <x:c r="AE250" s="53"/>
      <x:c r="AF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  <x:c r="AA251" s="53"/>
      <x:c r="AB251" s="53"/>
      <x:c r="AC251" s="53"/>
      <x:c r="AD251" s="53"/>
      <x:c r="AE251" s="53"/>
      <x:c r="AF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  <x:c r="AA252" s="53"/>
      <x:c r="AB252" s="53"/>
      <x:c r="AC252" s="53"/>
      <x:c r="AD252" s="53"/>
      <x:c r="AE252" s="53"/>
      <x:c r="AF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  <x:c r="AA253" s="53"/>
      <x:c r="AB253" s="53"/>
      <x:c r="AC253" s="53"/>
      <x:c r="AD253" s="53"/>
      <x:c r="AE253" s="53"/>
      <x:c r="AF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  <x:c r="AA254" s="53"/>
      <x:c r="AB254" s="53"/>
      <x:c r="AC254" s="53"/>
      <x:c r="AD254" s="53"/>
      <x:c r="AE254" s="53"/>
      <x:c r="AF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  <x:c r="AA255" s="53"/>
      <x:c r="AB255" s="53"/>
      <x:c r="AC255" s="53"/>
      <x:c r="AD255" s="53"/>
      <x:c r="AE255" s="53"/>
      <x:c r="AF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  <x:c r="AA256" s="53"/>
      <x:c r="AB256" s="53"/>
      <x:c r="AC256" s="53"/>
      <x:c r="AD256" s="53"/>
      <x:c r="AE256" s="53"/>
      <x:c r="AF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  <x:c r="AA257" s="53"/>
      <x:c r="AB257" s="53"/>
      <x:c r="AC257" s="53"/>
      <x:c r="AD257" s="53"/>
      <x:c r="AE257" s="53"/>
      <x:c r="AF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  <x:c r="AA258" s="53"/>
      <x:c r="AB258" s="53"/>
      <x:c r="AC258" s="53"/>
      <x:c r="AD258" s="53"/>
      <x:c r="AE258" s="53"/>
      <x:c r="AF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  <x:c r="AA259" s="53"/>
      <x:c r="AB259" s="53"/>
      <x:c r="AC259" s="53"/>
      <x:c r="AD259" s="53"/>
      <x:c r="AE259" s="53"/>
      <x:c r="AF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  <x:c r="AA260" s="53"/>
      <x:c r="AB260" s="53"/>
      <x:c r="AC260" s="53"/>
      <x:c r="AD260" s="53"/>
      <x:c r="AE260" s="53"/>
      <x:c r="AF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  <x:c r="AA261" s="53"/>
      <x:c r="AB261" s="53"/>
      <x:c r="AC261" s="53"/>
      <x:c r="AD261" s="53"/>
      <x:c r="AE261" s="53"/>
      <x:c r="AF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  <x:c r="AA262" s="53"/>
      <x:c r="AB262" s="53"/>
      <x:c r="AC262" s="53"/>
      <x:c r="AD262" s="53"/>
      <x:c r="AE262" s="53"/>
      <x:c r="AF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  <x:c r="AA263" s="53"/>
      <x:c r="AB263" s="53"/>
      <x:c r="AC263" s="53"/>
      <x:c r="AD263" s="53"/>
      <x:c r="AE263" s="53"/>
      <x:c r="AF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  <x:c r="AA264" s="53"/>
      <x:c r="AB264" s="53"/>
      <x:c r="AC264" s="53"/>
      <x:c r="AD264" s="53"/>
      <x:c r="AE264" s="53"/>
      <x:c r="AF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  <x:c r="AA265" s="53"/>
      <x:c r="AB265" s="53"/>
      <x:c r="AC265" s="53"/>
      <x:c r="AD265" s="53"/>
      <x:c r="AE265" s="53"/>
      <x:c r="AF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  <x:c r="AA266" s="53"/>
      <x:c r="AB266" s="53"/>
      <x:c r="AC266" s="53"/>
      <x:c r="AD266" s="53"/>
      <x:c r="AE266" s="53"/>
      <x:c r="AF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  <x:c r="AA267" s="53"/>
      <x:c r="AB267" s="53"/>
      <x:c r="AC267" s="53"/>
      <x:c r="AD267" s="53"/>
      <x:c r="AE267" s="53"/>
      <x:c r="AF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  <x:c r="AA268" s="53"/>
      <x:c r="AB268" s="53"/>
      <x:c r="AC268" s="53"/>
      <x:c r="AD268" s="53"/>
      <x:c r="AE268" s="53"/>
      <x:c r="AF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  <x:c r="AA269" s="53"/>
      <x:c r="AB269" s="53"/>
      <x:c r="AC269" s="53"/>
      <x:c r="AD269" s="53"/>
      <x:c r="AE269" s="53"/>
      <x:c r="AF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  <x:c r="AA270" s="53"/>
      <x:c r="AB270" s="53"/>
      <x:c r="AC270" s="53"/>
      <x:c r="AD270" s="53"/>
      <x:c r="AE270" s="53"/>
      <x:c r="AF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  <x:c r="AA271" s="53"/>
      <x:c r="AB271" s="53"/>
      <x:c r="AC271" s="53"/>
      <x:c r="AD271" s="53"/>
      <x:c r="AE271" s="53"/>
      <x:c r="AF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  <x:c r="AA272" s="53"/>
      <x:c r="AB272" s="53"/>
      <x:c r="AC272" s="53"/>
      <x:c r="AD272" s="53"/>
      <x:c r="AE272" s="53"/>
      <x:c r="AF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  <x:c r="AA273" s="53"/>
      <x:c r="AB273" s="53"/>
      <x:c r="AC273" s="53"/>
      <x:c r="AD273" s="53"/>
      <x:c r="AE273" s="53"/>
      <x:c r="AF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  <x:c r="AA274" s="53"/>
      <x:c r="AB274" s="53"/>
      <x:c r="AC274" s="53"/>
      <x:c r="AD274" s="53"/>
      <x:c r="AE274" s="53"/>
      <x:c r="AF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  <x:c r="AA275" s="53"/>
      <x:c r="AB275" s="53"/>
      <x:c r="AC275" s="53"/>
      <x:c r="AD275" s="53"/>
      <x:c r="AE275" s="53"/>
      <x:c r="AF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  <x:c r="AA276" s="53"/>
      <x:c r="AB276" s="53"/>
      <x:c r="AC276" s="53"/>
      <x:c r="AD276" s="53"/>
      <x:c r="AE276" s="53"/>
      <x:c r="AF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  <x:c r="AA277" s="53"/>
      <x:c r="AB277" s="53"/>
      <x:c r="AC277" s="53"/>
      <x:c r="AD277" s="53"/>
      <x:c r="AE277" s="53"/>
      <x:c r="AF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  <x:c r="AA278" s="53"/>
      <x:c r="AB278" s="53"/>
      <x:c r="AC278" s="53"/>
      <x:c r="AD278" s="53"/>
      <x:c r="AE278" s="53"/>
      <x:c r="AF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  <x:c r="AA279" s="53"/>
      <x:c r="AB279" s="53"/>
      <x:c r="AC279" s="53"/>
      <x:c r="AD279" s="53"/>
      <x:c r="AE279" s="53"/>
      <x:c r="AF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  <x:c r="AA280" s="53"/>
      <x:c r="AB280" s="53"/>
      <x:c r="AC280" s="53"/>
      <x:c r="AD280" s="53"/>
      <x:c r="AE280" s="53"/>
      <x:c r="AF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  <x:c r="AA281" s="53"/>
      <x:c r="AB281" s="53"/>
      <x:c r="AC281" s="53"/>
      <x:c r="AD281" s="53"/>
      <x:c r="AE281" s="53"/>
      <x:c r="AF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  <x:c r="AA282" s="53"/>
      <x:c r="AB282" s="53"/>
      <x:c r="AC282" s="53"/>
      <x:c r="AD282" s="53"/>
      <x:c r="AE282" s="53"/>
      <x:c r="AF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  <x:c r="AA283" s="53"/>
      <x:c r="AB283" s="53"/>
      <x:c r="AC283" s="53"/>
      <x:c r="AD283" s="53"/>
      <x:c r="AE283" s="53"/>
      <x:c r="AF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  <x:c r="AA284" s="53"/>
      <x:c r="AB284" s="53"/>
      <x:c r="AC284" s="53"/>
      <x:c r="AD284" s="53"/>
      <x:c r="AE284" s="53"/>
      <x:c r="AF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  <x:c r="AA285" s="53"/>
      <x:c r="AB285" s="53"/>
      <x:c r="AC285" s="53"/>
      <x:c r="AD285" s="53"/>
      <x:c r="AE285" s="53"/>
      <x:c r="AF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  <x:c r="AA286" s="53"/>
      <x:c r="AB286" s="53"/>
      <x:c r="AC286" s="53"/>
      <x:c r="AD286" s="53"/>
      <x:c r="AE286" s="53"/>
      <x:c r="AF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  <x:c r="AA287" s="53"/>
      <x:c r="AB287" s="53"/>
      <x:c r="AC287" s="53"/>
      <x:c r="AD287" s="53"/>
      <x:c r="AE287" s="53"/>
      <x:c r="AF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  <x:c r="AA288" s="53"/>
      <x:c r="AB288" s="53"/>
      <x:c r="AC288" s="53"/>
      <x:c r="AD288" s="53"/>
      <x:c r="AE288" s="53"/>
      <x:c r="AF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  <x:c r="AA289" s="53"/>
      <x:c r="AB289" s="53"/>
      <x:c r="AC289" s="53"/>
      <x:c r="AD289" s="53"/>
      <x:c r="AE289" s="53"/>
      <x:c r="AF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  <x:c r="AA290" s="53"/>
      <x:c r="AB290" s="53"/>
      <x:c r="AC290" s="53"/>
      <x:c r="AD290" s="53"/>
      <x:c r="AE290" s="53"/>
      <x:c r="AF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  <x:c r="AA291" s="53"/>
      <x:c r="AB291" s="53"/>
      <x:c r="AC291" s="53"/>
      <x:c r="AD291" s="53"/>
      <x:c r="AE291" s="53"/>
      <x:c r="AF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  <x:c r="AA292" s="53"/>
      <x:c r="AB292" s="53"/>
      <x:c r="AC292" s="53"/>
      <x:c r="AD292" s="53"/>
      <x:c r="AE292" s="53"/>
      <x:c r="AF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  <x:c r="AA293" s="53"/>
      <x:c r="AB293" s="53"/>
      <x:c r="AC293" s="53"/>
      <x:c r="AD293" s="53"/>
      <x:c r="AE293" s="53"/>
      <x:c r="AF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  <x:c r="AA294" s="53"/>
      <x:c r="AB294" s="53"/>
      <x:c r="AC294" s="53"/>
      <x:c r="AD294" s="53"/>
      <x:c r="AE294" s="53"/>
      <x:c r="AF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  <x:c r="AA295" s="53"/>
      <x:c r="AB295" s="53"/>
      <x:c r="AC295" s="53"/>
      <x:c r="AD295" s="53"/>
      <x:c r="AE295" s="53"/>
      <x:c r="AF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  <x:c r="AA296" s="53"/>
      <x:c r="AB296" s="53"/>
      <x:c r="AC296" s="53"/>
      <x:c r="AD296" s="53"/>
      <x:c r="AE296" s="53"/>
      <x:c r="AF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  <x:c r="AA297" s="53"/>
      <x:c r="AB297" s="53"/>
      <x:c r="AC297" s="53"/>
      <x:c r="AD297" s="53"/>
      <x:c r="AE297" s="53"/>
      <x:c r="AF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  <x:c r="AA298" s="53"/>
      <x:c r="AB298" s="53"/>
      <x:c r="AC298" s="53"/>
      <x:c r="AD298" s="53"/>
      <x:c r="AE298" s="53"/>
      <x:c r="AF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  <x:c r="AA299" s="53"/>
      <x:c r="AB299" s="53"/>
      <x:c r="AC299" s="53"/>
      <x:c r="AD299" s="53"/>
      <x:c r="AE299" s="53"/>
      <x:c r="AF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  <x:c r="AA300" s="53"/>
      <x:c r="AB300" s="53"/>
      <x:c r="AC300" s="53"/>
      <x:c r="AD300" s="53"/>
      <x:c r="AE300" s="53"/>
      <x:c r="AF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  <x:c r="AA301" s="53"/>
      <x:c r="AB301" s="53"/>
      <x:c r="AC301" s="53"/>
      <x:c r="AD301" s="53"/>
      <x:c r="AE301" s="53"/>
      <x:c r="AF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  <x:c r="AA302" s="53"/>
      <x:c r="AB302" s="53"/>
      <x:c r="AC302" s="53"/>
      <x:c r="AD302" s="53"/>
      <x:c r="AE302" s="53"/>
      <x:c r="AF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  <x:c r="AA303" s="53"/>
      <x:c r="AB303" s="53"/>
      <x:c r="AC303" s="53"/>
      <x:c r="AD303" s="53"/>
      <x:c r="AE303" s="53"/>
      <x:c r="AF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  <x:c r="AA304" s="53"/>
      <x:c r="AB304" s="53"/>
      <x:c r="AC304" s="53"/>
      <x:c r="AD304" s="53"/>
      <x:c r="AE304" s="53"/>
      <x:c r="AF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  <x:c r="AA305" s="53"/>
      <x:c r="AB305" s="53"/>
      <x:c r="AC305" s="53"/>
      <x:c r="AD305" s="53"/>
      <x:c r="AE305" s="53"/>
      <x:c r="AF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  <x:c r="AA306" s="53"/>
      <x:c r="AB306" s="53"/>
      <x:c r="AC306" s="53"/>
      <x:c r="AD306" s="53"/>
      <x:c r="AE306" s="53"/>
      <x:c r="AF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  <x:c r="AA307" s="53"/>
      <x:c r="AB307" s="53"/>
      <x:c r="AC307" s="53"/>
      <x:c r="AD307" s="53"/>
      <x:c r="AE307" s="53"/>
      <x:c r="AF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  <x:c r="AA308" s="53"/>
      <x:c r="AB308" s="53"/>
      <x:c r="AC308" s="53"/>
      <x:c r="AD308" s="53"/>
      <x:c r="AE308" s="53"/>
      <x:c r="AF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  <x:c r="AA309" s="53"/>
      <x:c r="AB309" s="53"/>
      <x:c r="AC309" s="53"/>
      <x:c r="AD309" s="53"/>
      <x:c r="AE309" s="53"/>
      <x:c r="AF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  <x:c r="AA310" s="53"/>
      <x:c r="AB310" s="53"/>
      <x:c r="AC310" s="53"/>
      <x:c r="AD310" s="53"/>
      <x:c r="AE310" s="53"/>
      <x:c r="AF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  <x:c r="AA311" s="53"/>
      <x:c r="AB311" s="53"/>
      <x:c r="AC311" s="53"/>
      <x:c r="AD311" s="53"/>
      <x:c r="AE311" s="53"/>
      <x:c r="AF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  <x:c r="AA312" s="53"/>
      <x:c r="AB312" s="53"/>
      <x:c r="AC312" s="53"/>
      <x:c r="AD312" s="53"/>
      <x:c r="AE312" s="53"/>
      <x:c r="AF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  <x:c r="AA313" s="53"/>
      <x:c r="AB313" s="53"/>
      <x:c r="AC313" s="53"/>
      <x:c r="AD313" s="53"/>
      <x:c r="AE313" s="53"/>
      <x:c r="AF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  <x:c r="AA314" s="53"/>
      <x:c r="AB314" s="53"/>
      <x:c r="AC314" s="53"/>
      <x:c r="AD314" s="53"/>
      <x:c r="AE314" s="53"/>
      <x:c r="AF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  <x:c r="AA315" s="53"/>
      <x:c r="AB315" s="53"/>
      <x:c r="AC315" s="53"/>
      <x:c r="AD315" s="53"/>
      <x:c r="AE315" s="53"/>
      <x:c r="AF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  <x:c r="AA316" s="53"/>
      <x:c r="AB316" s="53"/>
      <x:c r="AC316" s="53"/>
      <x:c r="AD316" s="53"/>
      <x:c r="AE316" s="53"/>
      <x:c r="AF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  <x:c r="AA317" s="53"/>
      <x:c r="AB317" s="53"/>
      <x:c r="AC317" s="53"/>
      <x:c r="AD317" s="53"/>
      <x:c r="AE317" s="53"/>
      <x:c r="AF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  <x:c r="AA318" s="53"/>
      <x:c r="AB318" s="53"/>
      <x:c r="AC318" s="53"/>
      <x:c r="AD318" s="53"/>
      <x:c r="AE318" s="53"/>
      <x:c r="AF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  <x:c r="AA319" s="53"/>
      <x:c r="AB319" s="53"/>
      <x:c r="AC319" s="53"/>
      <x:c r="AD319" s="53"/>
      <x:c r="AE319" s="53"/>
      <x:c r="AF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  <x:c r="AA320" s="53"/>
      <x:c r="AB320" s="53"/>
      <x:c r="AC320" s="53"/>
      <x:c r="AD320" s="53"/>
      <x:c r="AE320" s="53"/>
      <x:c r="AF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  <x:c r="AA321" s="53"/>
      <x:c r="AB321" s="53"/>
      <x:c r="AC321" s="53"/>
      <x:c r="AD321" s="53"/>
      <x:c r="AE321" s="53"/>
      <x:c r="AF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  <x:c r="AA322" s="53"/>
      <x:c r="AB322" s="53"/>
      <x:c r="AC322" s="53"/>
      <x:c r="AD322" s="53"/>
      <x:c r="AE322" s="53"/>
      <x:c r="AF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  <x:c r="AA323" s="53"/>
      <x:c r="AB323" s="53"/>
      <x:c r="AC323" s="53"/>
      <x:c r="AD323" s="53"/>
      <x:c r="AE323" s="53"/>
      <x:c r="AF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  <x:c r="AA324" s="53"/>
      <x:c r="AB324" s="53"/>
      <x:c r="AC324" s="53"/>
      <x:c r="AD324" s="53"/>
      <x:c r="AE324" s="53"/>
      <x:c r="AF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  <x:c r="AA325" s="53"/>
      <x:c r="AB325" s="53"/>
      <x:c r="AC325" s="53"/>
      <x:c r="AD325" s="53"/>
      <x:c r="AE325" s="53"/>
      <x:c r="AF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  <x:c r="AA326" s="53"/>
      <x:c r="AB326" s="53"/>
      <x:c r="AC326" s="53"/>
      <x:c r="AD326" s="53"/>
      <x:c r="AE326" s="53"/>
      <x:c r="AF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  <x:c r="AA327" s="53"/>
      <x:c r="AB327" s="53"/>
      <x:c r="AC327" s="53"/>
      <x:c r="AD327" s="53"/>
      <x:c r="AE327" s="53"/>
      <x:c r="AF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  <x:c r="AA328" s="53"/>
      <x:c r="AB328" s="53"/>
      <x:c r="AC328" s="53"/>
      <x:c r="AD328" s="53"/>
      <x:c r="AE328" s="53"/>
      <x:c r="AF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  <x:c r="AA329" s="53"/>
      <x:c r="AB329" s="53"/>
      <x:c r="AC329" s="53"/>
      <x:c r="AD329" s="53"/>
      <x:c r="AE329" s="53"/>
      <x:c r="AF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  <x:c r="AA330" s="53"/>
      <x:c r="AB330" s="53"/>
      <x:c r="AC330" s="53"/>
      <x:c r="AD330" s="53"/>
      <x:c r="AE330" s="53"/>
      <x:c r="AF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  <x:c r="AA331" s="53"/>
      <x:c r="AB331" s="53"/>
      <x:c r="AC331" s="53"/>
      <x:c r="AD331" s="53"/>
      <x:c r="AE331" s="53"/>
      <x:c r="AF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  <x:c r="AA332" s="53"/>
      <x:c r="AB332" s="53"/>
      <x:c r="AC332" s="53"/>
      <x:c r="AD332" s="53"/>
      <x:c r="AE332" s="53"/>
      <x:c r="AF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  <x:c r="AA333" s="53"/>
      <x:c r="AB333" s="53"/>
      <x:c r="AC333" s="53"/>
      <x:c r="AD333" s="53"/>
      <x:c r="AE333" s="53"/>
      <x:c r="AF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  <x:c r="AA334" s="53"/>
      <x:c r="AB334" s="53"/>
      <x:c r="AC334" s="53"/>
      <x:c r="AD334" s="53"/>
      <x:c r="AE334" s="53"/>
      <x:c r="AF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  <x:c r="AA335" s="53"/>
      <x:c r="AB335" s="53"/>
      <x:c r="AC335" s="53"/>
      <x:c r="AD335" s="53"/>
      <x:c r="AE335" s="53"/>
      <x:c r="AF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  <x:c r="AA336" s="53"/>
      <x:c r="AB336" s="53"/>
      <x:c r="AC336" s="53"/>
      <x:c r="AD336" s="53"/>
      <x:c r="AE336" s="53"/>
      <x:c r="AF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  <x:c r="AA337" s="53"/>
      <x:c r="AB337" s="53"/>
      <x:c r="AC337" s="53"/>
      <x:c r="AD337" s="53"/>
      <x:c r="AE337" s="53"/>
      <x:c r="AF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  <x:c r="AA338" s="53"/>
      <x:c r="AB338" s="53"/>
      <x:c r="AC338" s="53"/>
      <x:c r="AD338" s="53"/>
      <x:c r="AE338" s="53"/>
      <x:c r="AF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  <x:c r="AA339" s="53"/>
      <x:c r="AB339" s="53"/>
      <x:c r="AC339" s="53"/>
      <x:c r="AD339" s="53"/>
      <x:c r="AE339" s="53"/>
      <x:c r="AF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  <x:c r="AA340" s="53"/>
      <x:c r="AB340" s="53"/>
      <x:c r="AC340" s="53"/>
      <x:c r="AD340" s="53"/>
      <x:c r="AE340" s="53"/>
      <x:c r="AF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  <x:c r="AA341" s="53"/>
      <x:c r="AB341" s="53"/>
      <x:c r="AC341" s="53"/>
      <x:c r="AD341" s="53"/>
      <x:c r="AE341" s="53"/>
      <x:c r="AF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  <x:c r="AA342" s="53"/>
      <x:c r="AB342" s="53"/>
      <x:c r="AC342" s="53"/>
      <x:c r="AD342" s="53"/>
      <x:c r="AE342" s="53"/>
      <x:c r="AF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  <x:c r="AA343" s="53"/>
      <x:c r="AB343" s="53"/>
      <x:c r="AC343" s="53"/>
      <x:c r="AD343" s="53"/>
      <x:c r="AE343" s="53"/>
      <x:c r="AF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  <x:c r="AA344" s="53"/>
      <x:c r="AB344" s="53"/>
      <x:c r="AC344" s="53"/>
      <x:c r="AD344" s="53"/>
      <x:c r="AE344" s="53"/>
      <x:c r="AF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  <x:c r="AA345" s="53"/>
      <x:c r="AB345" s="53"/>
      <x:c r="AC345" s="53"/>
      <x:c r="AD345" s="53"/>
      <x:c r="AE345" s="53"/>
      <x:c r="AF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  <x:c r="AA346" s="53"/>
      <x:c r="AB346" s="53"/>
      <x:c r="AC346" s="53"/>
      <x:c r="AD346" s="53"/>
      <x:c r="AE346" s="53"/>
      <x:c r="AF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  <x:c r="AA347" s="53"/>
      <x:c r="AB347" s="53"/>
      <x:c r="AC347" s="53"/>
      <x:c r="AD347" s="53"/>
      <x:c r="AE347" s="53"/>
      <x:c r="AF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  <x:c r="AA348" s="53"/>
      <x:c r="AB348" s="53"/>
      <x:c r="AC348" s="53"/>
      <x:c r="AD348" s="53"/>
      <x:c r="AE348" s="53"/>
      <x:c r="AF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  <x:c r="AA349" s="53"/>
      <x:c r="AB349" s="53"/>
      <x:c r="AC349" s="53"/>
      <x:c r="AD349" s="53"/>
      <x:c r="AE349" s="53"/>
      <x:c r="AF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  <x:c r="AA350" s="53"/>
      <x:c r="AB350" s="53"/>
      <x:c r="AC350" s="53"/>
      <x:c r="AD350" s="53"/>
      <x:c r="AE350" s="53"/>
      <x:c r="AF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  <x:c r="AA351" s="53"/>
      <x:c r="AB351" s="53"/>
      <x:c r="AC351" s="53"/>
      <x:c r="AD351" s="53"/>
      <x:c r="AE351" s="53"/>
      <x:c r="AF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  <x:c r="AA352" s="53"/>
      <x:c r="AB352" s="53"/>
      <x:c r="AC352" s="53"/>
      <x:c r="AD352" s="53"/>
      <x:c r="AE352" s="53"/>
      <x:c r="AF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  <x:c r="AA353" s="53"/>
      <x:c r="AB353" s="53"/>
      <x:c r="AC353" s="53"/>
      <x:c r="AD353" s="53"/>
      <x:c r="AE353" s="53"/>
      <x:c r="AF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  <x:c r="AA354" s="53"/>
      <x:c r="AB354" s="53"/>
      <x:c r="AC354" s="53"/>
      <x:c r="AD354" s="53"/>
      <x:c r="AE354" s="53"/>
      <x:c r="AF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  <x:c r="AA355" s="53"/>
      <x:c r="AB355" s="53"/>
      <x:c r="AC355" s="53"/>
      <x:c r="AD355" s="53"/>
      <x:c r="AE355" s="53"/>
      <x:c r="AF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  <x:c r="AA356" s="53"/>
      <x:c r="AB356" s="53"/>
      <x:c r="AC356" s="53"/>
      <x:c r="AD356" s="53"/>
      <x:c r="AE356" s="53"/>
      <x:c r="AF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  <x:c r="AA357" s="53"/>
      <x:c r="AB357" s="53"/>
      <x:c r="AC357" s="53"/>
      <x:c r="AD357" s="53"/>
      <x:c r="AE357" s="53"/>
      <x:c r="AF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  <x:c r="AA358" s="53"/>
      <x:c r="AB358" s="53"/>
      <x:c r="AC358" s="53"/>
      <x:c r="AD358" s="53"/>
      <x:c r="AE358" s="53"/>
      <x:c r="AF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  <x:c r="AA359" s="53"/>
      <x:c r="AB359" s="53"/>
      <x:c r="AC359" s="53"/>
      <x:c r="AD359" s="53"/>
      <x:c r="AE359" s="53"/>
      <x:c r="AF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  <x:c r="AA360" s="53"/>
      <x:c r="AB360" s="53"/>
      <x:c r="AC360" s="53"/>
      <x:c r="AD360" s="53"/>
      <x:c r="AE360" s="53"/>
      <x:c r="AF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  <x:c r="AA361" s="53"/>
      <x:c r="AB361" s="53"/>
      <x:c r="AC361" s="53"/>
      <x:c r="AD361" s="53"/>
      <x:c r="AE361" s="53"/>
      <x:c r="AF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  <x:c r="AA362" s="53"/>
      <x:c r="AB362" s="53"/>
      <x:c r="AC362" s="53"/>
      <x:c r="AD362" s="53"/>
      <x:c r="AE362" s="53"/>
      <x:c r="AF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  <x:c r="AA363" s="53"/>
      <x:c r="AB363" s="53"/>
      <x:c r="AC363" s="53"/>
      <x:c r="AD363" s="53"/>
      <x:c r="AE363" s="53"/>
      <x:c r="AF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  <x:c r="AA364" s="53"/>
      <x:c r="AB364" s="53"/>
      <x:c r="AC364" s="53"/>
      <x:c r="AD364" s="53"/>
      <x:c r="AE364" s="53"/>
      <x:c r="AF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  <x:c r="AA365" s="53"/>
      <x:c r="AB365" s="53"/>
      <x:c r="AC365" s="53"/>
      <x:c r="AD365" s="53"/>
      <x:c r="AE365" s="53"/>
      <x:c r="AF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  <x:c r="AA366" s="53"/>
      <x:c r="AB366" s="53"/>
      <x:c r="AC366" s="53"/>
      <x:c r="AD366" s="53"/>
      <x:c r="AE366" s="53"/>
      <x:c r="AF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  <x:c r="AA367" s="53"/>
      <x:c r="AB367" s="53"/>
      <x:c r="AC367" s="53"/>
      <x:c r="AD367" s="53"/>
      <x:c r="AE367" s="53"/>
      <x:c r="AF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  <x:c r="AA368" s="53"/>
      <x:c r="AB368" s="53"/>
      <x:c r="AC368" s="53"/>
      <x:c r="AD368" s="53"/>
      <x:c r="AE368" s="53"/>
      <x:c r="AF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  <x:c r="AA369" s="53"/>
      <x:c r="AB369" s="53"/>
      <x:c r="AC369" s="53"/>
      <x:c r="AD369" s="53"/>
      <x:c r="AE369" s="53"/>
      <x:c r="AF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  <x:c r="AA370" s="53"/>
      <x:c r="AB370" s="53"/>
      <x:c r="AC370" s="53"/>
      <x:c r="AD370" s="53"/>
      <x:c r="AE370" s="53"/>
      <x:c r="AF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  <x:c r="AA371" s="53"/>
      <x:c r="AB371" s="53"/>
      <x:c r="AC371" s="53"/>
      <x:c r="AD371" s="53"/>
      <x:c r="AE371" s="53"/>
      <x:c r="AF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  <x:c r="AA372" s="53"/>
      <x:c r="AB372" s="53"/>
      <x:c r="AC372" s="53"/>
      <x:c r="AD372" s="53"/>
      <x:c r="AE372" s="53"/>
      <x:c r="AF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  <x:c r="AA373" s="53"/>
      <x:c r="AB373" s="53"/>
      <x:c r="AC373" s="53"/>
      <x:c r="AD373" s="53"/>
      <x:c r="AE373" s="53"/>
      <x:c r="AF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  <x:c r="AA374" s="53"/>
      <x:c r="AB374" s="53"/>
      <x:c r="AC374" s="53"/>
      <x:c r="AD374" s="53"/>
      <x:c r="AE374" s="53"/>
      <x:c r="AF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  <x:c r="AA375" s="53"/>
      <x:c r="AB375" s="53"/>
      <x:c r="AC375" s="53"/>
      <x:c r="AD375" s="53"/>
      <x:c r="AE375" s="53"/>
      <x:c r="AF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  <x:c r="AA376" s="53"/>
      <x:c r="AB376" s="53"/>
      <x:c r="AC376" s="53"/>
      <x:c r="AD376" s="53"/>
      <x:c r="AE376" s="53"/>
      <x:c r="AF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  <x:c r="AA377" s="53"/>
      <x:c r="AB377" s="53"/>
      <x:c r="AC377" s="53"/>
      <x:c r="AD377" s="53"/>
      <x:c r="AE377" s="53"/>
      <x:c r="AF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  <x:c r="AA378" s="53"/>
      <x:c r="AB378" s="53"/>
      <x:c r="AC378" s="53"/>
      <x:c r="AD378" s="53"/>
      <x:c r="AE378" s="53"/>
      <x:c r="AF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  <x:c r="AA379" s="53"/>
      <x:c r="AB379" s="53"/>
      <x:c r="AC379" s="53"/>
      <x:c r="AD379" s="53"/>
      <x:c r="AE379" s="53"/>
      <x:c r="AF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  <x:c r="AA380" s="53"/>
      <x:c r="AB380" s="53"/>
      <x:c r="AC380" s="53"/>
      <x:c r="AD380" s="53"/>
      <x:c r="AE380" s="53"/>
      <x:c r="AF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  <x:c r="AA381" s="53"/>
      <x:c r="AB381" s="53"/>
      <x:c r="AC381" s="53"/>
      <x:c r="AD381" s="53"/>
      <x:c r="AE381" s="53"/>
      <x:c r="AF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  <x:c r="AA382" s="53"/>
      <x:c r="AB382" s="53"/>
      <x:c r="AC382" s="53"/>
      <x:c r="AD382" s="53"/>
      <x:c r="AE382" s="53"/>
      <x:c r="AF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  <x:c r="AA383" s="53"/>
      <x:c r="AB383" s="53"/>
      <x:c r="AC383" s="53"/>
      <x:c r="AD383" s="53"/>
      <x:c r="AE383" s="53"/>
      <x:c r="AF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  <x:c r="AA384" s="53"/>
      <x:c r="AB384" s="53"/>
      <x:c r="AC384" s="53"/>
      <x:c r="AD384" s="53"/>
      <x:c r="AE384" s="53"/>
      <x:c r="AF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  <x:c r="AA385" s="53"/>
      <x:c r="AB385" s="53"/>
      <x:c r="AC385" s="53"/>
      <x:c r="AD385" s="53"/>
      <x:c r="AE385" s="53"/>
      <x:c r="AF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  <x:c r="AA386" s="53"/>
      <x:c r="AB386" s="53"/>
      <x:c r="AC386" s="53"/>
      <x:c r="AD386" s="53"/>
      <x:c r="AE386" s="53"/>
      <x:c r="AF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  <x:c r="AA387" s="53"/>
      <x:c r="AB387" s="53"/>
      <x:c r="AC387" s="53"/>
      <x:c r="AD387" s="53"/>
      <x:c r="AE387" s="53"/>
      <x:c r="AF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  <x:c r="AA388" s="53"/>
      <x:c r="AB388" s="53"/>
      <x:c r="AC388" s="53"/>
      <x:c r="AD388" s="53"/>
      <x:c r="AE388" s="53"/>
      <x:c r="AF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  <x:c r="AA389" s="53"/>
      <x:c r="AB389" s="53"/>
      <x:c r="AC389" s="53"/>
      <x:c r="AD389" s="53"/>
      <x:c r="AE389" s="53"/>
      <x:c r="AF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  <x:c r="AA390" s="53"/>
      <x:c r="AB390" s="53"/>
      <x:c r="AC390" s="53"/>
      <x:c r="AD390" s="53"/>
      <x:c r="AE390" s="53"/>
      <x:c r="AF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  <x:c r="AA391" s="53"/>
      <x:c r="AB391" s="53"/>
      <x:c r="AC391" s="53"/>
      <x:c r="AD391" s="53"/>
      <x:c r="AE391" s="53"/>
      <x:c r="AF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  <x:c r="AA392" s="53"/>
      <x:c r="AB392" s="53"/>
      <x:c r="AC392" s="53"/>
      <x:c r="AD392" s="53"/>
      <x:c r="AE392" s="53"/>
      <x:c r="AF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  <x:c r="AA393" s="53"/>
      <x:c r="AB393" s="53"/>
      <x:c r="AC393" s="53"/>
      <x:c r="AD393" s="53"/>
      <x:c r="AE393" s="53"/>
      <x:c r="AF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  <x:c r="AA394" s="53"/>
      <x:c r="AB394" s="53"/>
      <x:c r="AC394" s="53"/>
      <x:c r="AD394" s="53"/>
      <x:c r="AE394" s="53"/>
      <x:c r="AF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  <x:c r="AA395" s="53"/>
      <x:c r="AB395" s="53"/>
      <x:c r="AC395" s="53"/>
      <x:c r="AD395" s="53"/>
      <x:c r="AE395" s="53"/>
      <x:c r="AF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  <x:c r="AA396" s="53"/>
      <x:c r="AB396" s="53"/>
      <x:c r="AC396" s="53"/>
      <x:c r="AD396" s="53"/>
      <x:c r="AE396" s="53"/>
      <x:c r="AF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  <x:c r="AA397" s="53"/>
      <x:c r="AB397" s="53"/>
      <x:c r="AC397" s="53"/>
      <x:c r="AD397" s="53"/>
      <x:c r="AE397" s="53"/>
      <x:c r="AF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  <x:c r="AA398" s="53"/>
      <x:c r="AB398" s="53"/>
      <x:c r="AC398" s="53"/>
      <x:c r="AD398" s="53"/>
      <x:c r="AE398" s="53"/>
      <x:c r="AF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  <x:c r="AA399" s="53"/>
      <x:c r="AB399" s="53"/>
      <x:c r="AC399" s="53"/>
      <x:c r="AD399" s="53"/>
      <x:c r="AE399" s="53"/>
      <x:c r="AF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  <x:c r="AA400" s="53"/>
      <x:c r="AB400" s="53"/>
      <x:c r="AC400" s="53"/>
      <x:c r="AD400" s="53"/>
      <x:c r="AE400" s="53"/>
      <x:c r="AF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  <x:c r="AA401" s="53"/>
      <x:c r="AB401" s="53"/>
      <x:c r="AC401" s="53"/>
      <x:c r="AD401" s="53"/>
      <x:c r="AE401" s="53"/>
      <x:c r="AF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  <x:c r="AA402" s="53"/>
      <x:c r="AB402" s="53"/>
      <x:c r="AC402" s="53"/>
      <x:c r="AD402" s="53"/>
      <x:c r="AE402" s="53"/>
      <x:c r="AF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  <x:c r="AA403" s="53"/>
      <x:c r="AB403" s="53"/>
      <x:c r="AC403" s="53"/>
      <x:c r="AD403" s="53"/>
      <x:c r="AE403" s="53"/>
      <x:c r="AF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  <x:c r="AA404" s="53"/>
      <x:c r="AB404" s="53"/>
      <x:c r="AC404" s="53"/>
      <x:c r="AD404" s="53"/>
      <x:c r="AE404" s="53"/>
      <x:c r="AF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  <x:c r="AA405" s="53"/>
      <x:c r="AB405" s="53"/>
      <x:c r="AC405" s="53"/>
      <x:c r="AD405" s="53"/>
      <x:c r="AE405" s="53"/>
      <x:c r="AF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  <x:c r="AA406" s="53"/>
      <x:c r="AB406" s="53"/>
      <x:c r="AC406" s="53"/>
      <x:c r="AD406" s="53"/>
      <x:c r="AE406" s="53"/>
      <x:c r="AF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  <x:c r="AA407" s="53"/>
      <x:c r="AB407" s="53"/>
      <x:c r="AC407" s="53"/>
      <x:c r="AD407" s="53"/>
      <x:c r="AE407" s="53"/>
      <x:c r="AF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  <x:c r="AA408" s="53"/>
      <x:c r="AB408" s="53"/>
      <x:c r="AC408" s="53"/>
      <x:c r="AD408" s="53"/>
      <x:c r="AE408" s="53"/>
      <x:c r="AF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  <x:c r="AA409" s="53"/>
      <x:c r="AB409" s="53"/>
      <x:c r="AC409" s="53"/>
      <x:c r="AD409" s="53"/>
      <x:c r="AE409" s="53"/>
      <x:c r="AF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  <x:c r="AA410" s="53"/>
      <x:c r="AB410" s="53"/>
      <x:c r="AC410" s="53"/>
      <x:c r="AD410" s="53"/>
      <x:c r="AE410" s="53"/>
      <x:c r="AF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  <x:c r="AA411" s="53"/>
      <x:c r="AB411" s="53"/>
      <x:c r="AC411" s="53"/>
      <x:c r="AD411" s="53"/>
      <x:c r="AE411" s="53"/>
      <x:c r="AF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  <x:c r="AA412" s="53"/>
      <x:c r="AB412" s="53"/>
      <x:c r="AC412" s="53"/>
      <x:c r="AD412" s="53"/>
      <x:c r="AE412" s="53"/>
      <x:c r="AF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  <x:c r="AA413" s="53"/>
      <x:c r="AB413" s="53"/>
      <x:c r="AC413" s="53"/>
      <x:c r="AD413" s="53"/>
      <x:c r="AE413" s="53"/>
      <x:c r="AF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  <x:c r="AA414" s="53"/>
      <x:c r="AB414" s="53"/>
      <x:c r="AC414" s="53"/>
      <x:c r="AD414" s="53"/>
      <x:c r="AE414" s="53"/>
      <x:c r="AF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  <x:c r="AA415" s="53"/>
      <x:c r="AB415" s="53"/>
      <x:c r="AC415" s="53"/>
      <x:c r="AD415" s="53"/>
      <x:c r="AE415" s="53"/>
      <x:c r="AF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  <x:c r="AA416" s="53"/>
      <x:c r="AB416" s="53"/>
      <x:c r="AC416" s="53"/>
      <x:c r="AD416" s="53"/>
      <x:c r="AE416" s="53"/>
      <x:c r="AF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  <x:c r="AA417" s="53"/>
      <x:c r="AB417" s="53"/>
      <x:c r="AC417" s="53"/>
      <x:c r="AD417" s="53"/>
      <x:c r="AE417" s="53"/>
      <x:c r="AF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  <x:c r="AA418" s="53"/>
      <x:c r="AB418" s="53"/>
      <x:c r="AC418" s="53"/>
      <x:c r="AD418" s="53"/>
      <x:c r="AE418" s="53"/>
      <x:c r="AF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  <x:c r="AA419" s="53"/>
      <x:c r="AB419" s="53"/>
      <x:c r="AC419" s="53"/>
      <x:c r="AD419" s="53"/>
      <x:c r="AE419" s="53"/>
      <x:c r="AF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  <x:c r="AA420" s="53"/>
      <x:c r="AB420" s="53"/>
      <x:c r="AC420" s="53"/>
      <x:c r="AD420" s="53"/>
      <x:c r="AE420" s="53"/>
      <x:c r="AF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  <x:c r="AA421" s="53"/>
      <x:c r="AB421" s="53"/>
      <x:c r="AC421" s="53"/>
      <x:c r="AD421" s="53"/>
      <x:c r="AE421" s="53"/>
      <x:c r="AF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  <x:c r="AA422" s="53"/>
      <x:c r="AB422" s="53"/>
      <x:c r="AC422" s="53"/>
      <x:c r="AD422" s="53"/>
      <x:c r="AE422" s="53"/>
      <x:c r="AF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  <x:c r="AA423" s="53"/>
      <x:c r="AB423" s="53"/>
      <x:c r="AC423" s="53"/>
      <x:c r="AD423" s="53"/>
      <x:c r="AE423" s="53"/>
      <x:c r="AF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  <x:c r="AA424" s="53"/>
      <x:c r="AB424" s="53"/>
      <x:c r="AC424" s="53"/>
      <x:c r="AD424" s="53"/>
      <x:c r="AE424" s="53"/>
      <x:c r="AF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  <x:c r="AA425" s="53"/>
      <x:c r="AB425" s="53"/>
      <x:c r="AC425" s="53"/>
      <x:c r="AD425" s="53"/>
      <x:c r="AE425" s="53"/>
      <x:c r="AF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  <x:c r="AA426" s="53"/>
      <x:c r="AB426" s="53"/>
      <x:c r="AC426" s="53"/>
      <x:c r="AD426" s="53"/>
      <x:c r="AE426" s="53"/>
      <x:c r="AF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  <x:c r="AA427" s="53"/>
      <x:c r="AB427" s="53"/>
      <x:c r="AC427" s="53"/>
      <x:c r="AD427" s="53"/>
      <x:c r="AE427" s="53"/>
      <x:c r="AF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  <x:c r="AA428" s="53"/>
      <x:c r="AB428" s="53"/>
      <x:c r="AC428" s="53"/>
      <x:c r="AD428" s="53"/>
      <x:c r="AE428" s="53"/>
      <x:c r="AF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  <x:c r="AA429" s="53"/>
      <x:c r="AB429" s="53"/>
      <x:c r="AC429" s="53"/>
      <x:c r="AD429" s="53"/>
      <x:c r="AE429" s="53"/>
      <x:c r="AF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  <x:c r="AA430" s="53"/>
      <x:c r="AB430" s="53"/>
      <x:c r="AC430" s="53"/>
      <x:c r="AD430" s="53"/>
      <x:c r="AE430" s="53"/>
      <x:c r="AF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  <x:c r="AA431" s="53"/>
      <x:c r="AB431" s="53"/>
      <x:c r="AC431" s="53"/>
      <x:c r="AD431" s="53"/>
      <x:c r="AE431" s="53"/>
      <x:c r="AF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  <x:c r="AA432" s="53"/>
      <x:c r="AB432" s="53"/>
      <x:c r="AC432" s="53"/>
      <x:c r="AD432" s="53"/>
      <x:c r="AE432" s="53"/>
      <x:c r="AF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  <x:c r="AA433" s="53"/>
      <x:c r="AB433" s="53"/>
      <x:c r="AC433" s="53"/>
      <x:c r="AD433" s="53"/>
      <x:c r="AE433" s="53"/>
      <x:c r="AF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  <x:c r="AA434" s="53"/>
      <x:c r="AB434" s="53"/>
      <x:c r="AC434" s="53"/>
      <x:c r="AD434" s="53"/>
      <x:c r="AE434" s="53"/>
      <x:c r="AF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  <x:c r="AA435" s="53"/>
      <x:c r="AB435" s="53"/>
      <x:c r="AC435" s="53"/>
      <x:c r="AD435" s="53"/>
      <x:c r="AE435" s="53"/>
      <x:c r="AF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  <x:c r="AA436" s="53"/>
      <x:c r="AB436" s="53"/>
      <x:c r="AC436" s="53"/>
      <x:c r="AD436" s="53"/>
      <x:c r="AE436" s="53"/>
      <x:c r="AF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  <x:c r="AA437" s="53"/>
      <x:c r="AB437" s="53"/>
      <x:c r="AC437" s="53"/>
      <x:c r="AD437" s="53"/>
      <x:c r="AE437" s="53"/>
      <x:c r="AF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  <x:c r="AA438" s="53"/>
      <x:c r="AB438" s="53"/>
      <x:c r="AC438" s="53"/>
      <x:c r="AD438" s="53"/>
      <x:c r="AE438" s="53"/>
      <x:c r="AF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  <x:c r="AA439" s="53"/>
      <x:c r="AB439" s="53"/>
      <x:c r="AC439" s="53"/>
      <x:c r="AD439" s="53"/>
      <x:c r="AE439" s="53"/>
      <x:c r="AF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  <x:c r="AA440" s="53"/>
      <x:c r="AB440" s="53"/>
      <x:c r="AC440" s="53"/>
      <x:c r="AD440" s="53"/>
      <x:c r="AE440" s="53"/>
      <x:c r="AF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  <x:c r="AA441" s="53"/>
      <x:c r="AB441" s="53"/>
      <x:c r="AC441" s="53"/>
      <x:c r="AD441" s="53"/>
      <x:c r="AE441" s="53"/>
      <x:c r="AF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  <x:c r="AA442" s="53"/>
      <x:c r="AB442" s="53"/>
      <x:c r="AC442" s="53"/>
      <x:c r="AD442" s="53"/>
      <x:c r="AE442" s="53"/>
      <x:c r="AF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  <x:c r="AA443" s="53"/>
      <x:c r="AB443" s="53"/>
      <x:c r="AC443" s="53"/>
      <x:c r="AD443" s="53"/>
      <x:c r="AE443" s="53"/>
      <x:c r="AF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  <x:c r="AA444" s="53"/>
      <x:c r="AB444" s="53"/>
      <x:c r="AC444" s="53"/>
      <x:c r="AD444" s="53"/>
      <x:c r="AE444" s="53"/>
      <x:c r="AF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  <x:c r="AA445" s="53"/>
      <x:c r="AB445" s="53"/>
      <x:c r="AC445" s="53"/>
      <x:c r="AD445" s="53"/>
      <x:c r="AE445" s="53"/>
      <x:c r="AF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  <x:c r="AA446" s="53"/>
      <x:c r="AB446" s="53"/>
      <x:c r="AC446" s="53"/>
      <x:c r="AD446" s="53"/>
      <x:c r="AE446" s="53"/>
      <x:c r="AF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  <x:c r="AA447" s="53"/>
      <x:c r="AB447" s="53"/>
      <x:c r="AC447" s="53"/>
      <x:c r="AD447" s="53"/>
      <x:c r="AE447" s="53"/>
      <x:c r="AF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  <x:c r="AA448" s="53"/>
      <x:c r="AB448" s="53"/>
      <x:c r="AC448" s="53"/>
      <x:c r="AD448" s="53"/>
      <x:c r="AE448" s="53"/>
      <x:c r="AF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  <x:c r="AA449" s="53"/>
      <x:c r="AB449" s="53"/>
      <x:c r="AC449" s="53"/>
      <x:c r="AD449" s="53"/>
      <x:c r="AE449" s="53"/>
      <x:c r="AF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  <x:c r="AA450" s="53"/>
      <x:c r="AB450" s="53"/>
      <x:c r="AC450" s="53"/>
      <x:c r="AD450" s="53"/>
      <x:c r="AE450" s="53"/>
      <x:c r="AF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  <x:c r="AA451" s="53"/>
      <x:c r="AB451" s="53"/>
      <x:c r="AC451" s="53"/>
      <x:c r="AD451" s="53"/>
      <x:c r="AE451" s="53"/>
      <x:c r="AF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  <x:c r="AA452" s="53"/>
      <x:c r="AB452" s="53"/>
      <x:c r="AC452" s="53"/>
      <x:c r="AD452" s="53"/>
      <x:c r="AE452" s="53"/>
      <x:c r="AF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  <x:c r="AA453" s="53"/>
      <x:c r="AB453" s="53"/>
      <x:c r="AC453" s="53"/>
      <x:c r="AD453" s="53"/>
      <x:c r="AE453" s="53"/>
      <x:c r="AF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  <x:c r="AA454" s="53"/>
      <x:c r="AB454" s="53"/>
      <x:c r="AC454" s="53"/>
      <x:c r="AD454" s="53"/>
      <x:c r="AE454" s="53"/>
      <x:c r="AF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  <x:c r="AA455" s="53"/>
      <x:c r="AB455" s="53"/>
      <x:c r="AC455" s="53"/>
      <x:c r="AD455" s="53"/>
      <x:c r="AE455" s="53"/>
      <x:c r="AF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  <x:c r="AA456" s="53"/>
      <x:c r="AB456" s="53"/>
      <x:c r="AC456" s="53"/>
      <x:c r="AD456" s="53"/>
      <x:c r="AE456" s="53"/>
      <x:c r="AF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  <x:c r="AA457" s="53"/>
      <x:c r="AB457" s="53"/>
      <x:c r="AC457" s="53"/>
      <x:c r="AD457" s="53"/>
      <x:c r="AE457" s="53"/>
      <x:c r="AF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  <x:c r="AA458" s="53"/>
      <x:c r="AB458" s="53"/>
      <x:c r="AC458" s="53"/>
      <x:c r="AD458" s="53"/>
      <x:c r="AE458" s="53"/>
      <x:c r="AF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  <x:c r="AA459" s="53"/>
      <x:c r="AB459" s="53"/>
      <x:c r="AC459" s="53"/>
      <x:c r="AD459" s="53"/>
      <x:c r="AE459" s="53"/>
      <x:c r="AF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  <x:c r="AA460" s="53"/>
      <x:c r="AB460" s="53"/>
      <x:c r="AC460" s="53"/>
      <x:c r="AD460" s="53"/>
      <x:c r="AE460" s="53"/>
      <x:c r="AF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  <x:c r="AA461" s="53"/>
      <x:c r="AB461" s="53"/>
      <x:c r="AC461" s="53"/>
      <x:c r="AD461" s="53"/>
      <x:c r="AE461" s="53"/>
      <x:c r="AF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  <x:c r="AA462" s="53"/>
      <x:c r="AB462" s="53"/>
      <x:c r="AC462" s="53"/>
      <x:c r="AD462" s="53"/>
      <x:c r="AE462" s="53"/>
      <x:c r="AF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  <x:c r="AA463" s="53"/>
      <x:c r="AB463" s="53"/>
      <x:c r="AC463" s="53"/>
      <x:c r="AD463" s="53"/>
      <x:c r="AE463" s="53"/>
      <x:c r="AF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  <x:c r="AA464" s="53"/>
      <x:c r="AB464" s="53"/>
      <x:c r="AC464" s="53"/>
      <x:c r="AD464" s="53"/>
      <x:c r="AE464" s="53"/>
      <x:c r="AF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  <x:c r="AA465" s="53"/>
      <x:c r="AB465" s="53"/>
      <x:c r="AC465" s="53"/>
      <x:c r="AD465" s="53"/>
      <x:c r="AE465" s="53"/>
      <x:c r="AF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  <x:c r="AA466" s="53"/>
      <x:c r="AB466" s="53"/>
      <x:c r="AC466" s="53"/>
      <x:c r="AD466" s="53"/>
      <x:c r="AE466" s="53"/>
      <x:c r="AF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  <x:c r="AA467" s="53"/>
      <x:c r="AB467" s="53"/>
      <x:c r="AC467" s="53"/>
      <x:c r="AD467" s="53"/>
      <x:c r="AE467" s="53"/>
      <x:c r="AF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  <x:c r="AA468" s="53"/>
      <x:c r="AB468" s="53"/>
      <x:c r="AC468" s="53"/>
      <x:c r="AD468" s="53"/>
      <x:c r="AE468" s="53"/>
      <x:c r="AF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  <x:c r="AA469" s="53"/>
      <x:c r="AB469" s="53"/>
      <x:c r="AC469" s="53"/>
      <x:c r="AD469" s="53"/>
      <x:c r="AE469" s="53"/>
      <x:c r="AF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  <x:c r="AA470" s="53"/>
      <x:c r="AB470" s="53"/>
      <x:c r="AC470" s="53"/>
      <x:c r="AD470" s="53"/>
      <x:c r="AE470" s="53"/>
      <x:c r="AF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  <x:c r="AA471" s="53"/>
      <x:c r="AB471" s="53"/>
      <x:c r="AC471" s="53"/>
      <x:c r="AD471" s="53"/>
      <x:c r="AE471" s="53"/>
      <x:c r="AF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  <x:c r="AA472" s="53"/>
      <x:c r="AB472" s="53"/>
      <x:c r="AC472" s="53"/>
      <x:c r="AD472" s="53"/>
      <x:c r="AE472" s="53"/>
      <x:c r="AF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  <x:c r="AA473" s="53"/>
      <x:c r="AB473" s="53"/>
      <x:c r="AC473" s="53"/>
      <x:c r="AD473" s="53"/>
      <x:c r="AE473" s="53"/>
      <x:c r="AF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  <x:c r="AA474" s="53"/>
      <x:c r="AB474" s="53"/>
      <x:c r="AC474" s="53"/>
      <x:c r="AD474" s="53"/>
      <x:c r="AE474" s="53"/>
      <x:c r="AF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  <x:c r="AA475" s="53"/>
      <x:c r="AB475" s="53"/>
      <x:c r="AC475" s="53"/>
      <x:c r="AD475" s="53"/>
      <x:c r="AE475" s="53"/>
      <x:c r="AF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  <x:c r="AA476" s="53"/>
      <x:c r="AB476" s="53"/>
      <x:c r="AC476" s="53"/>
      <x:c r="AD476" s="53"/>
      <x:c r="AE476" s="53"/>
      <x:c r="AF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  <x:c r="AA477" s="53"/>
      <x:c r="AB477" s="53"/>
      <x:c r="AC477" s="53"/>
      <x:c r="AD477" s="53"/>
      <x:c r="AE477" s="53"/>
      <x:c r="AF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  <x:c r="AA478" s="53"/>
      <x:c r="AB478" s="53"/>
      <x:c r="AC478" s="53"/>
      <x:c r="AD478" s="53"/>
      <x:c r="AE478" s="53"/>
      <x:c r="AF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  <x:c r="AA479" s="53"/>
      <x:c r="AB479" s="53"/>
      <x:c r="AC479" s="53"/>
      <x:c r="AD479" s="53"/>
      <x:c r="AE479" s="53"/>
      <x:c r="AF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  <x:c r="AA480" s="53"/>
      <x:c r="AB480" s="53"/>
      <x:c r="AC480" s="53"/>
      <x:c r="AD480" s="53"/>
      <x:c r="AE480" s="53"/>
      <x:c r="AF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  <x:c r="AA481" s="53"/>
      <x:c r="AB481" s="53"/>
      <x:c r="AC481" s="53"/>
      <x:c r="AD481" s="53"/>
      <x:c r="AE481" s="53"/>
      <x:c r="AF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  <x:c r="AA482" s="53"/>
      <x:c r="AB482" s="53"/>
      <x:c r="AC482" s="53"/>
      <x:c r="AD482" s="53"/>
      <x:c r="AE482" s="53"/>
      <x:c r="AF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  <x:c r="AA483" s="53"/>
      <x:c r="AB483" s="53"/>
      <x:c r="AC483" s="53"/>
      <x:c r="AD483" s="53"/>
      <x:c r="AE483" s="53"/>
      <x:c r="AF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  <x:c r="AA484" s="53"/>
      <x:c r="AB484" s="53"/>
      <x:c r="AC484" s="53"/>
      <x:c r="AD484" s="53"/>
      <x:c r="AE484" s="53"/>
      <x:c r="AF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  <x:c r="AA485" s="53"/>
      <x:c r="AB485" s="53"/>
      <x:c r="AC485" s="53"/>
      <x:c r="AD485" s="53"/>
      <x:c r="AE485" s="53"/>
      <x:c r="AF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  <x:c r="AA486" s="53"/>
      <x:c r="AB486" s="53"/>
      <x:c r="AC486" s="53"/>
      <x:c r="AD486" s="53"/>
      <x:c r="AE486" s="53"/>
      <x:c r="AF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  <x:c r="AA487" s="53"/>
      <x:c r="AB487" s="53"/>
      <x:c r="AC487" s="53"/>
      <x:c r="AD487" s="53"/>
      <x:c r="AE487" s="53"/>
      <x:c r="AF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  <x:c r="AA488" s="53"/>
      <x:c r="AB488" s="53"/>
      <x:c r="AC488" s="53"/>
      <x:c r="AD488" s="53"/>
      <x:c r="AE488" s="53"/>
      <x:c r="AF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  <x:c r="AA489" s="53"/>
      <x:c r="AB489" s="53"/>
      <x:c r="AC489" s="53"/>
      <x:c r="AD489" s="53"/>
      <x:c r="AE489" s="53"/>
      <x:c r="AF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  <x:c r="AA490" s="53"/>
      <x:c r="AB490" s="53"/>
      <x:c r="AC490" s="53"/>
      <x:c r="AD490" s="53"/>
      <x:c r="AE490" s="53"/>
      <x:c r="AF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  <x:c r="AA491" s="53"/>
      <x:c r="AB491" s="53"/>
      <x:c r="AC491" s="53"/>
      <x:c r="AD491" s="53"/>
      <x:c r="AE491" s="53"/>
      <x:c r="AF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  <x:c r="AA492" s="53"/>
      <x:c r="AB492" s="53"/>
      <x:c r="AC492" s="53"/>
      <x:c r="AD492" s="53"/>
      <x:c r="AE492" s="53"/>
      <x:c r="AF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  <x:c r="AA493" s="53"/>
      <x:c r="AB493" s="53"/>
      <x:c r="AC493" s="53"/>
      <x:c r="AD493" s="53"/>
      <x:c r="AE493" s="53"/>
      <x:c r="AF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  <x:c r="AA494" s="53"/>
      <x:c r="AB494" s="53"/>
      <x:c r="AC494" s="53"/>
      <x:c r="AD494" s="53"/>
      <x:c r="AE494" s="53"/>
      <x:c r="AF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  <x:c r="AA495" s="53"/>
      <x:c r="AB495" s="53"/>
      <x:c r="AC495" s="53"/>
      <x:c r="AD495" s="53"/>
      <x:c r="AE495" s="53"/>
      <x:c r="AF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  <x:c r="AA496" s="53"/>
      <x:c r="AB496" s="53"/>
      <x:c r="AC496" s="53"/>
      <x:c r="AD496" s="53"/>
      <x:c r="AE496" s="53"/>
      <x:c r="AF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  <x:c r="AA497" s="53"/>
      <x:c r="AB497" s="53"/>
      <x:c r="AC497" s="53"/>
      <x:c r="AD497" s="53"/>
      <x:c r="AE497" s="53"/>
      <x:c r="AF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  <x:c r="AA498" s="53"/>
      <x:c r="AB498" s="53"/>
      <x:c r="AC498" s="53"/>
      <x:c r="AD498" s="53"/>
      <x:c r="AE498" s="53"/>
      <x:c r="AF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  <x:c r="AA499" s="53"/>
      <x:c r="AB499" s="53"/>
      <x:c r="AC499" s="53"/>
      <x:c r="AD499" s="53"/>
      <x:c r="AE499" s="53"/>
      <x:c r="AF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  <x:c r="AA500" s="53"/>
      <x:c r="AB500" s="53"/>
      <x:c r="AC500" s="53"/>
      <x:c r="AD500" s="53"/>
      <x:c r="AE500" s="53"/>
      <x:c r="AF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  <x:c r="AA501" s="53"/>
      <x:c r="AB501" s="53"/>
      <x:c r="AC501" s="53"/>
      <x:c r="AD501" s="53"/>
      <x:c r="AE501" s="53"/>
      <x:c r="AF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  <x:c r="AA502" s="53"/>
      <x:c r="AB502" s="53"/>
      <x:c r="AC502" s="53"/>
      <x:c r="AD502" s="53"/>
      <x:c r="AE502" s="53"/>
      <x:c r="AF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  <x:c r="AA503" s="53"/>
      <x:c r="AB503" s="53"/>
      <x:c r="AC503" s="53"/>
      <x:c r="AD503" s="53"/>
      <x:c r="AE503" s="53"/>
      <x:c r="AF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  <x:c r="AA504" s="53"/>
      <x:c r="AB504" s="53"/>
      <x:c r="AC504" s="53"/>
      <x:c r="AD504" s="53"/>
      <x:c r="AE504" s="53"/>
      <x:c r="AF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  <x:c r="AA505" s="53"/>
      <x:c r="AB505" s="53"/>
      <x:c r="AC505" s="53"/>
      <x:c r="AD505" s="53"/>
      <x:c r="AE505" s="53"/>
      <x:c r="AF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  <x:c r="AA506" s="53"/>
      <x:c r="AB506" s="53"/>
      <x:c r="AC506" s="53"/>
      <x:c r="AD506" s="53"/>
      <x:c r="AE506" s="53"/>
      <x:c r="AF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  <x:c r="AA507" s="53"/>
      <x:c r="AB507" s="53"/>
      <x:c r="AC507" s="53"/>
      <x:c r="AD507" s="53"/>
      <x:c r="AE507" s="53"/>
      <x:c r="AF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  <x:c r="AA508" s="53"/>
      <x:c r="AB508" s="53"/>
      <x:c r="AC508" s="53"/>
      <x:c r="AD508" s="53"/>
      <x:c r="AE508" s="53"/>
      <x:c r="AF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  <x:c r="AA509" s="53"/>
      <x:c r="AB509" s="53"/>
      <x:c r="AC509" s="53"/>
      <x:c r="AD509" s="53"/>
      <x:c r="AE509" s="53"/>
      <x:c r="AF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  <x:c r="AA510" s="53"/>
      <x:c r="AB510" s="53"/>
      <x:c r="AC510" s="53"/>
      <x:c r="AD510" s="53"/>
      <x:c r="AE510" s="53"/>
      <x:c r="AF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  <x:c r="AA511" s="53"/>
      <x:c r="AB511" s="53"/>
      <x:c r="AC511" s="53"/>
      <x:c r="AD511" s="53"/>
      <x:c r="AE511" s="53"/>
      <x:c r="AF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  <x:c r="AA512" s="53"/>
      <x:c r="AB512" s="53"/>
      <x:c r="AC512" s="53"/>
      <x:c r="AD512" s="53"/>
      <x:c r="AE512" s="53"/>
      <x:c r="AF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  <x:c r="AA513" s="53"/>
      <x:c r="AB513" s="53"/>
      <x:c r="AC513" s="53"/>
      <x:c r="AD513" s="53"/>
      <x:c r="AE513" s="53"/>
      <x:c r="AF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  <x:c r="AA514" s="53"/>
      <x:c r="AB514" s="53"/>
      <x:c r="AC514" s="53"/>
      <x:c r="AD514" s="53"/>
      <x:c r="AE514" s="53"/>
      <x:c r="AF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  <x:c r="AA515" s="53"/>
      <x:c r="AB515" s="53"/>
      <x:c r="AC515" s="53"/>
      <x:c r="AD515" s="53"/>
      <x:c r="AE515" s="53"/>
      <x:c r="AF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  <x:c r="AA516" s="53"/>
      <x:c r="AB516" s="53"/>
      <x:c r="AC516" s="53"/>
      <x:c r="AD516" s="53"/>
      <x:c r="AE516" s="53"/>
      <x:c r="AF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  <x:c r="AA517" s="53"/>
      <x:c r="AB517" s="53"/>
      <x:c r="AC517" s="53"/>
      <x:c r="AD517" s="53"/>
      <x:c r="AE517" s="53"/>
      <x:c r="AF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  <x:c r="AA518" s="53"/>
      <x:c r="AB518" s="53"/>
      <x:c r="AC518" s="53"/>
      <x:c r="AD518" s="53"/>
      <x:c r="AE518" s="53"/>
      <x:c r="AF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  <x:c r="AA519" s="53"/>
      <x:c r="AB519" s="53"/>
      <x:c r="AC519" s="53"/>
      <x:c r="AD519" s="53"/>
      <x:c r="AE519" s="53"/>
      <x:c r="AF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  <x:c r="AA520" s="53"/>
      <x:c r="AB520" s="53"/>
      <x:c r="AC520" s="53"/>
      <x:c r="AD520" s="53"/>
      <x:c r="AE520" s="53"/>
      <x:c r="AF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  <x:c r="AA521" s="53"/>
      <x:c r="AB521" s="53"/>
      <x:c r="AC521" s="53"/>
      <x:c r="AD521" s="53"/>
      <x:c r="AE521" s="53"/>
      <x:c r="AF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  <x:c r="AA522" s="53"/>
      <x:c r="AB522" s="53"/>
      <x:c r="AC522" s="53"/>
      <x:c r="AD522" s="53"/>
      <x:c r="AE522" s="53"/>
      <x:c r="AF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  <x:c r="AA523" s="53"/>
      <x:c r="AB523" s="53"/>
      <x:c r="AC523" s="53"/>
      <x:c r="AD523" s="53"/>
      <x:c r="AE523" s="53"/>
      <x:c r="AF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  <x:c r="AA524" s="53"/>
      <x:c r="AB524" s="53"/>
      <x:c r="AC524" s="53"/>
      <x:c r="AD524" s="53"/>
      <x:c r="AE524" s="53"/>
      <x:c r="AF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  <x:c r="AA525" s="53"/>
      <x:c r="AB525" s="53"/>
      <x:c r="AC525" s="53"/>
      <x:c r="AD525" s="53"/>
      <x:c r="AE525" s="53"/>
      <x:c r="AF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  <x:c r="AA526" s="53"/>
      <x:c r="AB526" s="53"/>
      <x:c r="AC526" s="53"/>
      <x:c r="AD526" s="53"/>
      <x:c r="AE526" s="53"/>
      <x:c r="AF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  <x:c r="AA527" s="53"/>
      <x:c r="AB527" s="53"/>
      <x:c r="AC527" s="53"/>
      <x:c r="AD527" s="53"/>
      <x:c r="AE527" s="53"/>
      <x:c r="AF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  <x:c r="AA528" s="53"/>
      <x:c r="AB528" s="53"/>
      <x:c r="AC528" s="53"/>
      <x:c r="AD528" s="53"/>
      <x:c r="AE528" s="53"/>
      <x:c r="AF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  <x:c r="AA529" s="53"/>
      <x:c r="AB529" s="53"/>
      <x:c r="AC529" s="53"/>
      <x:c r="AD529" s="53"/>
      <x:c r="AE529" s="53"/>
      <x:c r="AF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  <x:c r="AA530" s="53"/>
      <x:c r="AB530" s="53"/>
      <x:c r="AC530" s="53"/>
      <x:c r="AD530" s="53"/>
      <x:c r="AE530" s="53"/>
      <x:c r="AF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  <x:c r="AA531" s="53"/>
      <x:c r="AB531" s="53"/>
      <x:c r="AC531" s="53"/>
      <x:c r="AD531" s="53"/>
      <x:c r="AE531" s="53"/>
      <x:c r="AF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  <x:c r="AA532" s="53"/>
      <x:c r="AB532" s="53"/>
      <x:c r="AC532" s="53"/>
      <x:c r="AD532" s="53"/>
      <x:c r="AE532" s="53"/>
      <x:c r="AF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  <x:c r="AA533" s="53"/>
      <x:c r="AB533" s="53"/>
      <x:c r="AC533" s="53"/>
      <x:c r="AD533" s="53"/>
      <x:c r="AE533" s="53"/>
      <x:c r="AF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  <x:c r="AA534" s="53"/>
      <x:c r="AB534" s="53"/>
      <x:c r="AC534" s="53"/>
      <x:c r="AD534" s="53"/>
      <x:c r="AE534" s="53"/>
      <x:c r="AF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  <x:c r="AA535" s="53"/>
      <x:c r="AB535" s="53"/>
      <x:c r="AC535" s="53"/>
      <x:c r="AD535" s="53"/>
      <x:c r="AE535" s="53"/>
      <x:c r="AF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  <x:c r="AA536" s="53"/>
      <x:c r="AB536" s="53"/>
      <x:c r="AC536" s="53"/>
      <x:c r="AD536" s="53"/>
      <x:c r="AE536" s="53"/>
      <x:c r="AF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  <x:c r="AA537" s="53"/>
      <x:c r="AB537" s="53"/>
      <x:c r="AC537" s="53"/>
      <x:c r="AD537" s="53"/>
      <x:c r="AE537" s="53"/>
      <x:c r="AF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  <x:c r="AA538" s="53"/>
      <x:c r="AB538" s="53"/>
      <x:c r="AC538" s="53"/>
      <x:c r="AD538" s="53"/>
      <x:c r="AE538" s="53"/>
      <x:c r="AF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  <x:c r="AA539" s="53"/>
      <x:c r="AB539" s="53"/>
      <x:c r="AC539" s="53"/>
      <x:c r="AD539" s="53"/>
      <x:c r="AE539" s="53"/>
      <x:c r="AF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  <x:c r="AA540" s="53"/>
      <x:c r="AB540" s="53"/>
      <x:c r="AC540" s="53"/>
      <x:c r="AD540" s="53"/>
      <x:c r="AE540" s="53"/>
      <x:c r="AF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  <x:c r="AA541" s="53"/>
      <x:c r="AB541" s="53"/>
      <x:c r="AC541" s="53"/>
      <x:c r="AD541" s="53"/>
      <x:c r="AE541" s="53"/>
      <x:c r="AF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  <x:c r="AA542" s="53"/>
      <x:c r="AB542" s="53"/>
      <x:c r="AC542" s="53"/>
      <x:c r="AD542" s="53"/>
      <x:c r="AE542" s="53"/>
      <x:c r="AF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  <x:c r="AA543" s="53"/>
      <x:c r="AB543" s="53"/>
      <x:c r="AC543" s="53"/>
      <x:c r="AD543" s="53"/>
      <x:c r="AE543" s="53"/>
      <x:c r="AF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  <x:c r="AA544" s="53"/>
      <x:c r="AB544" s="53"/>
      <x:c r="AC544" s="53"/>
      <x:c r="AD544" s="53"/>
      <x:c r="AE544" s="53"/>
      <x:c r="AF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  <x:c r="AA545" s="53"/>
      <x:c r="AB545" s="53"/>
      <x:c r="AC545" s="53"/>
      <x:c r="AD545" s="53"/>
      <x:c r="AE545" s="53"/>
      <x:c r="AF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  <x:c r="AA546" s="53"/>
      <x:c r="AB546" s="53"/>
      <x:c r="AC546" s="53"/>
      <x:c r="AD546" s="53"/>
      <x:c r="AE546" s="53"/>
      <x:c r="AF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  <x:c r="AA547" s="53"/>
      <x:c r="AB547" s="53"/>
      <x:c r="AC547" s="53"/>
      <x:c r="AD547" s="53"/>
      <x:c r="AE547" s="53"/>
      <x:c r="AF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  <x:c r="AA548" s="53"/>
      <x:c r="AB548" s="53"/>
      <x:c r="AC548" s="53"/>
      <x:c r="AD548" s="53"/>
      <x:c r="AE548" s="53"/>
      <x:c r="AF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  <x:c r="AA549" s="53"/>
      <x:c r="AB549" s="53"/>
      <x:c r="AC549" s="53"/>
      <x:c r="AD549" s="53"/>
      <x:c r="AE549" s="53"/>
      <x:c r="AF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  <x:c r="AA550" s="53"/>
      <x:c r="AB550" s="53"/>
      <x:c r="AC550" s="53"/>
      <x:c r="AD550" s="53"/>
      <x:c r="AE550" s="53"/>
      <x:c r="AF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  <x:c r="AA551" s="53"/>
      <x:c r="AB551" s="53"/>
      <x:c r="AC551" s="53"/>
      <x:c r="AD551" s="53"/>
      <x:c r="AE551" s="53"/>
      <x:c r="AF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  <x:c r="AA552" s="53"/>
      <x:c r="AB552" s="53"/>
      <x:c r="AC552" s="53"/>
      <x:c r="AD552" s="53"/>
      <x:c r="AE552" s="53"/>
      <x:c r="AF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  <x:c r="AA553" s="53"/>
      <x:c r="AB553" s="53"/>
      <x:c r="AC553" s="53"/>
      <x:c r="AD553" s="53"/>
      <x:c r="AE553" s="53"/>
      <x:c r="AF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  <x:c r="AA554" s="53"/>
      <x:c r="AB554" s="53"/>
      <x:c r="AC554" s="53"/>
      <x:c r="AD554" s="53"/>
      <x:c r="AE554" s="53"/>
      <x:c r="AF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  <x:c r="AA555" s="53"/>
      <x:c r="AB555" s="53"/>
      <x:c r="AC555" s="53"/>
      <x:c r="AD555" s="53"/>
      <x:c r="AE555" s="53"/>
      <x:c r="AF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  <x:c r="AA556" s="53"/>
      <x:c r="AB556" s="53"/>
      <x:c r="AC556" s="53"/>
      <x:c r="AD556" s="53"/>
      <x:c r="AE556" s="53"/>
      <x:c r="AF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  <x:c r="AA557" s="53"/>
      <x:c r="AB557" s="53"/>
      <x:c r="AC557" s="53"/>
      <x:c r="AD557" s="53"/>
      <x:c r="AE557" s="53"/>
      <x:c r="AF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  <x:c r="AA558" s="53"/>
      <x:c r="AB558" s="53"/>
      <x:c r="AC558" s="53"/>
      <x:c r="AD558" s="53"/>
      <x:c r="AE558" s="53"/>
      <x:c r="AF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  <x:c r="AA559" s="53"/>
      <x:c r="AB559" s="53"/>
      <x:c r="AC559" s="53"/>
      <x:c r="AD559" s="53"/>
      <x:c r="AE559" s="53"/>
      <x:c r="AF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  <x:c r="AA560" s="53"/>
      <x:c r="AB560" s="53"/>
      <x:c r="AC560" s="53"/>
      <x:c r="AD560" s="53"/>
      <x:c r="AE560" s="53"/>
      <x:c r="AF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  <x:c r="AA561" s="53"/>
      <x:c r="AB561" s="53"/>
      <x:c r="AC561" s="53"/>
      <x:c r="AD561" s="53"/>
      <x:c r="AE561" s="53"/>
      <x:c r="AF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  <x:c r="AA562" s="53"/>
      <x:c r="AB562" s="53"/>
      <x:c r="AC562" s="53"/>
      <x:c r="AD562" s="53"/>
      <x:c r="AE562" s="53"/>
      <x:c r="AF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  <x:c r="AA563" s="53"/>
      <x:c r="AB563" s="53"/>
      <x:c r="AC563" s="53"/>
      <x:c r="AD563" s="53"/>
      <x:c r="AE563" s="53"/>
      <x:c r="AF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  <x:c r="AA564" s="53"/>
      <x:c r="AB564" s="53"/>
      <x:c r="AC564" s="53"/>
      <x:c r="AD564" s="53"/>
      <x:c r="AE564" s="53"/>
      <x:c r="AF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  <x:c r="AA565" s="53"/>
      <x:c r="AB565" s="53"/>
      <x:c r="AC565" s="53"/>
      <x:c r="AD565" s="53"/>
      <x:c r="AE565" s="53"/>
      <x:c r="AF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  <x:c r="AA566" s="53"/>
      <x:c r="AB566" s="53"/>
      <x:c r="AC566" s="53"/>
      <x:c r="AD566" s="53"/>
      <x:c r="AE566" s="53"/>
      <x:c r="AF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  <x:c r="AA567" s="53"/>
      <x:c r="AB567" s="53"/>
      <x:c r="AC567" s="53"/>
      <x:c r="AD567" s="53"/>
      <x:c r="AE567" s="53"/>
      <x:c r="AF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  <x:c r="AA568" s="53"/>
      <x:c r="AB568" s="53"/>
      <x:c r="AC568" s="53"/>
      <x:c r="AD568" s="53"/>
      <x:c r="AE568" s="53"/>
      <x:c r="AF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  <x:c r="AA569" s="53"/>
      <x:c r="AB569" s="53"/>
      <x:c r="AC569" s="53"/>
      <x:c r="AD569" s="53"/>
      <x:c r="AE569" s="53"/>
      <x:c r="AF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  <x:c r="AA570" s="53"/>
      <x:c r="AB570" s="53"/>
      <x:c r="AC570" s="53"/>
      <x:c r="AD570" s="53"/>
      <x:c r="AE570" s="53"/>
      <x:c r="AF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  <x:c r="AA571" s="53"/>
      <x:c r="AB571" s="53"/>
      <x:c r="AC571" s="53"/>
      <x:c r="AD571" s="53"/>
      <x:c r="AE571" s="53"/>
      <x:c r="AF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  <x:c r="AA572" s="53"/>
      <x:c r="AB572" s="53"/>
      <x:c r="AC572" s="53"/>
      <x:c r="AD572" s="53"/>
      <x:c r="AE572" s="53"/>
      <x:c r="AF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  <x:c r="AA573" s="53"/>
      <x:c r="AB573" s="53"/>
      <x:c r="AC573" s="53"/>
      <x:c r="AD573" s="53"/>
      <x:c r="AE573" s="53"/>
      <x:c r="AF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  <x:c r="AA574" s="53"/>
      <x:c r="AB574" s="53"/>
      <x:c r="AC574" s="53"/>
      <x:c r="AD574" s="53"/>
      <x:c r="AE574" s="53"/>
      <x:c r="AF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  <x:c r="AA575" s="53"/>
      <x:c r="AB575" s="53"/>
      <x:c r="AC575" s="53"/>
      <x:c r="AD575" s="53"/>
      <x:c r="AE575" s="53"/>
      <x:c r="AF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  <x:c r="AA576" s="53"/>
      <x:c r="AB576" s="53"/>
      <x:c r="AC576" s="53"/>
      <x:c r="AD576" s="53"/>
      <x:c r="AE576" s="53"/>
      <x:c r="AF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  <x:c r="AA577" s="53"/>
      <x:c r="AB577" s="53"/>
      <x:c r="AC577" s="53"/>
      <x:c r="AD577" s="53"/>
      <x:c r="AE577" s="53"/>
      <x:c r="AF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  <x:c r="AA578" s="53"/>
      <x:c r="AB578" s="53"/>
      <x:c r="AC578" s="53"/>
      <x:c r="AD578" s="53"/>
      <x:c r="AE578" s="53"/>
      <x:c r="AF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  <x:c r="AA579" s="53"/>
      <x:c r="AB579" s="53"/>
      <x:c r="AC579" s="53"/>
      <x:c r="AD579" s="53"/>
      <x:c r="AE579" s="53"/>
      <x:c r="AF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  <x:c r="AA580" s="53"/>
      <x:c r="AB580" s="53"/>
      <x:c r="AC580" s="53"/>
      <x:c r="AD580" s="53"/>
      <x:c r="AE580" s="53"/>
      <x:c r="AF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  <x:c r="AA581" s="53"/>
      <x:c r="AB581" s="53"/>
      <x:c r="AC581" s="53"/>
      <x:c r="AD581" s="53"/>
      <x:c r="AE581" s="53"/>
      <x:c r="AF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  <x:c r="AA582" s="53"/>
      <x:c r="AB582" s="53"/>
      <x:c r="AC582" s="53"/>
      <x:c r="AD582" s="53"/>
      <x:c r="AE582" s="53"/>
      <x:c r="AF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  <x:c r="AA583" s="53"/>
      <x:c r="AB583" s="53"/>
      <x:c r="AC583" s="53"/>
      <x:c r="AD583" s="53"/>
      <x:c r="AE583" s="53"/>
      <x:c r="AF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  <x:c r="AA584" s="53"/>
      <x:c r="AB584" s="53"/>
      <x:c r="AC584" s="53"/>
      <x:c r="AD584" s="53"/>
      <x:c r="AE584" s="53"/>
      <x:c r="AF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  <x:c r="AA585" s="53"/>
      <x:c r="AB585" s="53"/>
      <x:c r="AC585" s="53"/>
      <x:c r="AD585" s="53"/>
      <x:c r="AE585" s="53"/>
      <x:c r="AF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  <x:c r="AA586" s="53"/>
      <x:c r="AB586" s="53"/>
      <x:c r="AC586" s="53"/>
      <x:c r="AD586" s="53"/>
      <x:c r="AE586" s="53"/>
      <x:c r="AF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  <x:c r="AA587" s="53"/>
      <x:c r="AB587" s="53"/>
      <x:c r="AC587" s="53"/>
      <x:c r="AD587" s="53"/>
      <x:c r="AE587" s="53"/>
      <x:c r="AF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  <x:c r="AA588" s="53"/>
      <x:c r="AB588" s="53"/>
      <x:c r="AC588" s="53"/>
      <x:c r="AD588" s="53"/>
      <x:c r="AE588" s="53"/>
      <x:c r="AF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  <x:c r="AA589" s="53"/>
      <x:c r="AB589" s="53"/>
      <x:c r="AC589" s="53"/>
      <x:c r="AD589" s="53"/>
      <x:c r="AE589" s="53"/>
      <x:c r="AF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  <x:c r="AA590" s="53"/>
      <x:c r="AB590" s="53"/>
      <x:c r="AC590" s="53"/>
      <x:c r="AD590" s="53"/>
      <x:c r="AE590" s="53"/>
      <x:c r="AF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  <x:c r="AA591" s="53"/>
      <x:c r="AB591" s="53"/>
      <x:c r="AC591" s="53"/>
      <x:c r="AD591" s="53"/>
      <x:c r="AE591" s="53"/>
      <x:c r="AF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  <x:c r="AA592" s="53"/>
      <x:c r="AB592" s="53"/>
      <x:c r="AC592" s="53"/>
      <x:c r="AD592" s="53"/>
      <x:c r="AE592" s="53"/>
      <x:c r="AF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  <x:c r="AA593" s="53"/>
      <x:c r="AB593" s="53"/>
      <x:c r="AC593" s="53"/>
      <x:c r="AD593" s="53"/>
      <x:c r="AE593" s="53"/>
      <x:c r="AF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  <x:c r="AA594" s="53"/>
      <x:c r="AB594" s="53"/>
      <x:c r="AC594" s="53"/>
      <x:c r="AD594" s="53"/>
      <x:c r="AE594" s="53"/>
      <x:c r="AF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  <x:c r="AA595" s="53"/>
      <x:c r="AB595" s="53"/>
      <x:c r="AC595" s="53"/>
      <x:c r="AD595" s="53"/>
      <x:c r="AE595" s="53"/>
      <x:c r="AF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  <x:c r="AA596" s="53"/>
      <x:c r="AB596" s="53"/>
      <x:c r="AC596" s="53"/>
      <x:c r="AD596" s="53"/>
      <x:c r="AE596" s="53"/>
      <x:c r="AF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  <x:c r="AA597" s="53"/>
      <x:c r="AB597" s="53"/>
      <x:c r="AC597" s="53"/>
      <x:c r="AD597" s="53"/>
      <x:c r="AE597" s="53"/>
      <x:c r="AF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  <x:c r="AA598" s="53"/>
      <x:c r="AB598" s="53"/>
      <x:c r="AC598" s="53"/>
      <x:c r="AD598" s="53"/>
      <x:c r="AE598" s="53"/>
      <x:c r="AF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  <x:c r="AA599" s="53"/>
      <x:c r="AB599" s="53"/>
      <x:c r="AC599" s="53"/>
      <x:c r="AD599" s="53"/>
      <x:c r="AE599" s="53"/>
      <x:c r="AF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  <x:c r="AA600" s="53"/>
      <x:c r="AB600" s="53"/>
      <x:c r="AC600" s="53"/>
      <x:c r="AD600" s="53"/>
      <x:c r="AE600" s="53"/>
      <x:c r="AF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  <x:c r="AA601" s="53"/>
      <x:c r="AB601" s="53"/>
      <x:c r="AC601" s="53"/>
      <x:c r="AD601" s="53"/>
      <x:c r="AE601" s="53"/>
      <x:c r="AF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  <x:c r="AA602" s="53"/>
      <x:c r="AB602" s="53"/>
      <x:c r="AC602" s="53"/>
      <x:c r="AD602" s="53"/>
      <x:c r="AE602" s="53"/>
      <x:c r="AF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  <x:c r="AA603" s="53"/>
      <x:c r="AB603" s="53"/>
      <x:c r="AC603" s="53"/>
      <x:c r="AD603" s="53"/>
      <x:c r="AE603" s="53"/>
      <x:c r="AF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  <x:c r="AA604" s="53"/>
      <x:c r="AB604" s="53"/>
      <x:c r="AC604" s="53"/>
      <x:c r="AD604" s="53"/>
      <x:c r="AE604" s="53"/>
      <x:c r="AF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  <x:c r="AA605" s="53"/>
      <x:c r="AB605" s="53"/>
      <x:c r="AC605" s="53"/>
      <x:c r="AD605" s="53"/>
      <x:c r="AE605" s="53"/>
      <x:c r="AF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  <x:c r="AA606" s="53"/>
      <x:c r="AB606" s="53"/>
      <x:c r="AC606" s="53"/>
      <x:c r="AD606" s="53"/>
      <x:c r="AE606" s="53"/>
      <x:c r="AF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  <x:c r="AA607" s="53"/>
      <x:c r="AB607" s="53"/>
      <x:c r="AC607" s="53"/>
      <x:c r="AD607" s="53"/>
      <x:c r="AE607" s="53"/>
      <x:c r="AF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  <x:c r="AA608" s="53"/>
      <x:c r="AB608" s="53"/>
      <x:c r="AC608" s="53"/>
      <x:c r="AD608" s="53"/>
      <x:c r="AE608" s="53"/>
      <x:c r="AF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  <x:c r="AA609" s="53"/>
      <x:c r="AB609" s="53"/>
      <x:c r="AC609" s="53"/>
      <x:c r="AD609" s="53"/>
      <x:c r="AE609" s="53"/>
      <x:c r="AF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  <x:c r="AA610" s="53"/>
      <x:c r="AB610" s="53"/>
      <x:c r="AC610" s="53"/>
      <x:c r="AD610" s="53"/>
      <x:c r="AE610" s="53"/>
      <x:c r="AF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  <x:c r="AA611" s="53"/>
      <x:c r="AB611" s="53"/>
      <x:c r="AC611" s="53"/>
      <x:c r="AD611" s="53"/>
      <x:c r="AE611" s="53"/>
      <x:c r="AF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  <x:c r="AA612" s="53"/>
      <x:c r="AB612" s="53"/>
      <x:c r="AC612" s="53"/>
      <x:c r="AD612" s="53"/>
      <x:c r="AE612" s="53"/>
      <x:c r="AF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  <x:c r="AA613" s="53"/>
      <x:c r="AB613" s="53"/>
      <x:c r="AC613" s="53"/>
      <x:c r="AD613" s="53"/>
      <x:c r="AE613" s="53"/>
      <x:c r="AF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  <x:c r="AA614" s="53"/>
      <x:c r="AB614" s="53"/>
      <x:c r="AC614" s="53"/>
      <x:c r="AD614" s="53"/>
      <x:c r="AE614" s="53"/>
      <x:c r="AF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  <x:c r="AA615" s="53"/>
      <x:c r="AB615" s="53"/>
      <x:c r="AC615" s="53"/>
      <x:c r="AD615" s="53"/>
      <x:c r="AE615" s="53"/>
      <x:c r="AF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  <x:c r="AA616" s="53"/>
      <x:c r="AB616" s="53"/>
      <x:c r="AC616" s="53"/>
      <x:c r="AD616" s="53"/>
      <x:c r="AE616" s="53"/>
      <x:c r="AF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  <x:c r="AA617" s="53"/>
      <x:c r="AB617" s="53"/>
      <x:c r="AC617" s="53"/>
      <x:c r="AD617" s="53"/>
      <x:c r="AE617" s="53"/>
      <x:c r="AF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  <x:c r="AA618" s="53"/>
      <x:c r="AB618" s="53"/>
      <x:c r="AC618" s="53"/>
      <x:c r="AD618" s="53"/>
      <x:c r="AE618" s="53"/>
      <x:c r="AF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  <x:c r="AA619" s="53"/>
      <x:c r="AB619" s="53"/>
      <x:c r="AC619" s="53"/>
      <x:c r="AD619" s="53"/>
      <x:c r="AE619" s="53"/>
      <x:c r="AF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  <x:c r="AA620" s="53"/>
      <x:c r="AB620" s="53"/>
      <x:c r="AC620" s="53"/>
      <x:c r="AD620" s="53"/>
      <x:c r="AE620" s="53"/>
      <x:c r="AF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  <x:c r="AA621" s="53"/>
      <x:c r="AB621" s="53"/>
      <x:c r="AC621" s="53"/>
      <x:c r="AD621" s="53"/>
      <x:c r="AE621" s="53"/>
      <x:c r="AF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  <x:c r="AA622" s="53"/>
      <x:c r="AB622" s="53"/>
      <x:c r="AC622" s="53"/>
      <x:c r="AD622" s="53"/>
      <x:c r="AE622" s="53"/>
      <x:c r="AF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  <x:c r="AA623" s="53"/>
      <x:c r="AB623" s="53"/>
      <x:c r="AC623" s="53"/>
      <x:c r="AD623" s="53"/>
      <x:c r="AE623" s="53"/>
      <x:c r="AF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  <x:c r="AA624" s="53"/>
      <x:c r="AB624" s="53"/>
      <x:c r="AC624" s="53"/>
      <x:c r="AD624" s="53"/>
      <x:c r="AE624" s="53"/>
      <x:c r="AF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  <x:c r="AA625" s="53"/>
      <x:c r="AB625" s="53"/>
      <x:c r="AC625" s="53"/>
      <x:c r="AD625" s="53"/>
      <x:c r="AE625" s="53"/>
      <x:c r="AF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  <x:c r="AA626" s="53"/>
      <x:c r="AB626" s="53"/>
      <x:c r="AC626" s="53"/>
      <x:c r="AD626" s="53"/>
      <x:c r="AE626" s="53"/>
      <x:c r="AF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  <x:c r="AA627" s="53"/>
      <x:c r="AB627" s="53"/>
      <x:c r="AC627" s="53"/>
      <x:c r="AD627" s="53"/>
      <x:c r="AE627" s="53"/>
      <x:c r="AF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  <x:c r="AA628" s="53"/>
      <x:c r="AB628" s="53"/>
      <x:c r="AC628" s="53"/>
      <x:c r="AD628" s="53"/>
      <x:c r="AE628" s="53"/>
      <x:c r="AF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  <x:c r="AA629" s="53"/>
      <x:c r="AB629" s="53"/>
      <x:c r="AC629" s="53"/>
      <x:c r="AD629" s="53"/>
      <x:c r="AE629" s="53"/>
      <x:c r="AF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  <x:c r="AA630" s="53"/>
      <x:c r="AB630" s="53"/>
      <x:c r="AC630" s="53"/>
      <x:c r="AD630" s="53"/>
      <x:c r="AE630" s="53"/>
      <x:c r="AF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  <x:c r="AA631" s="53"/>
      <x:c r="AB631" s="53"/>
      <x:c r="AC631" s="53"/>
      <x:c r="AD631" s="53"/>
      <x:c r="AE631" s="53"/>
      <x:c r="AF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  <x:c r="AA632" s="53"/>
      <x:c r="AB632" s="53"/>
      <x:c r="AC632" s="53"/>
      <x:c r="AD632" s="53"/>
      <x:c r="AE632" s="53"/>
      <x:c r="AF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  <x:c r="AA633" s="53"/>
      <x:c r="AB633" s="53"/>
      <x:c r="AC633" s="53"/>
      <x:c r="AD633" s="53"/>
      <x:c r="AE633" s="53"/>
      <x:c r="AF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  <x:c r="AA634" s="53"/>
      <x:c r="AB634" s="53"/>
      <x:c r="AC634" s="53"/>
      <x:c r="AD634" s="53"/>
      <x:c r="AE634" s="53"/>
      <x:c r="AF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  <x:c r="AA635" s="53"/>
      <x:c r="AB635" s="53"/>
      <x:c r="AC635" s="53"/>
      <x:c r="AD635" s="53"/>
      <x:c r="AE635" s="53"/>
      <x:c r="AF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  <x:c r="AA636" s="53"/>
      <x:c r="AB636" s="53"/>
      <x:c r="AC636" s="53"/>
      <x:c r="AD636" s="53"/>
      <x:c r="AE636" s="53"/>
      <x:c r="AF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  <x:c r="AA637" s="53"/>
      <x:c r="AB637" s="53"/>
      <x:c r="AC637" s="53"/>
      <x:c r="AD637" s="53"/>
      <x:c r="AE637" s="53"/>
      <x:c r="AF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  <x:c r="AA638" s="53"/>
      <x:c r="AB638" s="53"/>
      <x:c r="AC638" s="53"/>
      <x:c r="AD638" s="53"/>
      <x:c r="AE638" s="53"/>
      <x:c r="AF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  <x:c r="AA639" s="53"/>
      <x:c r="AB639" s="53"/>
      <x:c r="AC639" s="53"/>
      <x:c r="AD639" s="53"/>
      <x:c r="AE639" s="53"/>
      <x:c r="AF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  <x:c r="AA640" s="53"/>
      <x:c r="AB640" s="53"/>
      <x:c r="AC640" s="53"/>
      <x:c r="AD640" s="53"/>
      <x:c r="AE640" s="53"/>
      <x:c r="AF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  <x:c r="AA641" s="53"/>
      <x:c r="AB641" s="53"/>
      <x:c r="AC641" s="53"/>
      <x:c r="AD641" s="53"/>
      <x:c r="AE641" s="53"/>
      <x:c r="AF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  <x:c r="AA642" s="53"/>
      <x:c r="AB642" s="53"/>
      <x:c r="AC642" s="53"/>
      <x:c r="AD642" s="53"/>
      <x:c r="AE642" s="53"/>
      <x:c r="AF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  <x:c r="AA643" s="53"/>
      <x:c r="AB643" s="53"/>
      <x:c r="AC643" s="53"/>
      <x:c r="AD643" s="53"/>
      <x:c r="AE643" s="53"/>
      <x:c r="AF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  <x:c r="AA644" s="53"/>
      <x:c r="AB644" s="53"/>
      <x:c r="AC644" s="53"/>
      <x:c r="AD644" s="53"/>
      <x:c r="AE644" s="53"/>
      <x:c r="AF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  <x:c r="AA645" s="53"/>
      <x:c r="AB645" s="53"/>
      <x:c r="AC645" s="53"/>
      <x:c r="AD645" s="53"/>
      <x:c r="AE645" s="53"/>
      <x:c r="AF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  <x:c r="AA646" s="53"/>
      <x:c r="AB646" s="53"/>
      <x:c r="AC646" s="53"/>
      <x:c r="AD646" s="53"/>
      <x:c r="AE646" s="53"/>
      <x:c r="AF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  <x:c r="AA647" s="53"/>
      <x:c r="AB647" s="53"/>
      <x:c r="AC647" s="53"/>
      <x:c r="AD647" s="53"/>
      <x:c r="AE647" s="53"/>
      <x:c r="AF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  <x:c r="AA648" s="53"/>
      <x:c r="AB648" s="53"/>
      <x:c r="AC648" s="53"/>
      <x:c r="AD648" s="53"/>
      <x:c r="AE648" s="53"/>
      <x:c r="AF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  <x:c r="AA649" s="53"/>
      <x:c r="AB649" s="53"/>
      <x:c r="AC649" s="53"/>
      <x:c r="AD649" s="53"/>
      <x:c r="AE649" s="53"/>
      <x:c r="AF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  <x:c r="AA650" s="53"/>
      <x:c r="AB650" s="53"/>
      <x:c r="AC650" s="53"/>
      <x:c r="AD650" s="53"/>
      <x:c r="AE650" s="53"/>
      <x:c r="AF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  <x:c r="AA651" s="53"/>
      <x:c r="AB651" s="53"/>
      <x:c r="AC651" s="53"/>
      <x:c r="AD651" s="53"/>
      <x:c r="AE651" s="53"/>
      <x:c r="AF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  <x:c r="AA652" s="53"/>
      <x:c r="AB652" s="53"/>
      <x:c r="AC652" s="53"/>
      <x:c r="AD652" s="53"/>
      <x:c r="AE652" s="53"/>
      <x:c r="AF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  <x:c r="AA653" s="53"/>
      <x:c r="AB653" s="53"/>
      <x:c r="AC653" s="53"/>
      <x:c r="AD653" s="53"/>
      <x:c r="AE653" s="53"/>
      <x:c r="AF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  <x:c r="AA654" s="53"/>
      <x:c r="AB654" s="53"/>
      <x:c r="AC654" s="53"/>
      <x:c r="AD654" s="53"/>
      <x:c r="AE654" s="53"/>
      <x:c r="AF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  <x:c r="AA655" s="53"/>
      <x:c r="AB655" s="53"/>
      <x:c r="AC655" s="53"/>
      <x:c r="AD655" s="53"/>
      <x:c r="AE655" s="53"/>
      <x:c r="AF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  <x:c r="AA656" s="53"/>
      <x:c r="AB656" s="53"/>
      <x:c r="AC656" s="53"/>
      <x:c r="AD656" s="53"/>
      <x:c r="AE656" s="53"/>
      <x:c r="AF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  <x:c r="AA657" s="53"/>
      <x:c r="AB657" s="53"/>
      <x:c r="AC657" s="53"/>
      <x:c r="AD657" s="53"/>
      <x:c r="AE657" s="53"/>
      <x:c r="AF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  <x:c r="AA658" s="53"/>
      <x:c r="AB658" s="53"/>
      <x:c r="AC658" s="53"/>
      <x:c r="AD658" s="53"/>
      <x:c r="AE658" s="53"/>
      <x:c r="AF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  <x:c r="AA659" s="53"/>
      <x:c r="AB659" s="53"/>
      <x:c r="AC659" s="53"/>
      <x:c r="AD659" s="53"/>
      <x:c r="AE659" s="53"/>
      <x:c r="AF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  <x:c r="AA660" s="53"/>
      <x:c r="AB660" s="53"/>
      <x:c r="AC660" s="53"/>
      <x:c r="AD660" s="53"/>
      <x:c r="AE660" s="53"/>
      <x:c r="AF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  <x:c r="AA661" s="53"/>
      <x:c r="AB661" s="53"/>
      <x:c r="AC661" s="53"/>
      <x:c r="AD661" s="53"/>
      <x:c r="AE661" s="53"/>
      <x:c r="AF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  <x:c r="AA662" s="53"/>
      <x:c r="AB662" s="53"/>
      <x:c r="AC662" s="53"/>
      <x:c r="AD662" s="53"/>
      <x:c r="AE662" s="53"/>
      <x:c r="AF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  <x:c r="AA663" s="53"/>
      <x:c r="AB663" s="53"/>
      <x:c r="AC663" s="53"/>
      <x:c r="AD663" s="53"/>
      <x:c r="AE663" s="53"/>
      <x:c r="AF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  <x:c r="AA664" s="53"/>
      <x:c r="AB664" s="53"/>
      <x:c r="AC664" s="53"/>
      <x:c r="AD664" s="53"/>
      <x:c r="AE664" s="53"/>
      <x:c r="AF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  <x:c r="AA665" s="53"/>
      <x:c r="AB665" s="53"/>
      <x:c r="AC665" s="53"/>
      <x:c r="AD665" s="53"/>
      <x:c r="AE665" s="53"/>
      <x:c r="AF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  <x:c r="AA666" s="53"/>
      <x:c r="AB666" s="53"/>
      <x:c r="AC666" s="53"/>
      <x:c r="AD666" s="53"/>
      <x:c r="AE666" s="53"/>
      <x:c r="AF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  <x:c r="AA667" s="53"/>
      <x:c r="AB667" s="53"/>
      <x:c r="AC667" s="53"/>
      <x:c r="AD667" s="53"/>
      <x:c r="AE667" s="53"/>
      <x:c r="AF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  <x:c r="AA668" s="53"/>
      <x:c r="AB668" s="53"/>
      <x:c r="AC668" s="53"/>
      <x:c r="AD668" s="53"/>
      <x:c r="AE668" s="53"/>
      <x:c r="AF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  <x:c r="AA669" s="53"/>
      <x:c r="AB669" s="53"/>
      <x:c r="AC669" s="53"/>
      <x:c r="AD669" s="53"/>
      <x:c r="AE669" s="53"/>
      <x:c r="AF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  <x:c r="AA670" s="53"/>
      <x:c r="AB670" s="53"/>
      <x:c r="AC670" s="53"/>
      <x:c r="AD670" s="53"/>
      <x:c r="AE670" s="53"/>
      <x:c r="AF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  <x:c r="AA671" s="53"/>
      <x:c r="AB671" s="53"/>
      <x:c r="AC671" s="53"/>
      <x:c r="AD671" s="53"/>
      <x:c r="AE671" s="53"/>
      <x:c r="AF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  <x:c r="AA672" s="53"/>
      <x:c r="AB672" s="53"/>
      <x:c r="AC672" s="53"/>
      <x:c r="AD672" s="53"/>
      <x:c r="AE672" s="53"/>
      <x:c r="AF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  <x:c r="AA673" s="53"/>
      <x:c r="AB673" s="53"/>
      <x:c r="AC673" s="53"/>
      <x:c r="AD673" s="53"/>
      <x:c r="AE673" s="53"/>
      <x:c r="AF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  <x:c r="AA674" s="53"/>
      <x:c r="AB674" s="53"/>
      <x:c r="AC674" s="53"/>
      <x:c r="AD674" s="53"/>
      <x:c r="AE674" s="53"/>
      <x:c r="AF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  <x:c r="AA675" s="53"/>
      <x:c r="AB675" s="53"/>
      <x:c r="AC675" s="53"/>
      <x:c r="AD675" s="53"/>
      <x:c r="AE675" s="53"/>
      <x:c r="AF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  <x:c r="AA676" s="53"/>
      <x:c r="AB676" s="53"/>
      <x:c r="AC676" s="53"/>
      <x:c r="AD676" s="53"/>
      <x:c r="AE676" s="53"/>
      <x:c r="AF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  <x:c r="AA677" s="53"/>
      <x:c r="AB677" s="53"/>
      <x:c r="AC677" s="53"/>
      <x:c r="AD677" s="53"/>
      <x:c r="AE677" s="53"/>
      <x:c r="AF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  <x:c r="AA678" s="53"/>
      <x:c r="AB678" s="53"/>
      <x:c r="AC678" s="53"/>
      <x:c r="AD678" s="53"/>
      <x:c r="AE678" s="53"/>
      <x:c r="AF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  <x:c r="AA679" s="53"/>
      <x:c r="AB679" s="53"/>
      <x:c r="AC679" s="53"/>
      <x:c r="AD679" s="53"/>
      <x:c r="AE679" s="53"/>
      <x:c r="AF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  <x:c r="AA680" s="53"/>
      <x:c r="AB680" s="53"/>
      <x:c r="AC680" s="53"/>
      <x:c r="AD680" s="53"/>
      <x:c r="AE680" s="53"/>
      <x:c r="AF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  <x:c r="AA681" s="53"/>
      <x:c r="AB681" s="53"/>
      <x:c r="AC681" s="53"/>
      <x:c r="AD681" s="53"/>
      <x:c r="AE681" s="53"/>
      <x:c r="AF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  <x:c r="AA682" s="53"/>
      <x:c r="AB682" s="53"/>
      <x:c r="AC682" s="53"/>
      <x:c r="AD682" s="53"/>
      <x:c r="AE682" s="53"/>
      <x:c r="AF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  <x:c r="AA683" s="53"/>
      <x:c r="AB683" s="53"/>
      <x:c r="AC683" s="53"/>
      <x:c r="AD683" s="53"/>
      <x:c r="AE683" s="53"/>
      <x:c r="AF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  <x:c r="AA684" s="53"/>
      <x:c r="AB684" s="53"/>
      <x:c r="AC684" s="53"/>
      <x:c r="AD684" s="53"/>
      <x:c r="AE684" s="53"/>
      <x:c r="AF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  <x:c r="AA685" s="53"/>
      <x:c r="AB685" s="53"/>
      <x:c r="AC685" s="53"/>
      <x:c r="AD685" s="53"/>
      <x:c r="AE685" s="53"/>
      <x:c r="AF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  <x:c r="AA686" s="53"/>
      <x:c r="AB686" s="53"/>
      <x:c r="AC686" s="53"/>
      <x:c r="AD686" s="53"/>
      <x:c r="AE686" s="53"/>
      <x:c r="AF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  <x:c r="AA687" s="53"/>
      <x:c r="AB687" s="53"/>
      <x:c r="AC687" s="53"/>
      <x:c r="AD687" s="53"/>
      <x:c r="AE687" s="53"/>
      <x:c r="AF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  <x:c r="AA688" s="53"/>
      <x:c r="AB688" s="53"/>
      <x:c r="AC688" s="53"/>
      <x:c r="AD688" s="53"/>
      <x:c r="AE688" s="53"/>
      <x:c r="AF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  <x:c r="AA689" s="53"/>
      <x:c r="AB689" s="53"/>
      <x:c r="AC689" s="53"/>
      <x:c r="AD689" s="53"/>
      <x:c r="AE689" s="53"/>
      <x:c r="AF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  <x:c r="AA690" s="53"/>
      <x:c r="AB690" s="53"/>
      <x:c r="AC690" s="53"/>
      <x:c r="AD690" s="53"/>
      <x:c r="AE690" s="53"/>
      <x:c r="AF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  <x:c r="AA691" s="53"/>
      <x:c r="AB691" s="53"/>
      <x:c r="AC691" s="53"/>
      <x:c r="AD691" s="53"/>
      <x:c r="AE691" s="53"/>
      <x:c r="AF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  <x:c r="AA692" s="53"/>
      <x:c r="AB692" s="53"/>
      <x:c r="AC692" s="53"/>
      <x:c r="AD692" s="53"/>
      <x:c r="AE692" s="53"/>
      <x:c r="AF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  <x:c r="AA693" s="53"/>
      <x:c r="AB693" s="53"/>
      <x:c r="AC693" s="53"/>
      <x:c r="AD693" s="53"/>
      <x:c r="AE693" s="53"/>
      <x:c r="AF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  <x:c r="AA694" s="53"/>
      <x:c r="AB694" s="53"/>
      <x:c r="AC694" s="53"/>
      <x:c r="AD694" s="53"/>
      <x:c r="AE694" s="53"/>
      <x:c r="AF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  <x:c r="AA695" s="53"/>
      <x:c r="AB695" s="53"/>
      <x:c r="AC695" s="53"/>
      <x:c r="AD695" s="53"/>
      <x:c r="AE695" s="53"/>
      <x:c r="AF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  <x:c r="AA696" s="53"/>
      <x:c r="AB696" s="53"/>
      <x:c r="AC696" s="53"/>
      <x:c r="AD696" s="53"/>
      <x:c r="AE696" s="53"/>
      <x:c r="AF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  <x:c r="AA697" s="53"/>
      <x:c r="AB697" s="53"/>
      <x:c r="AC697" s="53"/>
      <x:c r="AD697" s="53"/>
      <x:c r="AE697" s="53"/>
      <x:c r="AF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  <x:c r="AA698" s="53"/>
      <x:c r="AB698" s="53"/>
      <x:c r="AC698" s="53"/>
      <x:c r="AD698" s="53"/>
      <x:c r="AE698" s="53"/>
      <x:c r="AF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  <x:c r="AA699" s="53"/>
      <x:c r="AB699" s="53"/>
      <x:c r="AC699" s="53"/>
      <x:c r="AD699" s="53"/>
      <x:c r="AE699" s="53"/>
      <x:c r="AF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  <x:c r="AA700" s="53"/>
      <x:c r="AB700" s="53"/>
      <x:c r="AC700" s="53"/>
      <x:c r="AD700" s="53"/>
      <x:c r="AE700" s="53"/>
      <x:c r="AF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  <x:c r="AA701" s="53"/>
      <x:c r="AB701" s="53"/>
      <x:c r="AC701" s="53"/>
      <x:c r="AD701" s="53"/>
      <x:c r="AE701" s="53"/>
      <x:c r="AF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  <x:c r="AA702" s="53"/>
      <x:c r="AB702" s="53"/>
      <x:c r="AC702" s="53"/>
      <x:c r="AD702" s="53"/>
      <x:c r="AE702" s="53"/>
      <x:c r="AF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  <x:c r="AA703" s="53"/>
      <x:c r="AB703" s="53"/>
      <x:c r="AC703" s="53"/>
      <x:c r="AD703" s="53"/>
      <x:c r="AE703" s="53"/>
      <x:c r="AF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  <x:c r="AA704" s="53"/>
      <x:c r="AB704" s="53"/>
      <x:c r="AC704" s="53"/>
      <x:c r="AD704" s="53"/>
      <x:c r="AE704" s="53"/>
      <x:c r="AF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  <x:c r="AA705" s="53"/>
      <x:c r="AB705" s="53"/>
      <x:c r="AC705" s="53"/>
      <x:c r="AD705" s="53"/>
      <x:c r="AE705" s="53"/>
      <x:c r="AF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  <x:c r="AA706" s="53"/>
      <x:c r="AB706" s="53"/>
      <x:c r="AC706" s="53"/>
      <x:c r="AD706" s="53"/>
      <x:c r="AE706" s="53"/>
      <x:c r="AF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  <x:c r="AA707" s="53"/>
      <x:c r="AB707" s="53"/>
      <x:c r="AC707" s="53"/>
      <x:c r="AD707" s="53"/>
      <x:c r="AE707" s="53"/>
      <x:c r="AF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  <x:c r="AA708" s="53"/>
      <x:c r="AB708" s="53"/>
      <x:c r="AC708" s="53"/>
      <x:c r="AD708" s="53"/>
      <x:c r="AE708" s="53"/>
      <x:c r="AF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  <x:c r="AA709" s="53"/>
      <x:c r="AB709" s="53"/>
      <x:c r="AC709" s="53"/>
      <x:c r="AD709" s="53"/>
      <x:c r="AE709" s="53"/>
      <x:c r="AF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  <x:c r="AA710" s="53"/>
      <x:c r="AB710" s="53"/>
      <x:c r="AC710" s="53"/>
      <x:c r="AD710" s="53"/>
      <x:c r="AE710" s="53"/>
      <x:c r="AF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  <x:c r="AA711" s="53"/>
      <x:c r="AB711" s="53"/>
      <x:c r="AC711" s="53"/>
      <x:c r="AD711" s="53"/>
      <x:c r="AE711" s="53"/>
      <x:c r="AF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  <x:c r="AA712" s="53"/>
      <x:c r="AB712" s="53"/>
      <x:c r="AC712" s="53"/>
      <x:c r="AD712" s="53"/>
      <x:c r="AE712" s="53"/>
      <x:c r="AF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  <x:c r="AA713" s="53"/>
      <x:c r="AB713" s="53"/>
      <x:c r="AC713" s="53"/>
      <x:c r="AD713" s="53"/>
      <x:c r="AE713" s="53"/>
      <x:c r="AF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  <x:c r="AA714" s="53"/>
      <x:c r="AB714" s="53"/>
      <x:c r="AC714" s="53"/>
      <x:c r="AD714" s="53"/>
      <x:c r="AE714" s="53"/>
      <x:c r="AF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  <x:c r="AA715" s="53"/>
      <x:c r="AB715" s="53"/>
      <x:c r="AC715" s="53"/>
      <x:c r="AD715" s="53"/>
      <x:c r="AE715" s="53"/>
      <x:c r="AF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  <x:c r="AA716" s="53"/>
      <x:c r="AB716" s="53"/>
      <x:c r="AC716" s="53"/>
      <x:c r="AD716" s="53"/>
      <x:c r="AE716" s="53"/>
      <x:c r="AF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  <x:c r="AA717" s="53"/>
      <x:c r="AB717" s="53"/>
      <x:c r="AC717" s="53"/>
      <x:c r="AD717" s="53"/>
      <x:c r="AE717" s="53"/>
      <x:c r="AF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  <x:c r="AA718" s="53"/>
      <x:c r="AB718" s="53"/>
      <x:c r="AC718" s="53"/>
      <x:c r="AD718" s="53"/>
      <x:c r="AE718" s="53"/>
      <x:c r="AF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  <x:c r="AA719" s="53"/>
      <x:c r="AB719" s="53"/>
      <x:c r="AC719" s="53"/>
      <x:c r="AD719" s="53"/>
      <x:c r="AE719" s="53"/>
      <x:c r="AF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  <x:c r="AA720" s="53"/>
      <x:c r="AB720" s="53"/>
      <x:c r="AC720" s="53"/>
      <x:c r="AD720" s="53"/>
      <x:c r="AE720" s="53"/>
      <x:c r="AF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  <x:c r="AA721" s="53"/>
      <x:c r="AB721" s="53"/>
      <x:c r="AC721" s="53"/>
      <x:c r="AD721" s="53"/>
      <x:c r="AE721" s="53"/>
      <x:c r="AF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  <x:c r="AA722" s="53"/>
      <x:c r="AB722" s="53"/>
      <x:c r="AC722" s="53"/>
      <x:c r="AD722" s="53"/>
      <x:c r="AE722" s="53"/>
      <x:c r="AF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  <x:c r="AA723" s="53"/>
      <x:c r="AB723" s="53"/>
      <x:c r="AC723" s="53"/>
      <x:c r="AD723" s="53"/>
      <x:c r="AE723" s="53"/>
      <x:c r="AF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  <x:c r="AA724" s="53"/>
      <x:c r="AB724" s="53"/>
      <x:c r="AC724" s="53"/>
      <x:c r="AD724" s="53"/>
      <x:c r="AE724" s="53"/>
      <x:c r="AF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  <x:c r="AA725" s="53"/>
      <x:c r="AB725" s="53"/>
      <x:c r="AC725" s="53"/>
      <x:c r="AD725" s="53"/>
      <x:c r="AE725" s="53"/>
      <x:c r="AF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  <x:c r="AA726" s="53"/>
      <x:c r="AB726" s="53"/>
      <x:c r="AC726" s="53"/>
      <x:c r="AD726" s="53"/>
      <x:c r="AE726" s="53"/>
      <x:c r="AF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  <x:c r="AA727" s="53"/>
      <x:c r="AB727" s="53"/>
      <x:c r="AC727" s="53"/>
      <x:c r="AD727" s="53"/>
      <x:c r="AE727" s="53"/>
      <x:c r="AF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  <x:c r="AA728" s="53"/>
      <x:c r="AB728" s="53"/>
      <x:c r="AC728" s="53"/>
      <x:c r="AD728" s="53"/>
      <x:c r="AE728" s="53"/>
      <x:c r="AF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  <x:c r="AA729" s="53"/>
      <x:c r="AB729" s="53"/>
      <x:c r="AC729" s="53"/>
      <x:c r="AD729" s="53"/>
      <x:c r="AE729" s="53"/>
      <x:c r="AF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  <x:c r="AA730" s="53"/>
      <x:c r="AB730" s="53"/>
      <x:c r="AC730" s="53"/>
      <x:c r="AD730" s="53"/>
      <x:c r="AE730" s="53"/>
      <x:c r="AF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  <x:c r="AA731" s="53"/>
      <x:c r="AB731" s="53"/>
      <x:c r="AC731" s="53"/>
      <x:c r="AD731" s="53"/>
      <x:c r="AE731" s="53"/>
      <x:c r="AF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  <x:c r="AA732" s="53"/>
      <x:c r="AB732" s="53"/>
      <x:c r="AC732" s="53"/>
      <x:c r="AD732" s="53"/>
      <x:c r="AE732" s="53"/>
      <x:c r="AF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  <x:c r="AA733" s="53"/>
      <x:c r="AB733" s="53"/>
      <x:c r="AC733" s="53"/>
      <x:c r="AD733" s="53"/>
      <x:c r="AE733" s="53"/>
      <x:c r="AF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  <x:c r="AA734" s="53"/>
      <x:c r="AB734" s="53"/>
      <x:c r="AC734" s="53"/>
      <x:c r="AD734" s="53"/>
      <x:c r="AE734" s="53"/>
      <x:c r="AF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  <x:c r="AA735" s="53"/>
      <x:c r="AB735" s="53"/>
      <x:c r="AC735" s="53"/>
      <x:c r="AD735" s="53"/>
      <x:c r="AE735" s="53"/>
      <x:c r="AF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  <x:c r="AA736" s="53"/>
      <x:c r="AB736" s="53"/>
      <x:c r="AC736" s="53"/>
      <x:c r="AD736" s="53"/>
      <x:c r="AE736" s="53"/>
      <x:c r="AF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  <x:c r="AA737" s="53"/>
      <x:c r="AB737" s="53"/>
      <x:c r="AC737" s="53"/>
      <x:c r="AD737" s="53"/>
      <x:c r="AE737" s="53"/>
      <x:c r="AF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  <x:c r="AA738" s="53"/>
      <x:c r="AB738" s="53"/>
      <x:c r="AC738" s="53"/>
      <x:c r="AD738" s="53"/>
      <x:c r="AE738" s="53"/>
      <x:c r="AF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  <x:c r="AA739" s="53"/>
      <x:c r="AB739" s="53"/>
      <x:c r="AC739" s="53"/>
      <x:c r="AD739" s="53"/>
      <x:c r="AE739" s="53"/>
      <x:c r="AF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  <x:c r="AA740" s="53"/>
      <x:c r="AB740" s="53"/>
      <x:c r="AC740" s="53"/>
      <x:c r="AD740" s="53"/>
      <x:c r="AE740" s="53"/>
      <x:c r="AF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  <x:c r="AA741" s="53"/>
      <x:c r="AB741" s="53"/>
      <x:c r="AC741" s="53"/>
      <x:c r="AD741" s="53"/>
      <x:c r="AE741" s="53"/>
      <x:c r="AF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  <x:c r="AA742" s="53"/>
      <x:c r="AB742" s="53"/>
      <x:c r="AC742" s="53"/>
      <x:c r="AD742" s="53"/>
      <x:c r="AE742" s="53"/>
      <x:c r="AF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  <x:c r="AA743" s="53"/>
      <x:c r="AB743" s="53"/>
      <x:c r="AC743" s="53"/>
      <x:c r="AD743" s="53"/>
      <x:c r="AE743" s="53"/>
      <x:c r="AF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  <x:c r="AA744" s="53"/>
      <x:c r="AB744" s="53"/>
      <x:c r="AC744" s="53"/>
      <x:c r="AD744" s="53"/>
      <x:c r="AE744" s="53"/>
      <x:c r="AF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  <x:c r="AA745" s="53"/>
      <x:c r="AB745" s="53"/>
      <x:c r="AC745" s="53"/>
      <x:c r="AD745" s="53"/>
      <x:c r="AE745" s="53"/>
      <x:c r="AF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  <x:c r="AA746" s="53"/>
      <x:c r="AB746" s="53"/>
      <x:c r="AC746" s="53"/>
      <x:c r="AD746" s="53"/>
      <x:c r="AE746" s="53"/>
      <x:c r="AF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  <x:c r="AA747" s="53"/>
      <x:c r="AB747" s="53"/>
      <x:c r="AC747" s="53"/>
      <x:c r="AD747" s="53"/>
      <x:c r="AE747" s="53"/>
      <x:c r="AF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  <x:c r="AA748" s="53"/>
      <x:c r="AB748" s="53"/>
      <x:c r="AC748" s="53"/>
      <x:c r="AD748" s="53"/>
      <x:c r="AE748" s="53"/>
      <x:c r="AF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  <x:c r="AA749" s="53"/>
      <x:c r="AB749" s="53"/>
      <x:c r="AC749" s="53"/>
      <x:c r="AD749" s="53"/>
      <x:c r="AE749" s="53"/>
      <x:c r="AF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  <x:c r="AA750" s="53"/>
      <x:c r="AB750" s="53"/>
      <x:c r="AC750" s="53"/>
      <x:c r="AD750" s="53"/>
      <x:c r="AE750" s="53"/>
      <x:c r="AF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  <x:c r="AA751" s="53"/>
      <x:c r="AB751" s="53"/>
      <x:c r="AC751" s="53"/>
      <x:c r="AD751" s="53"/>
      <x:c r="AE751" s="53"/>
      <x:c r="AF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  <x:c r="AA752" s="53"/>
      <x:c r="AB752" s="53"/>
      <x:c r="AC752" s="53"/>
      <x:c r="AD752" s="53"/>
      <x:c r="AE752" s="53"/>
      <x:c r="AF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  <x:c r="AA753" s="53"/>
      <x:c r="AB753" s="53"/>
      <x:c r="AC753" s="53"/>
      <x:c r="AD753" s="53"/>
      <x:c r="AE753" s="53"/>
      <x:c r="AF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  <x:c r="AA754" s="53"/>
      <x:c r="AB754" s="53"/>
      <x:c r="AC754" s="53"/>
      <x:c r="AD754" s="53"/>
      <x:c r="AE754" s="53"/>
      <x:c r="AF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  <x:c r="AA755" s="53"/>
      <x:c r="AB755" s="53"/>
      <x:c r="AC755" s="53"/>
      <x:c r="AD755" s="53"/>
      <x:c r="AE755" s="53"/>
      <x:c r="AF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  <x:c r="AA756" s="53"/>
      <x:c r="AB756" s="53"/>
      <x:c r="AC756" s="53"/>
      <x:c r="AD756" s="53"/>
      <x:c r="AE756" s="53"/>
      <x:c r="AF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  <x:c r="AA757" s="53"/>
      <x:c r="AB757" s="53"/>
      <x:c r="AC757" s="53"/>
      <x:c r="AD757" s="53"/>
      <x:c r="AE757" s="53"/>
      <x:c r="AF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  <x:c r="AA758" s="53"/>
      <x:c r="AB758" s="53"/>
      <x:c r="AC758" s="53"/>
      <x:c r="AD758" s="53"/>
      <x:c r="AE758" s="53"/>
      <x:c r="AF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  <x:c r="AA759" s="53"/>
      <x:c r="AB759" s="53"/>
      <x:c r="AC759" s="53"/>
      <x:c r="AD759" s="53"/>
      <x:c r="AE759" s="53"/>
      <x:c r="AF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  <x:c r="AA760" s="53"/>
      <x:c r="AB760" s="53"/>
      <x:c r="AC760" s="53"/>
      <x:c r="AD760" s="53"/>
      <x:c r="AE760" s="53"/>
      <x:c r="AF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  <x:c r="AA761" s="53"/>
      <x:c r="AB761" s="53"/>
      <x:c r="AC761" s="53"/>
      <x:c r="AD761" s="53"/>
      <x:c r="AE761" s="53"/>
      <x:c r="AF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  <x:c r="AA762" s="53"/>
      <x:c r="AB762" s="53"/>
      <x:c r="AC762" s="53"/>
      <x:c r="AD762" s="53"/>
      <x:c r="AE762" s="53"/>
      <x:c r="AF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  <x:c r="AA763" s="53"/>
      <x:c r="AB763" s="53"/>
      <x:c r="AC763" s="53"/>
      <x:c r="AD763" s="53"/>
      <x:c r="AE763" s="53"/>
      <x:c r="AF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  <x:c r="AA764" s="53"/>
      <x:c r="AB764" s="53"/>
      <x:c r="AC764" s="53"/>
      <x:c r="AD764" s="53"/>
      <x:c r="AE764" s="53"/>
      <x:c r="AF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  <x:c r="AA765" s="53"/>
      <x:c r="AB765" s="53"/>
      <x:c r="AC765" s="53"/>
      <x:c r="AD765" s="53"/>
      <x:c r="AE765" s="53"/>
      <x:c r="AF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  <x:c r="AA766" s="53"/>
      <x:c r="AB766" s="53"/>
      <x:c r="AC766" s="53"/>
      <x:c r="AD766" s="53"/>
      <x:c r="AE766" s="53"/>
      <x:c r="AF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  <x:c r="AA767" s="53"/>
      <x:c r="AB767" s="53"/>
      <x:c r="AC767" s="53"/>
      <x:c r="AD767" s="53"/>
      <x:c r="AE767" s="53"/>
      <x:c r="AF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  <x:c r="AA768" s="53"/>
      <x:c r="AB768" s="53"/>
      <x:c r="AC768" s="53"/>
      <x:c r="AD768" s="53"/>
      <x:c r="AE768" s="53"/>
      <x:c r="AF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  <x:c r="AA769" s="53"/>
      <x:c r="AB769" s="53"/>
      <x:c r="AC769" s="53"/>
      <x:c r="AD769" s="53"/>
      <x:c r="AE769" s="53"/>
      <x:c r="AF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  <x:c r="AA770" s="53"/>
      <x:c r="AB770" s="53"/>
      <x:c r="AC770" s="53"/>
      <x:c r="AD770" s="53"/>
      <x:c r="AE770" s="53"/>
      <x:c r="AF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  <x:c r="AA771" s="53"/>
      <x:c r="AB771" s="53"/>
      <x:c r="AC771" s="53"/>
      <x:c r="AD771" s="53"/>
      <x:c r="AE771" s="53"/>
      <x:c r="AF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  <x:c r="AA772" s="53"/>
      <x:c r="AB772" s="53"/>
      <x:c r="AC772" s="53"/>
      <x:c r="AD772" s="53"/>
      <x:c r="AE772" s="53"/>
      <x:c r="AF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  <x:c r="AA773" s="53"/>
      <x:c r="AB773" s="53"/>
      <x:c r="AC773" s="53"/>
      <x:c r="AD773" s="53"/>
      <x:c r="AE773" s="53"/>
      <x:c r="AF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  <x:c r="AA774" s="53"/>
      <x:c r="AB774" s="53"/>
      <x:c r="AC774" s="53"/>
      <x:c r="AD774" s="53"/>
      <x:c r="AE774" s="53"/>
      <x:c r="AF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  <x:c r="AA775" s="53"/>
      <x:c r="AB775" s="53"/>
      <x:c r="AC775" s="53"/>
      <x:c r="AD775" s="53"/>
      <x:c r="AE775" s="53"/>
      <x:c r="AF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  <x:c r="AA776" s="53"/>
      <x:c r="AB776" s="53"/>
      <x:c r="AC776" s="53"/>
      <x:c r="AD776" s="53"/>
      <x:c r="AE776" s="53"/>
      <x:c r="AF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  <x:c r="AA777" s="53"/>
      <x:c r="AB777" s="53"/>
      <x:c r="AC777" s="53"/>
      <x:c r="AD777" s="53"/>
      <x:c r="AE777" s="53"/>
      <x:c r="AF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  <x:c r="AA778" s="53"/>
      <x:c r="AB778" s="53"/>
      <x:c r="AC778" s="53"/>
      <x:c r="AD778" s="53"/>
      <x:c r="AE778" s="53"/>
      <x:c r="AF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  <x:c r="AA779" s="53"/>
      <x:c r="AB779" s="53"/>
      <x:c r="AC779" s="53"/>
      <x:c r="AD779" s="53"/>
      <x:c r="AE779" s="53"/>
      <x:c r="AF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  <x:c r="AA780" s="53"/>
      <x:c r="AB780" s="53"/>
      <x:c r="AC780" s="53"/>
      <x:c r="AD780" s="53"/>
      <x:c r="AE780" s="53"/>
      <x:c r="AF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  <x:c r="AA781" s="53"/>
      <x:c r="AB781" s="53"/>
      <x:c r="AC781" s="53"/>
      <x:c r="AD781" s="53"/>
      <x:c r="AE781" s="53"/>
      <x:c r="AF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  <x:c r="AA782" s="53"/>
      <x:c r="AB782" s="53"/>
      <x:c r="AC782" s="53"/>
      <x:c r="AD782" s="53"/>
      <x:c r="AE782" s="53"/>
      <x:c r="AF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  <x:c r="AA783" s="53"/>
      <x:c r="AB783" s="53"/>
      <x:c r="AC783" s="53"/>
      <x:c r="AD783" s="53"/>
      <x:c r="AE783" s="53"/>
      <x:c r="AF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  <x:c r="AA784" s="53"/>
      <x:c r="AB784" s="53"/>
      <x:c r="AC784" s="53"/>
      <x:c r="AD784" s="53"/>
      <x:c r="AE784" s="53"/>
      <x:c r="AF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  <x:c r="AA785" s="53"/>
      <x:c r="AB785" s="53"/>
      <x:c r="AC785" s="53"/>
      <x:c r="AD785" s="53"/>
      <x:c r="AE785" s="53"/>
      <x:c r="AF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  <x:c r="AA786" s="53"/>
      <x:c r="AB786" s="53"/>
      <x:c r="AC786" s="53"/>
      <x:c r="AD786" s="53"/>
      <x:c r="AE786" s="53"/>
      <x:c r="AF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  <x:c r="AA787" s="53"/>
      <x:c r="AB787" s="53"/>
      <x:c r="AC787" s="53"/>
      <x:c r="AD787" s="53"/>
      <x:c r="AE787" s="53"/>
      <x:c r="AF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  <x:c r="AA788" s="53"/>
      <x:c r="AB788" s="53"/>
      <x:c r="AC788" s="53"/>
      <x:c r="AD788" s="53"/>
      <x:c r="AE788" s="53"/>
      <x:c r="AF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  <x:c r="AA789" s="53"/>
      <x:c r="AB789" s="53"/>
      <x:c r="AC789" s="53"/>
      <x:c r="AD789" s="53"/>
      <x:c r="AE789" s="53"/>
      <x:c r="AF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  <x:c r="AA790" s="53"/>
      <x:c r="AB790" s="53"/>
      <x:c r="AC790" s="53"/>
      <x:c r="AD790" s="53"/>
      <x:c r="AE790" s="53"/>
      <x:c r="AF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  <x:c r="AA791" s="53"/>
      <x:c r="AB791" s="53"/>
      <x:c r="AC791" s="53"/>
      <x:c r="AD791" s="53"/>
      <x:c r="AE791" s="53"/>
      <x:c r="AF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  <x:c r="AA792" s="53"/>
      <x:c r="AB792" s="53"/>
      <x:c r="AC792" s="53"/>
      <x:c r="AD792" s="53"/>
      <x:c r="AE792" s="53"/>
      <x:c r="AF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  <x:c r="AA793" s="53"/>
      <x:c r="AB793" s="53"/>
      <x:c r="AC793" s="53"/>
      <x:c r="AD793" s="53"/>
      <x:c r="AE793" s="53"/>
      <x:c r="AF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  <x:c r="AA794" s="53"/>
      <x:c r="AB794" s="53"/>
      <x:c r="AC794" s="53"/>
      <x:c r="AD794" s="53"/>
      <x:c r="AE794" s="53"/>
      <x:c r="AF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  <x:c r="AA795" s="53"/>
      <x:c r="AB795" s="53"/>
      <x:c r="AC795" s="53"/>
      <x:c r="AD795" s="53"/>
      <x:c r="AE795" s="53"/>
      <x:c r="AF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  <x:c r="AA796" s="53"/>
      <x:c r="AB796" s="53"/>
      <x:c r="AC796" s="53"/>
      <x:c r="AD796" s="53"/>
      <x:c r="AE796" s="53"/>
      <x:c r="AF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  <x:c r="AA797" s="53"/>
      <x:c r="AB797" s="53"/>
      <x:c r="AC797" s="53"/>
      <x:c r="AD797" s="53"/>
      <x:c r="AE797" s="53"/>
      <x:c r="AF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  <x:c r="AA798" s="53"/>
      <x:c r="AB798" s="53"/>
      <x:c r="AC798" s="53"/>
      <x:c r="AD798" s="53"/>
      <x:c r="AE798" s="53"/>
      <x:c r="AF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  <x:c r="AA799" s="53"/>
      <x:c r="AB799" s="53"/>
      <x:c r="AC799" s="53"/>
      <x:c r="AD799" s="53"/>
      <x:c r="AE799" s="53"/>
      <x:c r="AF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  <x:c r="AA800" s="53"/>
      <x:c r="AB800" s="53"/>
      <x:c r="AC800" s="53"/>
      <x:c r="AD800" s="53"/>
      <x:c r="AE800" s="53"/>
      <x:c r="AF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  <x:c r="AA801" s="53"/>
      <x:c r="AB801" s="53"/>
      <x:c r="AC801" s="53"/>
      <x:c r="AD801" s="53"/>
      <x:c r="AE801" s="53"/>
      <x:c r="AF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  <x:c r="AA802" s="53"/>
      <x:c r="AB802" s="53"/>
      <x:c r="AC802" s="53"/>
      <x:c r="AD802" s="53"/>
      <x:c r="AE802" s="53"/>
      <x:c r="AF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  <x:c r="AA803" s="53"/>
      <x:c r="AB803" s="53"/>
      <x:c r="AC803" s="53"/>
      <x:c r="AD803" s="53"/>
      <x:c r="AE803" s="53"/>
      <x:c r="AF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  <x:c r="AA804" s="53"/>
      <x:c r="AB804" s="53"/>
      <x:c r="AC804" s="53"/>
      <x:c r="AD804" s="53"/>
      <x:c r="AE804" s="53"/>
      <x:c r="AF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  <x:c r="AA805" s="53"/>
      <x:c r="AB805" s="53"/>
      <x:c r="AC805" s="53"/>
      <x:c r="AD805" s="53"/>
      <x:c r="AE805" s="53"/>
      <x:c r="AF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  <x:c r="AA806" s="53"/>
      <x:c r="AB806" s="53"/>
      <x:c r="AC806" s="53"/>
      <x:c r="AD806" s="53"/>
      <x:c r="AE806" s="53"/>
      <x:c r="AF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  <x:c r="AA807" s="53"/>
      <x:c r="AB807" s="53"/>
      <x:c r="AC807" s="53"/>
      <x:c r="AD807" s="53"/>
      <x:c r="AE807" s="53"/>
      <x:c r="AF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  <x:c r="AA808" s="53"/>
      <x:c r="AB808" s="53"/>
      <x:c r="AC808" s="53"/>
      <x:c r="AD808" s="53"/>
      <x:c r="AE808" s="53"/>
      <x:c r="AF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  <x:c r="AA809" s="53"/>
      <x:c r="AB809" s="53"/>
      <x:c r="AC809" s="53"/>
      <x:c r="AD809" s="53"/>
      <x:c r="AE809" s="53"/>
      <x:c r="AF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  <x:c r="AA810" s="53"/>
      <x:c r="AB810" s="53"/>
      <x:c r="AC810" s="53"/>
      <x:c r="AD810" s="53"/>
      <x:c r="AE810" s="53"/>
      <x:c r="AF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  <x:c r="AA811" s="53"/>
      <x:c r="AB811" s="53"/>
      <x:c r="AC811" s="53"/>
      <x:c r="AD811" s="53"/>
      <x:c r="AE811" s="53"/>
      <x:c r="AF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  <x:c r="AA812" s="53"/>
      <x:c r="AB812" s="53"/>
      <x:c r="AC812" s="53"/>
      <x:c r="AD812" s="53"/>
      <x:c r="AE812" s="53"/>
      <x:c r="AF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  <x:c r="AA813" s="53"/>
      <x:c r="AB813" s="53"/>
      <x:c r="AC813" s="53"/>
      <x:c r="AD813" s="53"/>
      <x:c r="AE813" s="53"/>
      <x:c r="AF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  <x:c r="AA814" s="53"/>
      <x:c r="AB814" s="53"/>
      <x:c r="AC814" s="53"/>
      <x:c r="AD814" s="53"/>
      <x:c r="AE814" s="53"/>
      <x:c r="AF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  <x:c r="AA815" s="53"/>
      <x:c r="AB815" s="53"/>
      <x:c r="AC815" s="53"/>
      <x:c r="AD815" s="53"/>
      <x:c r="AE815" s="53"/>
      <x:c r="AF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  <x:c r="AA816" s="53"/>
      <x:c r="AB816" s="53"/>
      <x:c r="AC816" s="53"/>
      <x:c r="AD816" s="53"/>
      <x:c r="AE816" s="53"/>
      <x:c r="AF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  <x:c r="AA817" s="53"/>
      <x:c r="AB817" s="53"/>
      <x:c r="AC817" s="53"/>
      <x:c r="AD817" s="53"/>
      <x:c r="AE817" s="53"/>
      <x:c r="AF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  <x:c r="AA818" s="53"/>
      <x:c r="AB818" s="53"/>
      <x:c r="AC818" s="53"/>
      <x:c r="AD818" s="53"/>
      <x:c r="AE818" s="53"/>
      <x:c r="AF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  <x:c r="AA819" s="53"/>
      <x:c r="AB819" s="53"/>
      <x:c r="AC819" s="53"/>
      <x:c r="AD819" s="53"/>
      <x:c r="AE819" s="53"/>
      <x:c r="AF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  <x:c r="AA820" s="53"/>
      <x:c r="AB820" s="53"/>
      <x:c r="AC820" s="53"/>
      <x:c r="AD820" s="53"/>
      <x:c r="AE820" s="53"/>
      <x:c r="AF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  <x:c r="AA821" s="53"/>
      <x:c r="AB821" s="53"/>
      <x:c r="AC821" s="53"/>
      <x:c r="AD821" s="53"/>
      <x:c r="AE821" s="53"/>
      <x:c r="AF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  <x:c r="AA822" s="53"/>
      <x:c r="AB822" s="53"/>
      <x:c r="AC822" s="53"/>
      <x:c r="AD822" s="53"/>
      <x:c r="AE822" s="53"/>
      <x:c r="AF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  <x:c r="AA823" s="53"/>
      <x:c r="AB823" s="53"/>
      <x:c r="AC823" s="53"/>
      <x:c r="AD823" s="53"/>
      <x:c r="AE823" s="53"/>
      <x:c r="AF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  <x:c r="AA824" s="53"/>
      <x:c r="AB824" s="53"/>
      <x:c r="AC824" s="53"/>
      <x:c r="AD824" s="53"/>
      <x:c r="AE824" s="53"/>
      <x:c r="AF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  <x:c r="AA825" s="53"/>
      <x:c r="AB825" s="53"/>
      <x:c r="AC825" s="53"/>
      <x:c r="AD825" s="53"/>
      <x:c r="AE825" s="53"/>
      <x:c r="AF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  <x:c r="AA826" s="53"/>
      <x:c r="AB826" s="53"/>
      <x:c r="AC826" s="53"/>
      <x:c r="AD826" s="53"/>
      <x:c r="AE826" s="53"/>
      <x:c r="AF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  <x:c r="AA827" s="53"/>
      <x:c r="AB827" s="53"/>
      <x:c r="AC827" s="53"/>
      <x:c r="AD827" s="53"/>
      <x:c r="AE827" s="53"/>
      <x:c r="AF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  <x:c r="AA828" s="53"/>
      <x:c r="AB828" s="53"/>
      <x:c r="AC828" s="53"/>
      <x:c r="AD828" s="53"/>
      <x:c r="AE828" s="53"/>
      <x:c r="AF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  <x:c r="AA829" s="53"/>
      <x:c r="AB829" s="53"/>
      <x:c r="AC829" s="53"/>
      <x:c r="AD829" s="53"/>
      <x:c r="AE829" s="53"/>
      <x:c r="AF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  <x:c r="AA830" s="53"/>
      <x:c r="AB830" s="53"/>
      <x:c r="AC830" s="53"/>
      <x:c r="AD830" s="53"/>
      <x:c r="AE830" s="53"/>
      <x:c r="AF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  <x:c r="AA831" s="53"/>
      <x:c r="AB831" s="53"/>
      <x:c r="AC831" s="53"/>
      <x:c r="AD831" s="53"/>
      <x:c r="AE831" s="53"/>
      <x:c r="AF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  <x:c r="AA832" s="53"/>
      <x:c r="AB832" s="53"/>
      <x:c r="AC832" s="53"/>
      <x:c r="AD832" s="53"/>
      <x:c r="AE832" s="53"/>
      <x:c r="AF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  <x:c r="AA833" s="53"/>
      <x:c r="AB833" s="53"/>
      <x:c r="AC833" s="53"/>
      <x:c r="AD833" s="53"/>
      <x:c r="AE833" s="53"/>
      <x:c r="AF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  <x:c r="AA834" s="53"/>
      <x:c r="AB834" s="53"/>
      <x:c r="AC834" s="53"/>
      <x:c r="AD834" s="53"/>
      <x:c r="AE834" s="53"/>
      <x:c r="AF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  <x:c r="AA835" s="53"/>
      <x:c r="AB835" s="53"/>
      <x:c r="AC835" s="53"/>
      <x:c r="AD835" s="53"/>
      <x:c r="AE835" s="53"/>
      <x:c r="AF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  <x:c r="AA836" s="53"/>
      <x:c r="AB836" s="53"/>
      <x:c r="AC836" s="53"/>
      <x:c r="AD836" s="53"/>
      <x:c r="AE836" s="53"/>
      <x:c r="AF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  <x:c r="AA837" s="53"/>
      <x:c r="AB837" s="53"/>
      <x:c r="AC837" s="53"/>
      <x:c r="AD837" s="53"/>
      <x:c r="AE837" s="53"/>
      <x:c r="AF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  <x:c r="AA838" s="53"/>
      <x:c r="AB838" s="53"/>
      <x:c r="AC838" s="53"/>
      <x:c r="AD838" s="53"/>
      <x:c r="AE838" s="53"/>
      <x:c r="AF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  <x:c r="AA839" s="53"/>
      <x:c r="AB839" s="53"/>
      <x:c r="AC839" s="53"/>
      <x:c r="AD839" s="53"/>
      <x:c r="AE839" s="53"/>
      <x:c r="AF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  <x:c r="AA840" s="53"/>
      <x:c r="AB840" s="53"/>
      <x:c r="AC840" s="53"/>
      <x:c r="AD840" s="53"/>
      <x:c r="AE840" s="53"/>
      <x:c r="AF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  <x:c r="AA841" s="53"/>
      <x:c r="AB841" s="53"/>
      <x:c r="AC841" s="53"/>
      <x:c r="AD841" s="53"/>
      <x:c r="AE841" s="53"/>
      <x:c r="AF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  <x:c r="AA842" s="53"/>
      <x:c r="AB842" s="53"/>
      <x:c r="AC842" s="53"/>
      <x:c r="AD842" s="53"/>
      <x:c r="AE842" s="53"/>
      <x:c r="AF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  <x:c r="AA843" s="53"/>
      <x:c r="AB843" s="53"/>
      <x:c r="AC843" s="53"/>
      <x:c r="AD843" s="53"/>
      <x:c r="AE843" s="53"/>
      <x:c r="AF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  <x:c r="AA844" s="53"/>
      <x:c r="AB844" s="53"/>
      <x:c r="AC844" s="53"/>
      <x:c r="AD844" s="53"/>
      <x:c r="AE844" s="53"/>
      <x:c r="AF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  <x:c r="AA845" s="53"/>
      <x:c r="AB845" s="53"/>
      <x:c r="AC845" s="53"/>
      <x:c r="AD845" s="53"/>
      <x:c r="AE845" s="53"/>
      <x:c r="AF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  <x:c r="AA846" s="53"/>
      <x:c r="AB846" s="53"/>
      <x:c r="AC846" s="53"/>
      <x:c r="AD846" s="53"/>
      <x:c r="AE846" s="53"/>
      <x:c r="AF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  <x:c r="AA847" s="53"/>
      <x:c r="AB847" s="53"/>
      <x:c r="AC847" s="53"/>
      <x:c r="AD847" s="53"/>
      <x:c r="AE847" s="53"/>
      <x:c r="AF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  <x:c r="AA848" s="53"/>
      <x:c r="AB848" s="53"/>
      <x:c r="AC848" s="53"/>
      <x:c r="AD848" s="53"/>
      <x:c r="AE848" s="53"/>
      <x:c r="AF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  <x:c r="AA849" s="53"/>
      <x:c r="AB849" s="53"/>
      <x:c r="AC849" s="53"/>
      <x:c r="AD849" s="53"/>
      <x:c r="AE849" s="53"/>
      <x:c r="AF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  <x:c r="AA850" s="53"/>
      <x:c r="AB850" s="53"/>
      <x:c r="AC850" s="53"/>
      <x:c r="AD850" s="53"/>
      <x:c r="AE850" s="53"/>
      <x:c r="AF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  <x:c r="AA851" s="53"/>
      <x:c r="AB851" s="53"/>
      <x:c r="AC851" s="53"/>
      <x:c r="AD851" s="53"/>
      <x:c r="AE851" s="53"/>
      <x:c r="AF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  <x:c r="AA852" s="53"/>
      <x:c r="AB852" s="53"/>
      <x:c r="AC852" s="53"/>
      <x:c r="AD852" s="53"/>
      <x:c r="AE852" s="53"/>
      <x:c r="AF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  <x:c r="AA853" s="53"/>
      <x:c r="AB853" s="53"/>
      <x:c r="AC853" s="53"/>
      <x:c r="AD853" s="53"/>
      <x:c r="AE853" s="53"/>
      <x:c r="AF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  <x:c r="AA854" s="53"/>
      <x:c r="AB854" s="53"/>
      <x:c r="AC854" s="53"/>
      <x:c r="AD854" s="53"/>
      <x:c r="AE854" s="53"/>
      <x:c r="AF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  <x:c r="AA855" s="53"/>
      <x:c r="AB855" s="53"/>
      <x:c r="AC855" s="53"/>
      <x:c r="AD855" s="53"/>
      <x:c r="AE855" s="53"/>
      <x:c r="AF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  <x:c r="AA856" s="53"/>
      <x:c r="AB856" s="53"/>
      <x:c r="AC856" s="53"/>
      <x:c r="AD856" s="53"/>
      <x:c r="AE856" s="53"/>
      <x:c r="AF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  <x:c r="AA857" s="53"/>
      <x:c r="AB857" s="53"/>
      <x:c r="AC857" s="53"/>
      <x:c r="AD857" s="53"/>
      <x:c r="AE857" s="53"/>
      <x:c r="AF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  <x:c r="AA858" s="53"/>
      <x:c r="AB858" s="53"/>
      <x:c r="AC858" s="53"/>
      <x:c r="AD858" s="53"/>
      <x:c r="AE858" s="53"/>
      <x:c r="AF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  <x:c r="AA859" s="53"/>
      <x:c r="AB859" s="53"/>
      <x:c r="AC859" s="53"/>
      <x:c r="AD859" s="53"/>
      <x:c r="AE859" s="53"/>
      <x:c r="AF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  <x:c r="AA860" s="53"/>
      <x:c r="AB860" s="53"/>
      <x:c r="AC860" s="53"/>
      <x:c r="AD860" s="53"/>
      <x:c r="AE860" s="53"/>
      <x:c r="AF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  <x:c r="AA861" s="53"/>
      <x:c r="AB861" s="53"/>
      <x:c r="AC861" s="53"/>
      <x:c r="AD861" s="53"/>
      <x:c r="AE861" s="53"/>
      <x:c r="AF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  <x:c r="AA862" s="53"/>
      <x:c r="AB862" s="53"/>
      <x:c r="AC862" s="53"/>
      <x:c r="AD862" s="53"/>
      <x:c r="AE862" s="53"/>
      <x:c r="AF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  <x:c r="AA863" s="53"/>
      <x:c r="AB863" s="53"/>
      <x:c r="AC863" s="53"/>
      <x:c r="AD863" s="53"/>
      <x:c r="AE863" s="53"/>
      <x:c r="AF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  <x:c r="AA864" s="53"/>
      <x:c r="AB864" s="53"/>
      <x:c r="AC864" s="53"/>
      <x:c r="AD864" s="53"/>
      <x:c r="AE864" s="53"/>
      <x:c r="AF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  <x:c r="AA865" s="53"/>
      <x:c r="AB865" s="53"/>
      <x:c r="AC865" s="53"/>
      <x:c r="AD865" s="53"/>
      <x:c r="AE865" s="53"/>
      <x:c r="AF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  <x:c r="AA866" s="53"/>
      <x:c r="AB866" s="53"/>
      <x:c r="AC866" s="53"/>
      <x:c r="AD866" s="53"/>
      <x:c r="AE866" s="53"/>
      <x:c r="AF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  <x:c r="AA867" s="53"/>
      <x:c r="AB867" s="53"/>
      <x:c r="AC867" s="53"/>
      <x:c r="AD867" s="53"/>
      <x:c r="AE867" s="53"/>
      <x:c r="AF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  <x:c r="AA868" s="53"/>
      <x:c r="AB868" s="53"/>
      <x:c r="AC868" s="53"/>
      <x:c r="AD868" s="53"/>
      <x:c r="AE868" s="53"/>
      <x:c r="AF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  <x:c r="AA869" s="53"/>
      <x:c r="AB869" s="53"/>
      <x:c r="AC869" s="53"/>
      <x:c r="AD869" s="53"/>
      <x:c r="AE869" s="53"/>
      <x:c r="AF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  <x:c r="AA870" s="53"/>
      <x:c r="AB870" s="53"/>
      <x:c r="AC870" s="53"/>
      <x:c r="AD870" s="53"/>
      <x:c r="AE870" s="53"/>
      <x:c r="AF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  <x:c r="AA871" s="53"/>
      <x:c r="AB871" s="53"/>
      <x:c r="AC871" s="53"/>
      <x:c r="AD871" s="53"/>
      <x:c r="AE871" s="53"/>
      <x:c r="AF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  <x:c r="AA872" s="53"/>
      <x:c r="AB872" s="53"/>
      <x:c r="AC872" s="53"/>
      <x:c r="AD872" s="53"/>
      <x:c r="AE872" s="53"/>
      <x:c r="AF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  <x:c r="AA873" s="53"/>
      <x:c r="AB873" s="53"/>
      <x:c r="AC873" s="53"/>
      <x:c r="AD873" s="53"/>
      <x:c r="AE873" s="53"/>
      <x:c r="AF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  <x:c r="AA874" s="53"/>
      <x:c r="AB874" s="53"/>
      <x:c r="AC874" s="53"/>
      <x:c r="AD874" s="53"/>
      <x:c r="AE874" s="53"/>
      <x:c r="AF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  <x:c r="AA875" s="53"/>
      <x:c r="AB875" s="53"/>
      <x:c r="AC875" s="53"/>
      <x:c r="AD875" s="53"/>
      <x:c r="AE875" s="53"/>
      <x:c r="AF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  <x:c r="AA876" s="53"/>
      <x:c r="AB876" s="53"/>
      <x:c r="AC876" s="53"/>
      <x:c r="AD876" s="53"/>
      <x:c r="AE876" s="53"/>
      <x:c r="AF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  <x:c r="AA877" s="53"/>
      <x:c r="AB877" s="53"/>
      <x:c r="AC877" s="53"/>
      <x:c r="AD877" s="53"/>
      <x:c r="AE877" s="53"/>
      <x:c r="AF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  <x:c r="AA878" s="53"/>
      <x:c r="AB878" s="53"/>
      <x:c r="AC878" s="53"/>
      <x:c r="AD878" s="53"/>
      <x:c r="AE878" s="53"/>
      <x:c r="AF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  <x:c r="AA879" s="53"/>
      <x:c r="AB879" s="53"/>
      <x:c r="AC879" s="53"/>
      <x:c r="AD879" s="53"/>
      <x:c r="AE879" s="53"/>
      <x:c r="AF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  <x:c r="AA880" s="53"/>
      <x:c r="AB880" s="53"/>
      <x:c r="AC880" s="53"/>
      <x:c r="AD880" s="53"/>
      <x:c r="AE880" s="53"/>
      <x:c r="AF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  <x:c r="AA881" s="53"/>
      <x:c r="AB881" s="53"/>
      <x:c r="AC881" s="53"/>
      <x:c r="AD881" s="53"/>
      <x:c r="AE881" s="53"/>
      <x:c r="AF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  <x:c r="AA882" s="53"/>
      <x:c r="AB882" s="53"/>
      <x:c r="AC882" s="53"/>
      <x:c r="AD882" s="53"/>
      <x:c r="AE882" s="53"/>
      <x:c r="AF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  <x:c r="AA883" s="53"/>
      <x:c r="AB883" s="53"/>
      <x:c r="AC883" s="53"/>
      <x:c r="AD883" s="53"/>
      <x:c r="AE883" s="53"/>
      <x:c r="AF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  <x:c r="AA884" s="53"/>
      <x:c r="AB884" s="53"/>
      <x:c r="AC884" s="53"/>
      <x:c r="AD884" s="53"/>
      <x:c r="AE884" s="53"/>
      <x:c r="AF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  <x:c r="AA885" s="53"/>
      <x:c r="AB885" s="53"/>
      <x:c r="AC885" s="53"/>
      <x:c r="AD885" s="53"/>
      <x:c r="AE885" s="53"/>
      <x:c r="AF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  <x:c r="AA886" s="53"/>
      <x:c r="AB886" s="53"/>
      <x:c r="AC886" s="53"/>
      <x:c r="AD886" s="53"/>
      <x:c r="AE886" s="53"/>
      <x:c r="AF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  <x:c r="AA887" s="53"/>
      <x:c r="AB887" s="53"/>
      <x:c r="AC887" s="53"/>
      <x:c r="AD887" s="53"/>
      <x:c r="AE887" s="53"/>
      <x:c r="AF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  <x:c r="AA888" s="53"/>
      <x:c r="AB888" s="53"/>
      <x:c r="AC888" s="53"/>
      <x:c r="AD888" s="53"/>
      <x:c r="AE888" s="53"/>
      <x:c r="AF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  <x:c r="AA889" s="53"/>
      <x:c r="AB889" s="53"/>
      <x:c r="AC889" s="53"/>
      <x:c r="AD889" s="53"/>
      <x:c r="AE889" s="53"/>
      <x:c r="AF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  <x:c r="AA890" s="53"/>
      <x:c r="AB890" s="53"/>
      <x:c r="AC890" s="53"/>
      <x:c r="AD890" s="53"/>
      <x:c r="AE890" s="53"/>
      <x:c r="AF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  <x:c r="AA891" s="53"/>
      <x:c r="AB891" s="53"/>
      <x:c r="AC891" s="53"/>
      <x:c r="AD891" s="53"/>
      <x:c r="AE891" s="53"/>
      <x:c r="AF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  <x:c r="AA892" s="53"/>
      <x:c r="AB892" s="53"/>
      <x:c r="AC892" s="53"/>
      <x:c r="AD892" s="53"/>
      <x:c r="AE892" s="53"/>
      <x:c r="AF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  <x:c r="AA893" s="53"/>
      <x:c r="AB893" s="53"/>
      <x:c r="AC893" s="53"/>
      <x:c r="AD893" s="53"/>
      <x:c r="AE893" s="53"/>
      <x:c r="AF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  <x:c r="AA894" s="53"/>
      <x:c r="AB894" s="53"/>
      <x:c r="AC894" s="53"/>
      <x:c r="AD894" s="53"/>
      <x:c r="AE894" s="53"/>
      <x:c r="AF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  <x:c r="AA895" s="53"/>
      <x:c r="AB895" s="53"/>
      <x:c r="AC895" s="53"/>
      <x:c r="AD895" s="53"/>
      <x:c r="AE895" s="53"/>
      <x:c r="AF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  <x:c r="AA896" s="53"/>
      <x:c r="AB896" s="53"/>
      <x:c r="AC896" s="53"/>
      <x:c r="AD896" s="53"/>
      <x:c r="AE896" s="53"/>
      <x:c r="AF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  <x:c r="AA897" s="53"/>
      <x:c r="AB897" s="53"/>
      <x:c r="AC897" s="53"/>
      <x:c r="AD897" s="53"/>
      <x:c r="AE897" s="53"/>
      <x:c r="AF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  <x:c r="AA898" s="53"/>
      <x:c r="AB898" s="53"/>
      <x:c r="AC898" s="53"/>
      <x:c r="AD898" s="53"/>
      <x:c r="AE898" s="53"/>
      <x:c r="AF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  <x:c r="AA899" s="53"/>
      <x:c r="AB899" s="53"/>
      <x:c r="AC899" s="53"/>
      <x:c r="AD899" s="53"/>
      <x:c r="AE899" s="53"/>
      <x:c r="AF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  <x:c r="AA900" s="53"/>
      <x:c r="AB900" s="53"/>
      <x:c r="AC900" s="53"/>
      <x:c r="AD900" s="53"/>
      <x:c r="AE900" s="53"/>
      <x:c r="AF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  <x:c r="AA901" s="53"/>
      <x:c r="AB901" s="53"/>
      <x:c r="AC901" s="53"/>
      <x:c r="AD901" s="53"/>
      <x:c r="AE901" s="53"/>
      <x:c r="AF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  <x:c r="AA902" s="53"/>
      <x:c r="AB902" s="53"/>
      <x:c r="AC902" s="53"/>
      <x:c r="AD902" s="53"/>
      <x:c r="AE902" s="53"/>
      <x:c r="AF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  <x:c r="AA903" s="53"/>
      <x:c r="AB903" s="53"/>
      <x:c r="AC903" s="53"/>
      <x:c r="AD903" s="53"/>
      <x:c r="AE903" s="53"/>
      <x:c r="AF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  <x:c r="AA904" s="53"/>
      <x:c r="AB904" s="53"/>
      <x:c r="AC904" s="53"/>
      <x:c r="AD904" s="53"/>
      <x:c r="AE904" s="53"/>
      <x:c r="AF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  <x:c r="AA905" s="53"/>
      <x:c r="AB905" s="53"/>
      <x:c r="AC905" s="53"/>
      <x:c r="AD905" s="53"/>
      <x:c r="AE905" s="53"/>
      <x:c r="AF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  <x:c r="AA906" s="53"/>
      <x:c r="AB906" s="53"/>
      <x:c r="AC906" s="53"/>
      <x:c r="AD906" s="53"/>
      <x:c r="AE906" s="53"/>
      <x:c r="AF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  <x:c r="AA907" s="53"/>
      <x:c r="AB907" s="53"/>
      <x:c r="AC907" s="53"/>
      <x:c r="AD907" s="53"/>
      <x:c r="AE907" s="53"/>
      <x:c r="AF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  <x:c r="AA908" s="53"/>
      <x:c r="AB908" s="53"/>
      <x:c r="AC908" s="53"/>
      <x:c r="AD908" s="53"/>
      <x:c r="AE908" s="53"/>
      <x:c r="AF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  <x:c r="AA909" s="53"/>
      <x:c r="AB909" s="53"/>
      <x:c r="AC909" s="53"/>
      <x:c r="AD909" s="53"/>
      <x:c r="AE909" s="53"/>
      <x:c r="AF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  <x:c r="AA910" s="53"/>
      <x:c r="AB910" s="53"/>
      <x:c r="AC910" s="53"/>
      <x:c r="AD910" s="53"/>
      <x:c r="AE910" s="53"/>
      <x:c r="AF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  <x:c r="AA911" s="53"/>
      <x:c r="AB911" s="53"/>
      <x:c r="AC911" s="53"/>
      <x:c r="AD911" s="53"/>
      <x:c r="AE911" s="53"/>
      <x:c r="AF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  <x:c r="AA912" s="53"/>
      <x:c r="AB912" s="53"/>
      <x:c r="AC912" s="53"/>
      <x:c r="AD912" s="53"/>
      <x:c r="AE912" s="53"/>
      <x:c r="AF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  <x:c r="AA913" s="53"/>
      <x:c r="AB913" s="53"/>
      <x:c r="AC913" s="53"/>
      <x:c r="AD913" s="53"/>
      <x:c r="AE913" s="53"/>
      <x:c r="AF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  <x:c r="AA914" s="53"/>
      <x:c r="AB914" s="53"/>
      <x:c r="AC914" s="53"/>
      <x:c r="AD914" s="53"/>
      <x:c r="AE914" s="53"/>
      <x:c r="AF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  <x:c r="AA915" s="53"/>
      <x:c r="AB915" s="53"/>
      <x:c r="AC915" s="53"/>
      <x:c r="AD915" s="53"/>
      <x:c r="AE915" s="53"/>
      <x:c r="AF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  <x:c r="AA916" s="53"/>
      <x:c r="AB916" s="53"/>
      <x:c r="AC916" s="53"/>
      <x:c r="AD916" s="53"/>
      <x:c r="AE916" s="53"/>
      <x:c r="AF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  <x:c r="AA917" s="53"/>
      <x:c r="AB917" s="53"/>
      <x:c r="AC917" s="53"/>
      <x:c r="AD917" s="53"/>
      <x:c r="AE917" s="53"/>
      <x:c r="AF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  <x:c r="AA918" s="53"/>
      <x:c r="AB918" s="53"/>
      <x:c r="AC918" s="53"/>
      <x:c r="AD918" s="53"/>
      <x:c r="AE918" s="53"/>
      <x:c r="AF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  <x:c r="AA919" s="53"/>
      <x:c r="AB919" s="53"/>
      <x:c r="AC919" s="53"/>
      <x:c r="AD919" s="53"/>
      <x:c r="AE919" s="53"/>
      <x:c r="AF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  <x:c r="AA920" s="53"/>
      <x:c r="AB920" s="53"/>
      <x:c r="AC920" s="53"/>
      <x:c r="AD920" s="53"/>
      <x:c r="AE920" s="53"/>
      <x:c r="AF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  <x:c r="AA921" s="53"/>
      <x:c r="AB921" s="53"/>
      <x:c r="AC921" s="53"/>
      <x:c r="AD921" s="53"/>
      <x:c r="AE921" s="53"/>
      <x:c r="AF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  <x:c r="AA922" s="53"/>
      <x:c r="AB922" s="53"/>
      <x:c r="AC922" s="53"/>
      <x:c r="AD922" s="53"/>
      <x:c r="AE922" s="53"/>
      <x:c r="AF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  <x:c r="AA923" s="53"/>
      <x:c r="AB923" s="53"/>
      <x:c r="AC923" s="53"/>
      <x:c r="AD923" s="53"/>
      <x:c r="AE923" s="53"/>
      <x:c r="AF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  <x:c r="AA924" s="53"/>
      <x:c r="AB924" s="53"/>
      <x:c r="AC924" s="53"/>
      <x:c r="AD924" s="53"/>
      <x:c r="AE924" s="53"/>
      <x:c r="AF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  <x:c r="AA925" s="53"/>
      <x:c r="AB925" s="53"/>
      <x:c r="AC925" s="53"/>
      <x:c r="AD925" s="53"/>
      <x:c r="AE925" s="53"/>
      <x:c r="AF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  <x:c r="AA926" s="53"/>
      <x:c r="AB926" s="53"/>
      <x:c r="AC926" s="53"/>
      <x:c r="AD926" s="53"/>
      <x:c r="AE926" s="53"/>
      <x:c r="AF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  <x:c r="AA927" s="53"/>
      <x:c r="AB927" s="53"/>
      <x:c r="AC927" s="53"/>
      <x:c r="AD927" s="53"/>
      <x:c r="AE927" s="53"/>
      <x:c r="AF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  <x:c r="AA928" s="53"/>
      <x:c r="AB928" s="53"/>
      <x:c r="AC928" s="53"/>
      <x:c r="AD928" s="53"/>
      <x:c r="AE928" s="53"/>
      <x:c r="AF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  <x:c r="AA929" s="53"/>
      <x:c r="AB929" s="53"/>
      <x:c r="AC929" s="53"/>
      <x:c r="AD929" s="53"/>
      <x:c r="AE929" s="53"/>
      <x:c r="AF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  <x:c r="AA930" s="53"/>
      <x:c r="AB930" s="53"/>
      <x:c r="AC930" s="53"/>
      <x:c r="AD930" s="53"/>
      <x:c r="AE930" s="53"/>
      <x:c r="AF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  <x:c r="AA931" s="53"/>
      <x:c r="AB931" s="53"/>
      <x:c r="AC931" s="53"/>
      <x:c r="AD931" s="53"/>
      <x:c r="AE931" s="53"/>
      <x:c r="AF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  <x:c r="AA932" s="53"/>
      <x:c r="AB932" s="53"/>
      <x:c r="AC932" s="53"/>
      <x:c r="AD932" s="53"/>
      <x:c r="AE932" s="53"/>
      <x:c r="AF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  <x:c r="AA933" s="53"/>
      <x:c r="AB933" s="53"/>
      <x:c r="AC933" s="53"/>
      <x:c r="AD933" s="53"/>
      <x:c r="AE933" s="53"/>
      <x:c r="AF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  <x:c r="AA934" s="53"/>
      <x:c r="AB934" s="53"/>
      <x:c r="AC934" s="53"/>
      <x:c r="AD934" s="53"/>
      <x:c r="AE934" s="53"/>
      <x:c r="AF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  <x:c r="AA935" s="53"/>
      <x:c r="AB935" s="53"/>
      <x:c r="AC935" s="53"/>
      <x:c r="AD935" s="53"/>
      <x:c r="AE935" s="53"/>
      <x:c r="AF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  <x:c r="AA936" s="53"/>
      <x:c r="AB936" s="53"/>
      <x:c r="AC936" s="53"/>
      <x:c r="AD936" s="53"/>
      <x:c r="AE936" s="53"/>
      <x:c r="AF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  <x:c r="AA937" s="53"/>
      <x:c r="AB937" s="53"/>
      <x:c r="AC937" s="53"/>
      <x:c r="AD937" s="53"/>
      <x:c r="AE937" s="53"/>
      <x:c r="AF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  <x:c r="AA938" s="53"/>
      <x:c r="AB938" s="53"/>
      <x:c r="AC938" s="53"/>
      <x:c r="AD938" s="53"/>
      <x:c r="AE938" s="53"/>
      <x:c r="AF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  <x:c r="AA939" s="53"/>
      <x:c r="AB939" s="53"/>
      <x:c r="AC939" s="53"/>
      <x:c r="AD939" s="53"/>
      <x:c r="AE939" s="53"/>
      <x:c r="AF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  <x:c r="AA940" s="53"/>
      <x:c r="AB940" s="53"/>
      <x:c r="AC940" s="53"/>
      <x:c r="AD940" s="53"/>
      <x:c r="AE940" s="53"/>
      <x:c r="AF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  <x:c r="AA941" s="53"/>
      <x:c r="AB941" s="53"/>
      <x:c r="AC941" s="53"/>
      <x:c r="AD941" s="53"/>
      <x:c r="AE941" s="53"/>
      <x:c r="AF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  <x:c r="AA942" s="53"/>
      <x:c r="AB942" s="53"/>
      <x:c r="AC942" s="53"/>
      <x:c r="AD942" s="53"/>
      <x:c r="AE942" s="53"/>
      <x:c r="AF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  <x:c r="AA943" s="53"/>
      <x:c r="AB943" s="53"/>
      <x:c r="AC943" s="53"/>
      <x:c r="AD943" s="53"/>
      <x:c r="AE943" s="53"/>
      <x:c r="AF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  <x:c r="AA944" s="53"/>
      <x:c r="AB944" s="53"/>
      <x:c r="AC944" s="53"/>
      <x:c r="AD944" s="53"/>
      <x:c r="AE944" s="53"/>
      <x:c r="AF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  <x:c r="AA945" s="53"/>
      <x:c r="AB945" s="53"/>
      <x:c r="AC945" s="53"/>
      <x:c r="AD945" s="53"/>
      <x:c r="AE945" s="53"/>
      <x:c r="AF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  <x:c r="AA946" s="53"/>
      <x:c r="AB946" s="53"/>
      <x:c r="AC946" s="53"/>
      <x:c r="AD946" s="53"/>
      <x:c r="AE946" s="53"/>
      <x:c r="AF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  <x:c r="AA947" s="53"/>
      <x:c r="AB947" s="53"/>
      <x:c r="AC947" s="53"/>
      <x:c r="AD947" s="53"/>
      <x:c r="AE947" s="53"/>
      <x:c r="AF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  <x:c r="AA948" s="53"/>
      <x:c r="AB948" s="53"/>
      <x:c r="AC948" s="53"/>
      <x:c r="AD948" s="53"/>
      <x:c r="AE948" s="53"/>
      <x:c r="AF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  <x:c r="AA949" s="53"/>
      <x:c r="AB949" s="53"/>
      <x:c r="AC949" s="53"/>
      <x:c r="AD949" s="53"/>
      <x:c r="AE949" s="53"/>
      <x:c r="AF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  <x:c r="AA950" s="53"/>
      <x:c r="AB950" s="53"/>
      <x:c r="AC950" s="53"/>
      <x:c r="AD950" s="53"/>
      <x:c r="AE950" s="53"/>
      <x:c r="AF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  <x:c r="AA951" s="53"/>
      <x:c r="AB951" s="53"/>
      <x:c r="AC951" s="53"/>
      <x:c r="AD951" s="53"/>
      <x:c r="AE951" s="53"/>
      <x:c r="AF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  <x:c r="AA952" s="53"/>
      <x:c r="AB952" s="53"/>
      <x:c r="AC952" s="53"/>
      <x:c r="AD952" s="53"/>
      <x:c r="AE952" s="53"/>
      <x:c r="AF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  <x:c r="AA953" s="53"/>
      <x:c r="AB953" s="53"/>
      <x:c r="AC953" s="53"/>
      <x:c r="AD953" s="53"/>
      <x:c r="AE953" s="53"/>
      <x:c r="AF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  <x:c r="AA954" s="53"/>
      <x:c r="AB954" s="53"/>
      <x:c r="AC954" s="53"/>
      <x:c r="AD954" s="53"/>
      <x:c r="AE954" s="53"/>
      <x:c r="AF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  <x:c r="AA955" s="53"/>
      <x:c r="AB955" s="53"/>
      <x:c r="AC955" s="53"/>
      <x:c r="AD955" s="53"/>
      <x:c r="AE955" s="53"/>
      <x:c r="AF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  <x:c r="AA956" s="53"/>
      <x:c r="AB956" s="53"/>
      <x:c r="AC956" s="53"/>
      <x:c r="AD956" s="53"/>
      <x:c r="AE956" s="53"/>
      <x:c r="AF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  <x:c r="AA957" s="53"/>
      <x:c r="AB957" s="53"/>
      <x:c r="AC957" s="53"/>
      <x:c r="AD957" s="53"/>
      <x:c r="AE957" s="53"/>
      <x:c r="AF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  <x:c r="AA958" s="53"/>
      <x:c r="AB958" s="53"/>
      <x:c r="AC958" s="53"/>
      <x:c r="AD958" s="53"/>
      <x:c r="AE958" s="53"/>
      <x:c r="AF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  <x:c r="AA959" s="53"/>
      <x:c r="AB959" s="53"/>
      <x:c r="AC959" s="53"/>
      <x:c r="AD959" s="53"/>
      <x:c r="AE959" s="53"/>
      <x:c r="AF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  <x:c r="AA960" s="53"/>
      <x:c r="AB960" s="53"/>
      <x:c r="AC960" s="53"/>
      <x:c r="AD960" s="53"/>
      <x:c r="AE960" s="53"/>
      <x:c r="AF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  <x:c r="AA961" s="53"/>
      <x:c r="AB961" s="53"/>
      <x:c r="AC961" s="53"/>
      <x:c r="AD961" s="53"/>
      <x:c r="AE961" s="53"/>
      <x:c r="AF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  <x:c r="AA962" s="53"/>
      <x:c r="AB962" s="53"/>
      <x:c r="AC962" s="53"/>
      <x:c r="AD962" s="53"/>
      <x:c r="AE962" s="53"/>
      <x:c r="AF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  <x:c r="AA963" s="53"/>
      <x:c r="AB963" s="53"/>
      <x:c r="AC963" s="53"/>
      <x:c r="AD963" s="53"/>
      <x:c r="AE963" s="53"/>
      <x:c r="AF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  <x:c r="AA964" s="53"/>
      <x:c r="AB964" s="53"/>
      <x:c r="AC964" s="53"/>
      <x:c r="AD964" s="53"/>
      <x:c r="AE964" s="53"/>
      <x:c r="AF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  <x:c r="AA965" s="53"/>
      <x:c r="AB965" s="53"/>
      <x:c r="AC965" s="53"/>
      <x:c r="AD965" s="53"/>
      <x:c r="AE965" s="53"/>
      <x:c r="AF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  <x:c r="AA966" s="53"/>
      <x:c r="AB966" s="53"/>
      <x:c r="AC966" s="53"/>
      <x:c r="AD966" s="53"/>
      <x:c r="AE966" s="53"/>
      <x:c r="AF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  <x:c r="AA967" s="53"/>
      <x:c r="AB967" s="53"/>
      <x:c r="AC967" s="53"/>
      <x:c r="AD967" s="53"/>
      <x:c r="AE967" s="53"/>
      <x:c r="AF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  <x:c r="AA968" s="53"/>
      <x:c r="AB968" s="53"/>
      <x:c r="AC968" s="53"/>
      <x:c r="AD968" s="53"/>
      <x:c r="AE968" s="53"/>
      <x:c r="AF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  <x:c r="AA969" s="53"/>
      <x:c r="AB969" s="53"/>
      <x:c r="AC969" s="53"/>
      <x:c r="AD969" s="53"/>
      <x:c r="AE969" s="53"/>
      <x:c r="AF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  <x:c r="AA970" s="53"/>
      <x:c r="AB970" s="53"/>
      <x:c r="AC970" s="53"/>
      <x:c r="AD970" s="53"/>
      <x:c r="AE970" s="53"/>
      <x:c r="AF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  <x:c r="AA971" s="53"/>
      <x:c r="AB971" s="53"/>
      <x:c r="AC971" s="53"/>
      <x:c r="AD971" s="53"/>
      <x:c r="AE971" s="53"/>
      <x:c r="AF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  <x:c r="AA972" s="53"/>
      <x:c r="AB972" s="53"/>
      <x:c r="AC972" s="53"/>
      <x:c r="AD972" s="53"/>
      <x:c r="AE972" s="53"/>
      <x:c r="AF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  <x:c r="AA973" s="53"/>
      <x:c r="AB973" s="53"/>
      <x:c r="AC973" s="53"/>
      <x:c r="AD973" s="53"/>
      <x:c r="AE973" s="53"/>
      <x:c r="AF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  <x:c r="AA974" s="53"/>
      <x:c r="AB974" s="53"/>
      <x:c r="AC974" s="53"/>
      <x:c r="AD974" s="53"/>
      <x:c r="AE974" s="53"/>
      <x:c r="AF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  <x:c r="AA975" s="53"/>
      <x:c r="AB975" s="53"/>
      <x:c r="AC975" s="53"/>
      <x:c r="AD975" s="53"/>
      <x:c r="AE975" s="53"/>
      <x:c r="AF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  <x:c r="AA976" s="53"/>
      <x:c r="AB976" s="53"/>
      <x:c r="AC976" s="53"/>
      <x:c r="AD976" s="53"/>
      <x:c r="AE976" s="53"/>
      <x:c r="AF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  <x:c r="AA977" s="53"/>
      <x:c r="AB977" s="53"/>
      <x:c r="AC977" s="53"/>
      <x:c r="AD977" s="53"/>
      <x:c r="AE977" s="53"/>
      <x:c r="AF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  <x:c r="AA978" s="53"/>
      <x:c r="AB978" s="53"/>
      <x:c r="AC978" s="53"/>
      <x:c r="AD978" s="53"/>
      <x:c r="AE978" s="53"/>
      <x:c r="AF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  <x:c r="AA979" s="53"/>
      <x:c r="AB979" s="53"/>
      <x:c r="AC979" s="53"/>
      <x:c r="AD979" s="53"/>
      <x:c r="AE979" s="53"/>
      <x:c r="AF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  <x:c r="AA980" s="53"/>
      <x:c r="AB980" s="53"/>
      <x:c r="AC980" s="53"/>
      <x:c r="AD980" s="53"/>
      <x:c r="AE980" s="53"/>
      <x:c r="AF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  <x:c r="AA981" s="53"/>
      <x:c r="AB981" s="53"/>
      <x:c r="AC981" s="53"/>
      <x:c r="AD981" s="53"/>
      <x:c r="AE981" s="53"/>
      <x:c r="AF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  <x:c r="AA982" s="53"/>
      <x:c r="AB982" s="53"/>
      <x:c r="AC982" s="53"/>
      <x:c r="AD982" s="53"/>
      <x:c r="AE982" s="53"/>
      <x:c r="AF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  <x:c r="AA983" s="53"/>
      <x:c r="AB983" s="53"/>
      <x:c r="AC983" s="53"/>
      <x:c r="AD983" s="53"/>
      <x:c r="AE983" s="53"/>
      <x:c r="AF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  <x:c r="AA984" s="53"/>
      <x:c r="AB984" s="53"/>
      <x:c r="AC984" s="53"/>
      <x:c r="AD984" s="53"/>
      <x:c r="AE984" s="53"/>
      <x:c r="AF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  <x:c r="AA985" s="53"/>
      <x:c r="AB985" s="53"/>
      <x:c r="AC985" s="53"/>
      <x:c r="AD985" s="53"/>
      <x:c r="AE985" s="53"/>
      <x:c r="AF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  <x:c r="AA986" s="53"/>
      <x:c r="AB986" s="53"/>
      <x:c r="AC986" s="53"/>
      <x:c r="AD986" s="53"/>
      <x:c r="AE986" s="53"/>
      <x:c r="AF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  <x:c r="AA987" s="53"/>
      <x:c r="AB987" s="53"/>
      <x:c r="AC987" s="53"/>
      <x:c r="AD987" s="53"/>
      <x:c r="AE987" s="53"/>
      <x:c r="AF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  <x:c r="AA988" s="53"/>
      <x:c r="AB988" s="53"/>
      <x:c r="AC988" s="53"/>
      <x:c r="AD988" s="53"/>
      <x:c r="AE988" s="53"/>
      <x:c r="AF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  <x:c r="AA989" s="53"/>
      <x:c r="AB989" s="53"/>
      <x:c r="AC989" s="53"/>
      <x:c r="AD989" s="53"/>
      <x:c r="AE989" s="53"/>
      <x:c r="AF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  <x:c r="AA990" s="53"/>
      <x:c r="AB990" s="53"/>
      <x:c r="AC990" s="53"/>
      <x:c r="AD990" s="53"/>
      <x:c r="AE990" s="53"/>
      <x:c r="AF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  <x:c r="AA991" s="53"/>
      <x:c r="AB991" s="53"/>
      <x:c r="AC991" s="53"/>
      <x:c r="AD991" s="53"/>
      <x:c r="AE991" s="53"/>
      <x:c r="AF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  <x:c r="AA992" s="53"/>
      <x:c r="AB992" s="53"/>
      <x:c r="AC992" s="53"/>
      <x:c r="AD992" s="53"/>
      <x:c r="AE992" s="53"/>
      <x:c r="AF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  <x:c r="AA993" s="53"/>
      <x:c r="AB993" s="53"/>
      <x:c r="AC993" s="53"/>
      <x:c r="AD993" s="53"/>
      <x:c r="AE993" s="53"/>
      <x:c r="AF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  <x:c r="AA994" s="53"/>
      <x:c r="AB994" s="53"/>
      <x:c r="AC994" s="53"/>
      <x:c r="AD994" s="53"/>
      <x:c r="AE994" s="53"/>
      <x:c r="AF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  <x:c r="AA995" s="53"/>
      <x:c r="AB995" s="53"/>
      <x:c r="AC995" s="53"/>
      <x:c r="AD995" s="53"/>
      <x:c r="AE995" s="53"/>
      <x:c r="AF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  <x:c r="AA996" s="53"/>
      <x:c r="AB996" s="53"/>
      <x:c r="AC996" s="53"/>
      <x:c r="AD996" s="53"/>
      <x:c r="AE996" s="53"/>
      <x:c r="AF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  <x:c r="AA997" s="53"/>
      <x:c r="AB997" s="53"/>
      <x:c r="AC997" s="53"/>
      <x:c r="AD997" s="53"/>
      <x:c r="AE997" s="53"/>
      <x:c r="AF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  <x:c r="AA998" s="53"/>
      <x:c r="AB998" s="53"/>
      <x:c r="AC998" s="53"/>
      <x:c r="AD998" s="53"/>
      <x:c r="AE998" s="53"/>
      <x:c r="AF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  <x:c r="AA999" s="53"/>
      <x:c r="AB999" s="53"/>
      <x:c r="AC999" s="53"/>
      <x:c r="AD999" s="53"/>
      <x:c r="AE999" s="53"/>
      <x:c r="AF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  <x:c r="AA1000" s="53"/>
      <x:c r="AB1000" s="53"/>
      <x:c r="AC1000" s="53"/>
      <x:c r="AD1000" s="53"/>
      <x:c r="AE1000" s="53"/>
      <x:c r="AF1000" s="53"/>
    </x:row>
    <x:row r="1001">
      <x:c r="A1001" s="53"/>
      <x:c r="B1001" s="53"/>
      <x:c r="C1001" s="53"/>
      <x:c r="D1001" s="53"/>
      <x:c r="E1001" s="53"/>
      <x:c r="F1001" s="53"/>
      <x:c r="G1001" s="53"/>
      <x:c r="H1001" s="53"/>
      <x:c r="I1001" s="53"/>
      <x:c r="J1001" s="53"/>
      <x:c r="K1001" s="53"/>
      <x:c r="L1001" s="53"/>
      <x:c r="M1001" s="53"/>
      <x:c r="N1001" s="53"/>
      <x:c r="O1001" s="53"/>
      <x:c r="P1001" s="53"/>
      <x:c r="Q1001" s="53"/>
      <x:c r="R1001" s="53"/>
      <x:c r="S1001" s="53"/>
      <x:c r="T1001" s="53"/>
      <x:c r="U1001" s="53"/>
      <x:c r="V1001" s="53"/>
      <x:c r="W1001" s="53"/>
      <x:c r="X1001" s="53"/>
      <x:c r="Y1001" s="53"/>
      <x:c r="Z1001" s="53"/>
      <x:c r="AA1001" s="53"/>
      <x:c r="AB1001" s="53"/>
      <x:c r="AC1001" s="53"/>
      <x:c r="AD1001" s="53"/>
      <x:c r="AE1001" s="53"/>
      <x:c r="AF1001" s="53"/>
    </x:row>
    <x:row r="1002">
      <x:c r="A1002" s="53"/>
      <x:c r="B1002" s="53"/>
      <x:c r="C1002" s="53"/>
      <x:c r="D1002" s="53"/>
      <x:c r="E1002" s="53"/>
      <x:c r="F1002" s="53"/>
      <x:c r="G1002" s="53"/>
      <x:c r="H1002" s="53"/>
      <x:c r="I1002" s="53"/>
      <x:c r="J1002" s="53"/>
      <x:c r="K1002" s="53"/>
      <x:c r="L1002" s="53"/>
      <x:c r="M1002" s="53"/>
      <x:c r="N1002" s="53"/>
      <x:c r="O1002" s="53"/>
      <x:c r="P1002" s="53"/>
      <x:c r="Q1002" s="53"/>
      <x:c r="R1002" s="53"/>
      <x:c r="S1002" s="53"/>
      <x:c r="T1002" s="53"/>
      <x:c r="U1002" s="53"/>
      <x:c r="V1002" s="53"/>
      <x:c r="W1002" s="53"/>
      <x:c r="X1002" s="53"/>
      <x:c r="Y1002" s="53"/>
      <x:c r="Z1002" s="53"/>
      <x:c r="AA1002" s="53"/>
      <x:c r="AB1002" s="53"/>
      <x:c r="AC1002" s="53"/>
      <x:c r="AD1002" s="53"/>
      <x:c r="AE1002" s="53"/>
      <x:c r="AF1002" s="53"/>
    </x:row>
    <x:row r="1003">
      <x:c r="A1003" s="53"/>
      <x:c r="B1003" s="53"/>
      <x:c r="C1003" s="53"/>
      <x:c r="D1003" s="53"/>
      <x:c r="E1003" s="53"/>
      <x:c r="F1003" s="53"/>
      <x:c r="G1003" s="53"/>
      <x:c r="H1003" s="53"/>
      <x:c r="I1003" s="53"/>
      <x:c r="J1003" s="53"/>
      <x:c r="K1003" s="53"/>
      <x:c r="L1003" s="53"/>
      <x:c r="M1003" s="53"/>
      <x:c r="N1003" s="53"/>
      <x:c r="O1003" s="53"/>
      <x:c r="P1003" s="53"/>
      <x:c r="Q1003" s="53"/>
      <x:c r="R1003" s="53"/>
      <x:c r="S1003" s="53"/>
      <x:c r="T1003" s="53"/>
      <x:c r="U1003" s="53"/>
      <x:c r="V1003" s="53"/>
      <x:c r="W1003" s="53"/>
      <x:c r="X1003" s="53"/>
      <x:c r="Y1003" s="53"/>
      <x:c r="Z1003" s="53"/>
      <x:c r="AA1003" s="53"/>
      <x:c r="AB1003" s="53"/>
      <x:c r="AC1003" s="53"/>
      <x:c r="AD1003" s="53"/>
      <x:c r="AE1003" s="53"/>
      <x:c r="AF1003" s="53"/>
    </x:row>
    <x:row r="1004">
      <x:c r="A1004" s="53"/>
      <x:c r="B1004" s="53"/>
      <x:c r="C1004" s="53"/>
      <x:c r="D1004" s="53"/>
      <x:c r="E1004" s="53"/>
      <x:c r="F1004" s="53"/>
      <x:c r="G1004" s="53"/>
      <x:c r="H1004" s="53"/>
      <x:c r="I1004" s="53"/>
      <x:c r="J1004" s="53"/>
      <x:c r="K1004" s="53"/>
      <x:c r="L1004" s="53"/>
      <x:c r="M1004" s="53"/>
      <x:c r="N1004" s="53"/>
      <x:c r="O1004" s="53"/>
      <x:c r="P1004" s="53"/>
      <x:c r="Q1004" s="53"/>
      <x:c r="R1004" s="53"/>
      <x:c r="S1004" s="53"/>
      <x:c r="T1004" s="53"/>
      <x:c r="U1004" s="53"/>
      <x:c r="V1004" s="53"/>
      <x:c r="W1004" s="53"/>
      <x:c r="X1004" s="53"/>
      <x:c r="Y1004" s="53"/>
      <x:c r="Z1004" s="53"/>
      <x:c r="AA1004" s="53"/>
      <x:c r="AB1004" s="53"/>
      <x:c r="AC1004" s="53"/>
      <x:c r="AD1004" s="53"/>
      <x:c r="AE1004" s="53"/>
      <x:c r="AF1004" s="53"/>
    </x:row>
    <x:row r="1005">
      <x:c r="A1005" s="53"/>
      <x:c r="B1005" s="53"/>
      <x:c r="C1005" s="53"/>
      <x:c r="D1005" s="53"/>
      <x:c r="E1005" s="53"/>
      <x:c r="F1005" s="53"/>
      <x:c r="G1005" s="53"/>
      <x:c r="H1005" s="53"/>
      <x:c r="I1005" s="53"/>
      <x:c r="J1005" s="53"/>
      <x:c r="K1005" s="53"/>
      <x:c r="L1005" s="53"/>
      <x:c r="M1005" s="53"/>
      <x:c r="N1005" s="53"/>
      <x:c r="O1005" s="53"/>
      <x:c r="P1005" s="53"/>
      <x:c r="Q1005" s="53"/>
      <x:c r="R1005" s="53"/>
      <x:c r="S1005" s="53"/>
      <x:c r="T1005" s="53"/>
      <x:c r="U1005" s="53"/>
      <x:c r="V1005" s="53"/>
      <x:c r="W1005" s="53"/>
      <x:c r="X1005" s="53"/>
      <x:c r="Y1005" s="53"/>
      <x:c r="Z1005" s="53"/>
      <x:c r="AA1005" s="53"/>
      <x:c r="AB1005" s="53"/>
      <x:c r="AC1005" s="53"/>
      <x:c r="AD1005" s="53"/>
      <x:c r="AE1005" s="53"/>
      <x:c r="AF1005" s="53"/>
    </x:row>
    <x:row r="1006">
      <x:c r="A1006" s="53"/>
      <x:c r="B1006" s="53"/>
      <x:c r="C1006" s="53"/>
      <x:c r="D1006" s="53"/>
      <x:c r="E1006" s="53"/>
      <x:c r="F1006" s="53"/>
      <x:c r="G1006" s="53"/>
      <x:c r="H1006" s="53"/>
      <x:c r="I1006" s="53"/>
      <x:c r="J1006" s="53"/>
      <x:c r="K1006" s="53"/>
      <x:c r="L1006" s="53"/>
      <x:c r="M1006" s="53"/>
      <x:c r="N1006" s="53"/>
      <x:c r="O1006" s="53"/>
      <x:c r="P1006" s="53"/>
      <x:c r="Q1006" s="53"/>
      <x:c r="R1006" s="53"/>
      <x:c r="S1006" s="53"/>
      <x:c r="T1006" s="53"/>
      <x:c r="U1006" s="53"/>
      <x:c r="V1006" s="53"/>
      <x:c r="W1006" s="53"/>
      <x:c r="X1006" s="53"/>
      <x:c r="Y1006" s="53"/>
      <x:c r="Z1006" s="53"/>
      <x:c r="AA1006" s="53"/>
      <x:c r="AB1006" s="53"/>
      <x:c r="AC1006" s="53"/>
      <x:c r="AD1006" s="53"/>
      <x:c r="AE1006" s="53"/>
      <x:c r="AF1006" s="53"/>
    </x:row>
    <x:row r="1007">
      <x:c r="A1007" s="53"/>
      <x:c r="B1007" s="53"/>
      <x:c r="C1007" s="53"/>
      <x:c r="D1007" s="53"/>
      <x:c r="E1007" s="53"/>
      <x:c r="F1007" s="53"/>
      <x:c r="G1007" s="53"/>
      <x:c r="H1007" s="53"/>
      <x:c r="I1007" s="53"/>
      <x:c r="J1007" s="53"/>
      <x:c r="K1007" s="53"/>
      <x:c r="L1007" s="53"/>
      <x:c r="M1007" s="53"/>
      <x:c r="N1007" s="53"/>
      <x:c r="O1007" s="53"/>
      <x:c r="P1007" s="53"/>
      <x:c r="Q1007" s="53"/>
      <x:c r="R1007" s="53"/>
      <x:c r="S1007" s="53"/>
      <x:c r="T1007" s="53"/>
      <x:c r="U1007" s="53"/>
      <x:c r="V1007" s="53"/>
      <x:c r="W1007" s="53"/>
      <x:c r="X1007" s="53"/>
      <x:c r="Y1007" s="53"/>
      <x:c r="Z1007" s="53"/>
      <x:c r="AA1007" s="53"/>
      <x:c r="AB1007" s="53"/>
      <x:c r="AC1007" s="53"/>
      <x:c r="AD1007" s="53"/>
      <x:c r="AE1007" s="53"/>
      <x:c r="AF1007" s="53"/>
    </x:row>
    <x:row r="1008">
      <x:c r="A1008" s="53"/>
      <x:c r="B1008" s="53"/>
      <x:c r="C1008" s="53"/>
      <x:c r="D1008" s="53"/>
      <x:c r="E1008" s="53"/>
      <x:c r="F1008" s="53"/>
      <x:c r="G1008" s="53"/>
      <x:c r="H1008" s="53"/>
      <x:c r="I1008" s="53"/>
      <x:c r="J1008" s="53"/>
      <x:c r="K1008" s="53"/>
      <x:c r="L1008" s="53"/>
      <x:c r="M1008" s="53"/>
      <x:c r="N1008" s="53"/>
      <x:c r="O1008" s="53"/>
      <x:c r="P1008" s="53"/>
      <x:c r="Q1008" s="53"/>
      <x:c r="R1008" s="53"/>
      <x:c r="S1008" s="53"/>
      <x:c r="T1008" s="53"/>
      <x:c r="U1008" s="53"/>
      <x:c r="V1008" s="53"/>
      <x:c r="W1008" s="53"/>
      <x:c r="X1008" s="53"/>
      <x:c r="Y1008" s="53"/>
      <x:c r="Z1008" s="53"/>
      <x:c r="AA1008" s="53"/>
      <x:c r="AB1008" s="53"/>
      <x:c r="AC1008" s="53"/>
      <x:c r="AD1008" s="53"/>
      <x:c r="AE1008" s="53"/>
      <x:c r="AF1008" s="53"/>
    </x:row>
    <x:row r="1009">
      <x:c r="A1009" s="53"/>
      <x:c r="B1009" s="53"/>
      <x:c r="C1009" s="53"/>
      <x:c r="D1009" s="53"/>
      <x:c r="E1009" s="53"/>
      <x:c r="F1009" s="53"/>
      <x:c r="G1009" s="53"/>
      <x:c r="H1009" s="53"/>
      <x:c r="I1009" s="53"/>
      <x:c r="J1009" s="53"/>
      <x:c r="K1009" s="53"/>
      <x:c r="L1009" s="53"/>
      <x:c r="M1009" s="53"/>
      <x:c r="N1009" s="53"/>
      <x:c r="O1009" s="53"/>
      <x:c r="P1009" s="53"/>
      <x:c r="Q1009" s="53"/>
      <x:c r="R1009" s="53"/>
      <x:c r="S1009" s="53"/>
      <x:c r="T1009" s="53"/>
      <x:c r="U1009" s="53"/>
      <x:c r="V1009" s="53"/>
      <x:c r="W1009" s="53"/>
      <x:c r="X1009" s="53"/>
      <x:c r="Y1009" s="53"/>
      <x:c r="Z1009" s="53"/>
      <x:c r="AA1009" s="53"/>
      <x:c r="AB1009" s="53"/>
      <x:c r="AC1009" s="53"/>
      <x:c r="AD1009" s="53"/>
      <x:c r="AE1009" s="53"/>
      <x:c r="AF1009" s="53"/>
    </x:row>
    <x:row r="1010">
      <x:c r="A1010" s="53"/>
      <x:c r="B1010" s="53"/>
      <x:c r="C1010" s="53"/>
      <x:c r="D1010" s="53"/>
      <x:c r="E1010" s="53"/>
      <x:c r="F1010" s="53"/>
      <x:c r="G1010" s="53"/>
      <x:c r="H1010" s="53"/>
      <x:c r="I1010" s="53"/>
      <x:c r="J1010" s="53"/>
      <x:c r="K1010" s="53"/>
      <x:c r="L1010" s="53"/>
      <x:c r="M1010" s="53"/>
      <x:c r="N1010" s="53"/>
      <x:c r="O1010" s="53"/>
      <x:c r="P1010" s="53"/>
      <x:c r="Q1010" s="53"/>
      <x:c r="R1010" s="53"/>
      <x:c r="S1010" s="53"/>
      <x:c r="T1010" s="53"/>
      <x:c r="U1010" s="53"/>
      <x:c r="V1010" s="53"/>
      <x:c r="W1010" s="53"/>
      <x:c r="X1010" s="53"/>
      <x:c r="Y1010" s="53"/>
      <x:c r="Z1010" s="53"/>
      <x:c r="AA1010" s="53"/>
      <x:c r="AB1010" s="53"/>
      <x:c r="AC1010" s="53"/>
      <x:c r="AD1010" s="53"/>
      <x:c r="AE1010" s="53"/>
      <x:c r="AF1010" s="53"/>
    </x:row>
    <x:row r="1011">
      <x:c r="A1011" s="53"/>
      <x:c r="B1011" s="53"/>
      <x:c r="C1011" s="53"/>
      <x:c r="D1011" s="53"/>
      <x:c r="E1011" s="53"/>
      <x:c r="F1011" s="53"/>
      <x:c r="G1011" s="53"/>
      <x:c r="H1011" s="53"/>
      <x:c r="I1011" s="53"/>
      <x:c r="J1011" s="53"/>
      <x:c r="K1011" s="53"/>
      <x:c r="L1011" s="53"/>
      <x:c r="M1011" s="53"/>
      <x:c r="N1011" s="53"/>
      <x:c r="O1011" s="53"/>
      <x:c r="P1011" s="53"/>
      <x:c r="Q1011" s="53"/>
      <x:c r="R1011" s="53"/>
      <x:c r="S1011" s="53"/>
      <x:c r="T1011" s="53"/>
      <x:c r="U1011" s="53"/>
      <x:c r="V1011" s="53"/>
      <x:c r="W1011" s="53"/>
      <x:c r="X1011" s="53"/>
      <x:c r="Y1011" s="53"/>
      <x:c r="Z1011" s="53"/>
      <x:c r="AA1011" s="53"/>
      <x:c r="AB1011" s="53"/>
      <x:c r="AC1011" s="53"/>
      <x:c r="AD1011" s="53"/>
      <x:c r="AE1011" s="53"/>
      <x:c r="AF1011" s="53"/>
    </x:row>
    <x:row r="1012">
      <x:c r="A1012" s="53"/>
      <x:c r="B1012" s="53"/>
      <x:c r="C1012" s="53"/>
      <x:c r="D1012" s="53"/>
      <x:c r="E1012" s="53"/>
      <x:c r="F1012" s="53"/>
      <x:c r="G1012" s="53"/>
      <x:c r="H1012" s="53"/>
      <x:c r="I1012" s="53"/>
      <x:c r="J1012" s="53"/>
      <x:c r="K1012" s="53"/>
      <x:c r="L1012" s="53"/>
      <x:c r="M1012" s="53"/>
      <x:c r="N1012" s="53"/>
      <x:c r="O1012" s="53"/>
      <x:c r="P1012" s="53"/>
      <x:c r="Q1012" s="53"/>
      <x:c r="R1012" s="53"/>
      <x:c r="S1012" s="53"/>
      <x:c r="T1012" s="53"/>
      <x:c r="U1012" s="53"/>
      <x:c r="V1012" s="53"/>
      <x:c r="W1012" s="53"/>
      <x:c r="X1012" s="53"/>
      <x:c r="Y1012" s="53"/>
      <x:c r="Z1012" s="53"/>
      <x:c r="AA1012" s="53"/>
      <x:c r="AB1012" s="53"/>
      <x:c r="AC1012" s="53"/>
      <x:c r="AD1012" s="53"/>
      <x:c r="AE1012" s="53"/>
      <x:c r="AF1012" s="53"/>
    </x:row>
    <x:row r="1013">
      <x:c r="A1013" s="53"/>
      <x:c r="B1013" s="53"/>
      <x:c r="C1013" s="53"/>
      <x:c r="D1013" s="53"/>
      <x:c r="E1013" s="53"/>
      <x:c r="F1013" s="53"/>
      <x:c r="G1013" s="53"/>
      <x:c r="H1013" s="53"/>
      <x:c r="I1013" s="53"/>
      <x:c r="J1013" s="53"/>
      <x:c r="K1013" s="53"/>
      <x:c r="L1013" s="53"/>
      <x:c r="M1013" s="53"/>
      <x:c r="N1013" s="53"/>
      <x:c r="O1013" s="53"/>
      <x:c r="P1013" s="53"/>
      <x:c r="Q1013" s="53"/>
      <x:c r="R1013" s="53"/>
      <x:c r="S1013" s="53"/>
      <x:c r="T1013" s="53"/>
      <x:c r="U1013" s="53"/>
      <x:c r="V1013" s="53"/>
      <x:c r="W1013" s="53"/>
      <x:c r="X1013" s="53"/>
      <x:c r="Y1013" s="53"/>
      <x:c r="Z1013" s="53"/>
      <x:c r="AA1013" s="53"/>
      <x:c r="AB1013" s="53"/>
      <x:c r="AC1013" s="53"/>
      <x:c r="AD1013" s="53"/>
      <x:c r="AE1013" s="53"/>
      <x:c r="AF1013" s="53"/>
    </x:row>
    <x:row r="1014">
      <x:c r="A1014" s="53"/>
      <x:c r="B1014" s="53"/>
      <x:c r="C1014" s="53"/>
      <x:c r="D1014" s="53"/>
      <x:c r="E1014" s="53"/>
      <x:c r="F1014" s="53"/>
      <x:c r="G1014" s="53"/>
      <x:c r="H1014" s="53"/>
      <x:c r="I1014" s="53"/>
      <x:c r="J1014" s="53"/>
      <x:c r="K1014" s="53"/>
      <x:c r="L1014" s="53"/>
      <x:c r="M1014" s="53"/>
      <x:c r="N1014" s="53"/>
      <x:c r="O1014" s="53"/>
      <x:c r="P1014" s="53"/>
      <x:c r="Q1014" s="53"/>
      <x:c r="R1014" s="53"/>
      <x:c r="S1014" s="53"/>
      <x:c r="T1014" s="53"/>
      <x:c r="U1014" s="53"/>
      <x:c r="V1014" s="53"/>
      <x:c r="W1014" s="53"/>
      <x:c r="X1014" s="53"/>
      <x:c r="Y1014" s="53"/>
      <x:c r="Z1014" s="53"/>
      <x:c r="AA1014" s="53"/>
      <x:c r="AB1014" s="53"/>
      <x:c r="AC1014" s="53"/>
      <x:c r="AD1014" s="53"/>
      <x:c r="AE1014" s="53"/>
      <x:c r="AF1014" s="53"/>
    </x:row>
    <x:row r="1015">
      <x:c r="A1015" s="53"/>
      <x:c r="B1015" s="53"/>
      <x:c r="C1015" s="53"/>
      <x:c r="D1015" s="53"/>
      <x:c r="E1015" s="53"/>
      <x:c r="F1015" s="53"/>
      <x:c r="G1015" s="53"/>
      <x:c r="H1015" s="53"/>
      <x:c r="I1015" s="53"/>
      <x:c r="J1015" s="53"/>
      <x:c r="K1015" s="53"/>
      <x:c r="L1015" s="53"/>
      <x:c r="M1015" s="53"/>
      <x:c r="N1015" s="53"/>
      <x:c r="O1015" s="53"/>
      <x:c r="P1015" s="53"/>
      <x:c r="Q1015" s="53"/>
      <x:c r="R1015" s="53"/>
      <x:c r="S1015" s="53"/>
      <x:c r="T1015" s="53"/>
      <x:c r="U1015" s="53"/>
      <x:c r="V1015" s="53"/>
      <x:c r="W1015" s="53"/>
      <x:c r="X1015" s="53"/>
      <x:c r="Y1015" s="53"/>
      <x:c r="Z1015" s="53"/>
      <x:c r="AA1015" s="53"/>
      <x:c r="AB1015" s="53"/>
      <x:c r="AC1015" s="53"/>
      <x:c r="AD1015" s="53"/>
      <x:c r="AE1015" s="53"/>
      <x:c r="AF1015" s="53"/>
    </x:row>
    <x:row r="1016">
      <x:c r="A1016" s="53"/>
      <x:c r="B1016" s="53"/>
      <x:c r="C1016" s="53"/>
      <x:c r="D1016" s="53"/>
      <x:c r="E1016" s="53"/>
      <x:c r="F1016" s="53"/>
      <x:c r="G1016" s="53"/>
      <x:c r="H1016" s="53"/>
      <x:c r="I1016" s="53"/>
      <x:c r="J1016" s="53"/>
      <x:c r="K1016" s="53"/>
      <x:c r="L1016" s="53"/>
      <x:c r="M1016" s="53"/>
      <x:c r="N1016" s="53"/>
      <x:c r="O1016" s="53"/>
      <x:c r="P1016" s="53"/>
      <x:c r="Q1016" s="53"/>
      <x:c r="R1016" s="53"/>
      <x:c r="S1016" s="53"/>
      <x:c r="T1016" s="53"/>
      <x:c r="U1016" s="53"/>
      <x:c r="V1016" s="53"/>
      <x:c r="W1016" s="53"/>
      <x:c r="X1016" s="53"/>
      <x:c r="Y1016" s="53"/>
      <x:c r="Z1016" s="53"/>
      <x:c r="AA1016" s="53"/>
      <x:c r="AB1016" s="53"/>
      <x:c r="AC1016" s="53"/>
      <x:c r="AD1016" s="53"/>
      <x:c r="AE1016" s="53"/>
      <x:c r="AF1016" s="53"/>
    </x:row>
    <x:row r="1017">
      <x:c r="A1017" s="53"/>
      <x:c r="B1017" s="53"/>
      <x:c r="C1017" s="53"/>
      <x:c r="D1017" s="53"/>
      <x:c r="E1017" s="53"/>
      <x:c r="F1017" s="53"/>
      <x:c r="G1017" s="53"/>
      <x:c r="H1017" s="53"/>
      <x:c r="I1017" s="53"/>
      <x:c r="J1017" s="53"/>
      <x:c r="K1017" s="53"/>
      <x:c r="L1017" s="53"/>
      <x:c r="M1017" s="53"/>
      <x:c r="N1017" s="53"/>
      <x:c r="O1017" s="53"/>
      <x:c r="P1017" s="53"/>
      <x:c r="Q1017" s="53"/>
      <x:c r="R1017" s="53"/>
      <x:c r="S1017" s="53"/>
      <x:c r="T1017" s="53"/>
      <x:c r="U1017" s="53"/>
      <x:c r="V1017" s="53"/>
      <x:c r="W1017" s="53"/>
      <x:c r="X1017" s="53"/>
      <x:c r="Y1017" s="53"/>
      <x:c r="Z1017" s="53"/>
      <x:c r="AA1017" s="53"/>
      <x:c r="AB1017" s="53"/>
      <x:c r="AC1017" s="53"/>
      <x:c r="AD1017" s="53"/>
      <x:c r="AE1017" s="53"/>
      <x:c r="AF1017" s="53"/>
    </x:row>
    <x:row r="1018">
      <x:c r="A1018" s="53"/>
      <x:c r="B1018" s="53"/>
      <x:c r="C1018" s="53"/>
      <x:c r="D1018" s="53"/>
      <x:c r="E1018" s="53"/>
      <x:c r="F1018" s="53"/>
      <x:c r="G1018" s="53"/>
      <x:c r="H1018" s="53"/>
      <x:c r="I1018" s="53"/>
      <x:c r="J1018" s="53"/>
      <x:c r="K1018" s="53"/>
      <x:c r="L1018" s="53"/>
      <x:c r="M1018" s="53"/>
      <x:c r="N1018" s="53"/>
      <x:c r="O1018" s="53"/>
      <x:c r="P1018" s="53"/>
      <x:c r="Q1018" s="53"/>
      <x:c r="R1018" s="53"/>
      <x:c r="S1018" s="53"/>
      <x:c r="T1018" s="53"/>
      <x:c r="U1018" s="53"/>
      <x:c r="V1018" s="53"/>
      <x:c r="W1018" s="53"/>
      <x:c r="X1018" s="53"/>
      <x:c r="Y1018" s="53"/>
      <x:c r="Z1018" s="53"/>
      <x:c r="AA1018" s="53"/>
      <x:c r="AB1018" s="53"/>
      <x:c r="AC1018" s="53"/>
      <x:c r="AD1018" s="53"/>
      <x:c r="AE1018" s="53"/>
      <x:c r="AF1018" s="53"/>
    </x:row>
    <x:row r="1019">
      <x:c r="A1019" s="53"/>
      <x:c r="B1019" s="53"/>
      <x:c r="C1019" s="53"/>
      <x:c r="D1019" s="53"/>
      <x:c r="E1019" s="53"/>
      <x:c r="F1019" s="53"/>
      <x:c r="G1019" s="53"/>
      <x:c r="H1019" s="53"/>
      <x:c r="I1019" s="53"/>
      <x:c r="J1019" s="53"/>
      <x:c r="K1019" s="53"/>
      <x:c r="L1019" s="53"/>
      <x:c r="M1019" s="53"/>
      <x:c r="N1019" s="53"/>
      <x:c r="O1019" s="53"/>
      <x:c r="P1019" s="53"/>
      <x:c r="Q1019" s="53"/>
      <x:c r="R1019" s="53"/>
      <x:c r="S1019" s="53"/>
      <x:c r="T1019" s="53"/>
      <x:c r="U1019" s="53"/>
      <x:c r="V1019" s="53"/>
      <x:c r="W1019" s="53"/>
      <x:c r="X1019" s="53"/>
      <x:c r="Y1019" s="53"/>
      <x:c r="Z1019" s="53"/>
      <x:c r="AA1019" s="53"/>
      <x:c r="AB1019" s="53"/>
      <x:c r="AC1019" s="53"/>
      <x:c r="AD1019" s="53"/>
      <x:c r="AE1019" s="53"/>
      <x:c r="AF1019" s="53"/>
    </x:row>
    <x:row r="1020">
      <x:c r="A1020" s="53"/>
      <x:c r="B1020" s="53"/>
      <x:c r="C1020" s="53"/>
      <x:c r="D1020" s="53"/>
      <x:c r="E1020" s="53"/>
      <x:c r="F1020" s="53"/>
      <x:c r="G1020" s="53"/>
      <x:c r="H1020" s="53"/>
      <x:c r="I1020" s="53"/>
      <x:c r="J1020" s="53"/>
      <x:c r="K1020" s="53"/>
      <x:c r="L1020" s="53"/>
      <x:c r="M1020" s="53"/>
      <x:c r="N1020" s="53"/>
      <x:c r="O1020" s="53"/>
      <x:c r="P1020" s="53"/>
      <x:c r="Q1020" s="53"/>
      <x:c r="R1020" s="53"/>
      <x:c r="S1020" s="53"/>
      <x:c r="T1020" s="53"/>
      <x:c r="U1020" s="53"/>
      <x:c r="V1020" s="53"/>
      <x:c r="W1020" s="53"/>
      <x:c r="X1020" s="53"/>
      <x:c r="Y1020" s="53"/>
      <x:c r="Z1020" s="53"/>
      <x:c r="AA1020" s="53"/>
      <x:c r="AB1020" s="53"/>
      <x:c r="AC1020" s="53"/>
      <x:c r="AD1020" s="53"/>
      <x:c r="AE1020" s="53"/>
      <x:c r="AF1020" s="53"/>
    </x:row>
    <x:row r="1021">
      <x:c r="A1021" s="53"/>
      <x:c r="B1021" s="53"/>
      <x:c r="C1021" s="53"/>
      <x:c r="D1021" s="53"/>
      <x:c r="E1021" s="53"/>
      <x:c r="F1021" s="53"/>
      <x:c r="G1021" s="53"/>
      <x:c r="H1021" s="53"/>
      <x:c r="I1021" s="53"/>
      <x:c r="J1021" s="53"/>
      <x:c r="K1021" s="53"/>
      <x:c r="L1021" s="53"/>
      <x:c r="M1021" s="53"/>
      <x:c r="N1021" s="53"/>
      <x:c r="O1021" s="53"/>
      <x:c r="P1021" s="53"/>
      <x:c r="Q1021" s="53"/>
      <x:c r="R1021" s="53"/>
      <x:c r="S1021" s="53"/>
      <x:c r="T1021" s="53"/>
      <x:c r="U1021" s="53"/>
      <x:c r="V1021" s="53"/>
      <x:c r="W1021" s="53"/>
      <x:c r="X1021" s="53"/>
      <x:c r="Y1021" s="53"/>
      <x:c r="Z1021" s="53"/>
      <x:c r="AA1021" s="53"/>
      <x:c r="AB1021" s="53"/>
      <x:c r="AC1021" s="53"/>
      <x:c r="AD1021" s="53"/>
      <x:c r="AE1021" s="53"/>
      <x:c r="AF1021" s="53"/>
    </x:row>
    <x:row r="1022">
      <x:c r="A1022" s="53"/>
      <x:c r="B1022" s="53"/>
      <x:c r="C1022" s="53"/>
      <x:c r="D1022" s="53"/>
      <x:c r="E1022" s="53"/>
      <x:c r="F1022" s="53"/>
      <x:c r="G1022" s="53"/>
      <x:c r="H1022" s="53"/>
      <x:c r="I1022" s="53"/>
      <x:c r="J1022" s="53"/>
      <x:c r="K1022" s="53"/>
      <x:c r="L1022" s="53"/>
      <x:c r="M1022" s="53"/>
      <x:c r="N1022" s="53"/>
      <x:c r="O1022" s="53"/>
      <x:c r="P1022" s="53"/>
      <x:c r="Q1022" s="53"/>
      <x:c r="R1022" s="53"/>
      <x:c r="S1022" s="53"/>
      <x:c r="T1022" s="53"/>
      <x:c r="U1022" s="53"/>
      <x:c r="V1022" s="53"/>
      <x:c r="W1022" s="53"/>
      <x:c r="X1022" s="53"/>
      <x:c r="Y1022" s="53"/>
      <x:c r="Z1022" s="53"/>
      <x:c r="AA1022" s="53"/>
      <x:c r="AB1022" s="53"/>
      <x:c r="AC1022" s="53"/>
      <x:c r="AD1022" s="53"/>
      <x:c r="AE1022" s="53"/>
      <x:c r="AF1022" s="53"/>
    </x:row>
    <x:row r="1023">
      <x:c r="A1023" s="53"/>
      <x:c r="B1023" s="53"/>
      <x:c r="C1023" s="53"/>
      <x:c r="D1023" s="53"/>
      <x:c r="E1023" s="53"/>
      <x:c r="F1023" s="53"/>
      <x:c r="G1023" s="53"/>
      <x:c r="H1023" s="53"/>
      <x:c r="I1023" s="53"/>
      <x:c r="J1023" s="53"/>
      <x:c r="K1023" s="53"/>
      <x:c r="L1023" s="53"/>
      <x:c r="M1023" s="53"/>
      <x:c r="N1023" s="53"/>
      <x:c r="O1023" s="53"/>
      <x:c r="P1023" s="53"/>
      <x:c r="Q1023" s="53"/>
      <x:c r="R1023" s="53"/>
      <x:c r="S1023" s="53"/>
      <x:c r="T1023" s="53"/>
      <x:c r="U1023" s="53"/>
      <x:c r="V1023" s="53"/>
      <x:c r="W1023" s="53"/>
      <x:c r="X1023" s="53"/>
      <x:c r="Y1023" s="53"/>
      <x:c r="Z1023" s="53"/>
      <x:c r="AA1023" s="53"/>
      <x:c r="AB1023" s="53"/>
      <x:c r="AC1023" s="53"/>
      <x:c r="AD1023" s="53"/>
      <x:c r="AE1023" s="53"/>
      <x:c r="AF1023" s="53"/>
    </x:row>
    <x:row r="1024">
      <x:c r="A1024" s="53"/>
      <x:c r="B1024" s="53"/>
      <x:c r="C1024" s="53"/>
      <x:c r="D1024" s="53"/>
      <x:c r="E1024" s="53"/>
      <x:c r="F1024" s="53"/>
      <x:c r="G1024" s="53"/>
      <x:c r="H1024" s="53"/>
      <x:c r="I1024" s="53"/>
      <x:c r="J1024" s="53"/>
      <x:c r="K1024" s="53"/>
      <x:c r="L1024" s="53"/>
      <x:c r="M1024" s="53"/>
      <x:c r="N1024" s="53"/>
      <x:c r="O1024" s="53"/>
      <x:c r="P1024" s="53"/>
      <x:c r="Q1024" s="53"/>
      <x:c r="R1024" s="53"/>
      <x:c r="S1024" s="53"/>
      <x:c r="T1024" s="53"/>
      <x:c r="U1024" s="53"/>
      <x:c r="V1024" s="53"/>
      <x:c r="W1024" s="53"/>
      <x:c r="X1024" s="53"/>
      <x:c r="Y1024" s="53"/>
      <x:c r="Z1024" s="53"/>
      <x:c r="AA1024" s="53"/>
      <x:c r="AB1024" s="53"/>
      <x:c r="AC1024" s="53"/>
      <x:c r="AD1024" s="53"/>
      <x:c r="AE1024" s="53"/>
      <x:c r="AF1024" s="53"/>
    </x:row>
    <x:row r="1025">
      <x:c r="A1025" s="53"/>
      <x:c r="B1025" s="53"/>
      <x:c r="C1025" s="53"/>
      <x:c r="D1025" s="53"/>
      <x:c r="E1025" s="53"/>
      <x:c r="F1025" s="53"/>
      <x:c r="G1025" s="53"/>
      <x:c r="H1025" s="53"/>
      <x:c r="I1025" s="53"/>
      <x:c r="J1025" s="53"/>
      <x:c r="K1025" s="53"/>
      <x:c r="L1025" s="53"/>
      <x:c r="M1025" s="53"/>
      <x:c r="N1025" s="53"/>
      <x:c r="O1025" s="53"/>
      <x:c r="P1025" s="53"/>
      <x:c r="Q1025" s="53"/>
      <x:c r="R1025" s="53"/>
      <x:c r="S1025" s="53"/>
      <x:c r="T1025" s="53"/>
      <x:c r="U1025" s="53"/>
      <x:c r="V1025" s="53"/>
      <x:c r="W1025" s="53"/>
      <x:c r="X1025" s="53"/>
      <x:c r="Y1025" s="53"/>
      <x:c r="Z1025" s="53"/>
      <x:c r="AA1025" s="53"/>
      <x:c r="AB1025" s="53"/>
      <x:c r="AC1025" s="53"/>
      <x:c r="AD1025" s="53"/>
      <x:c r="AE1025" s="53"/>
      <x:c r="AF1025" s="53"/>
    </x:row>
    <x:row r="1026">
      <x:c r="A1026" s="53"/>
      <x:c r="B1026" s="53"/>
      <x:c r="C1026" s="53"/>
      <x:c r="D1026" s="53"/>
      <x:c r="E1026" s="53"/>
      <x:c r="F1026" s="53"/>
      <x:c r="G1026" s="53"/>
      <x:c r="H1026" s="53"/>
      <x:c r="I1026" s="53"/>
      <x:c r="J1026" s="53"/>
      <x:c r="K1026" s="53"/>
      <x:c r="L1026" s="53"/>
      <x:c r="M1026" s="53"/>
      <x:c r="N1026" s="53"/>
      <x:c r="O1026" s="53"/>
      <x:c r="P1026" s="53"/>
      <x:c r="Q1026" s="53"/>
      <x:c r="R1026" s="53"/>
      <x:c r="S1026" s="53"/>
      <x:c r="T1026" s="53"/>
      <x:c r="U1026" s="53"/>
      <x:c r="V1026" s="53"/>
      <x:c r="W1026" s="53"/>
      <x:c r="X1026" s="53"/>
      <x:c r="Y1026" s="53"/>
      <x:c r="Z1026" s="53"/>
      <x:c r="AA1026" s="53"/>
      <x:c r="AB1026" s="53"/>
      <x:c r="AC1026" s="53"/>
      <x:c r="AD1026" s="53"/>
      <x:c r="AE1026" s="53"/>
      <x:c r="AF1026" s="53"/>
    </x:row>
    <x:row r="1027">
      <x:c r="A1027" s="53"/>
      <x:c r="B1027" s="53"/>
      <x:c r="C1027" s="53"/>
      <x:c r="D1027" s="53"/>
      <x:c r="E1027" s="53"/>
      <x:c r="F1027" s="53"/>
      <x:c r="G1027" s="53"/>
      <x:c r="H1027" s="53"/>
      <x:c r="I1027" s="53"/>
      <x:c r="J1027" s="53"/>
      <x:c r="K1027" s="53"/>
      <x:c r="L1027" s="53"/>
      <x:c r="M1027" s="53"/>
      <x:c r="N1027" s="53"/>
      <x:c r="O1027" s="53"/>
      <x:c r="P1027" s="53"/>
      <x:c r="Q1027" s="53"/>
      <x:c r="R1027" s="53"/>
      <x:c r="S1027" s="53"/>
      <x:c r="T1027" s="53"/>
      <x:c r="U1027" s="53"/>
      <x:c r="V1027" s="53"/>
      <x:c r="W1027" s="53"/>
      <x:c r="X1027" s="53"/>
      <x:c r="Y1027" s="53"/>
      <x:c r="Z1027" s="53"/>
      <x:c r="AA1027" s="53"/>
      <x:c r="AB1027" s="53"/>
      <x:c r="AC1027" s="53"/>
      <x:c r="AD1027" s="53"/>
      <x:c r="AE1027" s="53"/>
      <x:c r="AF1027" s="53"/>
    </x:row>
    <x:row r="1028">
      <x:c r="A1028" s="53"/>
      <x:c r="B1028" s="53"/>
      <x:c r="C1028" s="53"/>
      <x:c r="D1028" s="53"/>
      <x:c r="E1028" s="53"/>
      <x:c r="F1028" s="53"/>
      <x:c r="G1028" s="53"/>
      <x:c r="H1028" s="53"/>
      <x:c r="I1028" s="53"/>
      <x:c r="J1028" s="53"/>
      <x:c r="K1028" s="53"/>
      <x:c r="L1028" s="53"/>
      <x:c r="M1028" s="53"/>
      <x:c r="N1028" s="53"/>
      <x:c r="O1028" s="53"/>
      <x:c r="P1028" s="53"/>
      <x:c r="Q1028" s="53"/>
      <x:c r="R1028" s="53"/>
      <x:c r="S1028" s="53"/>
      <x:c r="T1028" s="53"/>
      <x:c r="U1028" s="53"/>
      <x:c r="V1028" s="53"/>
      <x:c r="W1028" s="53"/>
      <x:c r="X1028" s="53"/>
      <x:c r="Y1028" s="53"/>
      <x:c r="Z1028" s="53"/>
      <x:c r="AA1028" s="53"/>
      <x:c r="AB1028" s="53"/>
      <x:c r="AC1028" s="53"/>
      <x:c r="AD1028" s="53"/>
      <x:c r="AE1028" s="53"/>
      <x:c r="AF1028" s="53"/>
    </x:row>
    <x:row r="1029">
      <x:c r="A1029" s="53"/>
      <x:c r="B1029" s="53"/>
      <x:c r="C1029" s="53"/>
      <x:c r="D1029" s="53"/>
      <x:c r="E1029" s="53"/>
      <x:c r="F1029" s="53"/>
      <x:c r="G1029" s="53"/>
      <x:c r="H1029" s="53"/>
      <x:c r="I1029" s="53"/>
      <x:c r="J1029" s="53"/>
      <x:c r="K1029" s="53"/>
      <x:c r="L1029" s="53"/>
      <x:c r="M1029" s="53"/>
      <x:c r="N1029" s="53"/>
      <x:c r="O1029" s="53"/>
      <x:c r="P1029" s="53"/>
      <x:c r="Q1029" s="53"/>
      <x:c r="R1029" s="53"/>
      <x:c r="S1029" s="53"/>
      <x:c r="T1029" s="53"/>
      <x:c r="U1029" s="53"/>
      <x:c r="V1029" s="53"/>
      <x:c r="W1029" s="53"/>
      <x:c r="X1029" s="53"/>
      <x:c r="Y1029" s="53"/>
      <x:c r="Z1029" s="53"/>
      <x:c r="AA1029" s="53"/>
      <x:c r="AB1029" s="53"/>
      <x:c r="AC1029" s="53"/>
      <x:c r="AD1029" s="53"/>
      <x:c r="AE1029" s="53"/>
      <x:c r="AF1029" s="53"/>
    </x:row>
    <x:row r="1030">
      <x:c r="A1030" s="53"/>
      <x:c r="B1030" s="53"/>
      <x:c r="C1030" s="53"/>
      <x:c r="D1030" s="53"/>
      <x:c r="E1030" s="53"/>
      <x:c r="F1030" s="53"/>
      <x:c r="G1030" s="53"/>
      <x:c r="H1030" s="53"/>
      <x:c r="I1030" s="53"/>
      <x:c r="J1030" s="53"/>
      <x:c r="K1030" s="53"/>
      <x:c r="L1030" s="53"/>
      <x:c r="M1030" s="53"/>
      <x:c r="N1030" s="53"/>
      <x:c r="O1030" s="53"/>
      <x:c r="P1030" s="53"/>
      <x:c r="Q1030" s="53"/>
      <x:c r="R1030" s="53"/>
      <x:c r="S1030" s="53"/>
      <x:c r="T1030" s="53"/>
      <x:c r="U1030" s="53"/>
      <x:c r="V1030" s="53"/>
      <x:c r="W1030" s="53"/>
      <x:c r="X1030" s="53"/>
      <x:c r="Y1030" s="53"/>
      <x:c r="Z1030" s="53"/>
      <x:c r="AA1030" s="53"/>
      <x:c r="AB1030" s="53"/>
      <x:c r="AC1030" s="53"/>
      <x:c r="AD1030" s="53"/>
      <x:c r="AE1030" s="53"/>
      <x:c r="AF1030" s="53"/>
    </x:row>
    <x:row r="1031">
      <x:c r="A1031" s="53"/>
      <x:c r="B1031" s="53"/>
      <x:c r="C1031" s="53"/>
      <x:c r="D1031" s="53"/>
      <x:c r="E1031" s="53"/>
      <x:c r="F1031" s="53"/>
      <x:c r="G1031" s="53"/>
      <x:c r="H1031" s="53"/>
      <x:c r="I1031" s="53"/>
      <x:c r="J1031" s="53"/>
      <x:c r="K1031" s="53"/>
      <x:c r="L1031" s="53"/>
      <x:c r="M1031" s="53"/>
      <x:c r="N1031" s="53"/>
      <x:c r="O1031" s="53"/>
      <x:c r="P1031" s="53"/>
      <x:c r="Q1031" s="53"/>
      <x:c r="R1031" s="53"/>
      <x:c r="S1031" s="53"/>
      <x:c r="T1031" s="53"/>
      <x:c r="U1031" s="53"/>
      <x:c r="V1031" s="53"/>
      <x:c r="W1031" s="53"/>
      <x:c r="X1031" s="53"/>
      <x:c r="Y1031" s="53"/>
      <x:c r="Z1031" s="53"/>
      <x:c r="AA1031" s="53"/>
      <x:c r="AB1031" s="53"/>
      <x:c r="AC1031" s="53"/>
      <x:c r="AD1031" s="53"/>
      <x:c r="AE1031" s="53"/>
      <x:c r="AF1031" s="53"/>
    </x:row>
    <x:row r="1032">
      <x:c r="A1032" s="53"/>
      <x:c r="B1032" s="53"/>
      <x:c r="C1032" s="53"/>
      <x:c r="D1032" s="53"/>
      <x:c r="E1032" s="53"/>
      <x:c r="F1032" s="53"/>
      <x:c r="G1032" s="53"/>
      <x:c r="H1032" s="53"/>
      <x:c r="I1032" s="53"/>
      <x:c r="J1032" s="53"/>
      <x:c r="K1032" s="53"/>
      <x:c r="L1032" s="53"/>
      <x:c r="M1032" s="53"/>
      <x:c r="N1032" s="53"/>
      <x:c r="O1032" s="53"/>
      <x:c r="P1032" s="53"/>
      <x:c r="Q1032" s="53"/>
      <x:c r="R1032" s="53"/>
      <x:c r="S1032" s="53"/>
      <x:c r="T1032" s="53"/>
      <x:c r="U1032" s="53"/>
      <x:c r="V1032" s="53"/>
      <x:c r="W1032" s="53"/>
      <x:c r="X1032" s="53"/>
      <x:c r="Y1032" s="53"/>
      <x:c r="Z1032" s="53"/>
      <x:c r="AA1032" s="53"/>
      <x:c r="AB1032" s="53"/>
      <x:c r="AC1032" s="53"/>
      <x:c r="AD1032" s="53"/>
      <x:c r="AE1032" s="53"/>
      <x:c r="AF1032" s="53"/>
    </x:row>
    <x:row r="1033">
      <x:c r="A1033" s="53"/>
      <x:c r="B1033" s="53"/>
      <x:c r="C1033" s="53"/>
      <x:c r="D1033" s="53"/>
      <x:c r="E1033" s="53"/>
      <x:c r="F1033" s="53"/>
      <x:c r="G1033" s="53"/>
      <x:c r="H1033" s="53"/>
      <x:c r="I1033" s="53"/>
      <x:c r="J1033" s="53"/>
      <x:c r="K1033" s="53"/>
      <x:c r="L1033" s="53"/>
      <x:c r="M1033" s="53"/>
      <x:c r="N1033" s="53"/>
      <x:c r="O1033" s="53"/>
      <x:c r="P1033" s="53"/>
      <x:c r="Q1033" s="53"/>
      <x:c r="R1033" s="53"/>
      <x:c r="S1033" s="53"/>
      <x:c r="T1033" s="53"/>
      <x:c r="U1033" s="53"/>
      <x:c r="V1033" s="53"/>
      <x:c r="W1033" s="53"/>
      <x:c r="X1033" s="53"/>
      <x:c r="Y1033" s="53"/>
      <x:c r="Z1033" s="53"/>
      <x:c r="AA1033" s="53"/>
      <x:c r="AB1033" s="53"/>
      <x:c r="AC1033" s="53"/>
      <x:c r="AD1033" s="53"/>
      <x:c r="AE1033" s="53"/>
      <x:c r="AF1033" s="53"/>
    </x:row>
    <x:row r="1034">
      <x:c r="A1034" s="53"/>
      <x:c r="B1034" s="53"/>
      <x:c r="C1034" s="53"/>
      <x:c r="D1034" s="53"/>
      <x:c r="E1034" s="53"/>
      <x:c r="F1034" s="53"/>
      <x:c r="G1034" s="53"/>
      <x:c r="H1034" s="53"/>
      <x:c r="I1034" s="53"/>
      <x:c r="J1034" s="53"/>
      <x:c r="K1034" s="53"/>
      <x:c r="L1034" s="53"/>
      <x:c r="M1034" s="53"/>
      <x:c r="N1034" s="53"/>
      <x:c r="O1034" s="53"/>
      <x:c r="P1034" s="53"/>
      <x:c r="Q1034" s="53"/>
      <x:c r="R1034" s="53"/>
      <x:c r="S1034" s="53"/>
      <x:c r="T1034" s="53"/>
      <x:c r="U1034" s="53"/>
      <x:c r="V1034" s="53"/>
      <x:c r="W1034" s="53"/>
      <x:c r="X1034" s="53"/>
      <x:c r="Y1034" s="53"/>
      <x:c r="Z1034" s="53"/>
      <x:c r="AA1034" s="53"/>
      <x:c r="AB1034" s="53"/>
      <x:c r="AC1034" s="53"/>
      <x:c r="AD1034" s="53"/>
      <x:c r="AE1034" s="53"/>
      <x:c r="AF1034" s="53"/>
    </x:row>
    <x:row r="1035">
      <x:c r="A1035" s="53"/>
      <x:c r="B1035" s="53"/>
      <x:c r="C1035" s="53"/>
      <x:c r="D1035" s="53"/>
      <x:c r="E1035" s="53"/>
      <x:c r="F1035" s="53"/>
      <x:c r="G1035" s="53"/>
      <x:c r="H1035" s="53"/>
      <x:c r="I1035" s="53"/>
      <x:c r="J1035" s="53"/>
      <x:c r="K1035" s="53"/>
      <x:c r="L1035" s="53"/>
      <x:c r="M1035" s="53"/>
      <x:c r="N1035" s="53"/>
      <x:c r="O1035" s="53"/>
      <x:c r="P1035" s="53"/>
      <x:c r="Q1035" s="53"/>
      <x:c r="R1035" s="53"/>
      <x:c r="S1035" s="53"/>
      <x:c r="T1035" s="53"/>
      <x:c r="U1035" s="53"/>
      <x:c r="V1035" s="53"/>
      <x:c r="W1035" s="53"/>
      <x:c r="X1035" s="53"/>
      <x:c r="Y1035" s="53"/>
      <x:c r="Z1035" s="53"/>
      <x:c r="AA1035" s="53"/>
      <x:c r="AB1035" s="53"/>
      <x:c r="AC1035" s="53"/>
      <x:c r="AD1035" s="53"/>
      <x:c r="AE1035" s="53"/>
      <x:c r="AF1035" s="53"/>
    </x:row>
    <x:row r="1036">
      <x:c r="A1036" s="53"/>
      <x:c r="B1036" s="53"/>
      <x:c r="C1036" s="53"/>
      <x:c r="D1036" s="53"/>
      <x:c r="E1036" s="53"/>
      <x:c r="F1036" s="53"/>
      <x:c r="G1036" s="53"/>
      <x:c r="H1036" s="53"/>
      <x:c r="I1036" s="53"/>
      <x:c r="J1036" s="53"/>
      <x:c r="K1036" s="53"/>
      <x:c r="L1036" s="53"/>
      <x:c r="M1036" s="53"/>
      <x:c r="N1036" s="53"/>
      <x:c r="O1036" s="53"/>
      <x:c r="P1036" s="53"/>
      <x:c r="Q1036" s="53"/>
      <x:c r="R1036" s="53"/>
      <x:c r="S1036" s="53"/>
      <x:c r="T1036" s="53"/>
      <x:c r="U1036" s="53"/>
      <x:c r="V1036" s="53"/>
      <x:c r="W1036" s="53"/>
      <x:c r="X1036" s="53"/>
      <x:c r="Y1036" s="53"/>
      <x:c r="Z1036" s="53"/>
      <x:c r="AA1036" s="53"/>
      <x:c r="AB1036" s="53"/>
      <x:c r="AC1036" s="53"/>
      <x:c r="AD1036" s="53"/>
      <x:c r="AE1036" s="53"/>
      <x:c r="AF1036" s="53"/>
    </x:row>
    <x:row r="1037">
      <x:c r="A1037" s="53"/>
      <x:c r="B1037" s="53"/>
      <x:c r="C1037" s="53"/>
      <x:c r="D1037" s="53"/>
      <x:c r="E1037" s="53"/>
      <x:c r="F1037" s="53"/>
      <x:c r="G1037" s="53"/>
      <x:c r="H1037" s="53"/>
      <x:c r="I1037" s="53"/>
      <x:c r="J1037" s="53"/>
      <x:c r="K1037" s="53"/>
      <x:c r="L1037" s="53"/>
      <x:c r="M1037" s="53"/>
      <x:c r="N1037" s="53"/>
      <x:c r="O1037" s="53"/>
      <x:c r="P1037" s="53"/>
      <x:c r="Q1037" s="53"/>
      <x:c r="R1037" s="53"/>
      <x:c r="S1037" s="53"/>
      <x:c r="T1037" s="53"/>
      <x:c r="U1037" s="53"/>
      <x:c r="V1037" s="53"/>
      <x:c r="W1037" s="53"/>
      <x:c r="X1037" s="53"/>
      <x:c r="Y1037" s="53"/>
      <x:c r="Z1037" s="53"/>
      <x:c r="AA1037" s="53"/>
      <x:c r="AB1037" s="53"/>
      <x:c r="AC1037" s="53"/>
      <x:c r="AD1037" s="53"/>
      <x:c r="AE1037" s="53"/>
      <x:c r="AF1037" s="53"/>
    </x:row>
    <x:row r="1038">
      <x:c r="A1038" s="53"/>
      <x:c r="B1038" s="53"/>
      <x:c r="C1038" s="53"/>
      <x:c r="D1038" s="53"/>
      <x:c r="E1038" s="53"/>
      <x:c r="F1038" s="53"/>
      <x:c r="G1038" s="53"/>
      <x:c r="H1038" s="53"/>
      <x:c r="I1038" s="53"/>
      <x:c r="J1038" s="53"/>
      <x:c r="K1038" s="53"/>
      <x:c r="L1038" s="53"/>
      <x:c r="M1038" s="53"/>
      <x:c r="N1038" s="53"/>
      <x:c r="O1038" s="53"/>
      <x:c r="P1038" s="53"/>
      <x:c r="Q1038" s="53"/>
      <x:c r="R1038" s="53"/>
      <x:c r="S1038" s="53"/>
      <x:c r="T1038" s="53"/>
      <x:c r="U1038" s="53"/>
      <x:c r="V1038" s="53"/>
      <x:c r="W1038" s="53"/>
      <x:c r="X1038" s="53"/>
      <x:c r="Y1038" s="53"/>
      <x:c r="Z1038" s="53"/>
      <x:c r="AA1038" s="53"/>
      <x:c r="AB1038" s="53"/>
      <x:c r="AC1038" s="53"/>
      <x:c r="AD1038" s="53"/>
      <x:c r="AE1038" s="53"/>
      <x:c r="AF1038" s="53"/>
    </x:row>
    <x:row r="1039">
      <x:c r="A1039" s="53"/>
      <x:c r="B1039" s="53"/>
      <x:c r="C1039" s="53"/>
      <x:c r="D1039" s="53"/>
      <x:c r="E1039" s="53"/>
      <x:c r="F1039" s="53"/>
      <x:c r="G1039" s="53"/>
      <x:c r="H1039" s="53"/>
      <x:c r="I1039" s="53"/>
      <x:c r="J1039" s="53"/>
      <x:c r="K1039" s="53"/>
      <x:c r="L1039" s="53"/>
      <x:c r="M1039" s="53"/>
      <x:c r="N1039" s="53"/>
      <x:c r="O1039" s="53"/>
      <x:c r="P1039" s="53"/>
      <x:c r="Q1039" s="53"/>
      <x:c r="R1039" s="53"/>
      <x:c r="S1039" s="53"/>
      <x:c r="T1039" s="53"/>
      <x:c r="U1039" s="53"/>
      <x:c r="V1039" s="53"/>
      <x:c r="W1039" s="53"/>
      <x:c r="X1039" s="53"/>
      <x:c r="Y1039" s="53"/>
      <x:c r="Z1039" s="53"/>
      <x:c r="AA1039" s="53"/>
      <x:c r="AB1039" s="53"/>
      <x:c r="AC1039" s="53"/>
      <x:c r="AD1039" s="53"/>
      <x:c r="AE1039" s="53"/>
      <x:c r="AF1039" s="53"/>
    </x:row>
    <x:row r="1040">
      <x:c r="A1040" s="53"/>
      <x:c r="B1040" s="53"/>
      <x:c r="C1040" s="53"/>
      <x:c r="D1040" s="53"/>
      <x:c r="E1040" s="53"/>
      <x:c r="F1040" s="53"/>
      <x:c r="G1040" s="53"/>
      <x:c r="H1040" s="53"/>
      <x:c r="I1040" s="53"/>
      <x:c r="J1040" s="53"/>
      <x:c r="K1040" s="53"/>
      <x:c r="L1040" s="53"/>
      <x:c r="M1040" s="53"/>
      <x:c r="N1040" s="53"/>
      <x:c r="O1040" s="53"/>
      <x:c r="P1040" s="53"/>
      <x:c r="Q1040" s="53"/>
      <x:c r="R1040" s="53"/>
      <x:c r="S1040" s="53"/>
      <x:c r="T1040" s="53"/>
      <x:c r="U1040" s="53"/>
      <x:c r="V1040" s="53"/>
      <x:c r="W1040" s="53"/>
      <x:c r="X1040" s="53"/>
      <x:c r="Y1040" s="53"/>
      <x:c r="Z1040" s="53"/>
      <x:c r="AA1040" s="53"/>
      <x:c r="AB1040" s="53"/>
      <x:c r="AC1040" s="53"/>
      <x:c r="AD1040" s="53"/>
      <x:c r="AE1040" s="53"/>
      <x:c r="AF1040" s="53"/>
    </x:row>
    <x:row r="1041">
      <x:c r="A1041" s="53"/>
      <x:c r="B1041" s="53"/>
      <x:c r="C1041" s="53"/>
      <x:c r="D1041" s="53"/>
      <x:c r="E1041" s="53"/>
      <x:c r="F1041" s="53"/>
      <x:c r="G1041" s="53"/>
      <x:c r="H1041" s="53"/>
      <x:c r="I1041" s="53"/>
      <x:c r="J1041" s="53"/>
      <x:c r="K1041" s="53"/>
      <x:c r="L1041" s="53"/>
      <x:c r="M1041" s="53"/>
      <x:c r="N1041" s="53"/>
      <x:c r="O1041" s="53"/>
      <x:c r="P1041" s="53"/>
      <x:c r="Q1041" s="53"/>
      <x:c r="R1041" s="53"/>
      <x:c r="S1041" s="53"/>
      <x:c r="T1041" s="53"/>
      <x:c r="U1041" s="53"/>
      <x:c r="V1041" s="53"/>
      <x:c r="W1041" s="53"/>
      <x:c r="X1041" s="53"/>
      <x:c r="Y1041" s="53"/>
      <x:c r="Z1041" s="53"/>
      <x:c r="AA1041" s="53"/>
      <x:c r="AB1041" s="53"/>
      <x:c r="AC1041" s="53"/>
      <x:c r="AD1041" s="53"/>
      <x:c r="AE1041" s="53"/>
      <x:c r="AF1041" s="53"/>
    </x:row>
    <x:row r="1042">
      <x:c r="A1042" s="53"/>
      <x:c r="B1042" s="53"/>
      <x:c r="C1042" s="53"/>
      <x:c r="D1042" s="53"/>
      <x:c r="E1042" s="53"/>
      <x:c r="F1042" s="53"/>
      <x:c r="G1042" s="53"/>
      <x:c r="H1042" s="53"/>
      <x:c r="I1042" s="53"/>
      <x:c r="J1042" s="53"/>
      <x:c r="K1042" s="53"/>
      <x:c r="L1042" s="53"/>
      <x:c r="M1042" s="53"/>
      <x:c r="N1042" s="53"/>
      <x:c r="O1042" s="53"/>
      <x:c r="P1042" s="53"/>
      <x:c r="Q1042" s="53"/>
      <x:c r="R1042" s="53"/>
      <x:c r="S1042" s="53"/>
      <x:c r="T1042" s="53"/>
      <x:c r="U1042" s="53"/>
      <x:c r="V1042" s="53"/>
      <x:c r="W1042" s="53"/>
      <x:c r="X1042" s="53"/>
      <x:c r="Y1042" s="53"/>
      <x:c r="Z1042" s="53"/>
      <x:c r="AA1042" s="53"/>
      <x:c r="AB1042" s="53"/>
      <x:c r="AC1042" s="53"/>
      <x:c r="AD1042" s="53"/>
      <x:c r="AE1042" s="53"/>
      <x:c r="AF1042" s="53"/>
    </x:row>
    <x:row r="1043">
      <x:c r="A1043" s="53"/>
      <x:c r="B1043" s="53"/>
      <x:c r="C1043" s="53"/>
      <x:c r="D1043" s="53"/>
      <x:c r="E1043" s="53"/>
      <x:c r="F1043" s="53"/>
      <x:c r="G1043" s="53"/>
      <x:c r="H1043" s="53"/>
      <x:c r="I1043" s="53"/>
      <x:c r="J1043" s="53"/>
      <x:c r="K1043" s="53"/>
      <x:c r="L1043" s="53"/>
      <x:c r="M1043" s="53"/>
      <x:c r="N1043" s="53"/>
      <x:c r="O1043" s="53"/>
      <x:c r="P1043" s="53"/>
      <x:c r="Q1043" s="53"/>
      <x:c r="R1043" s="53"/>
      <x:c r="S1043" s="53"/>
      <x:c r="T1043" s="53"/>
      <x:c r="U1043" s="53"/>
      <x:c r="V1043" s="53"/>
      <x:c r="W1043" s="53"/>
      <x:c r="X1043" s="53"/>
      <x:c r="Y1043" s="53"/>
      <x:c r="Z1043" s="53"/>
      <x:c r="AA1043" s="53"/>
      <x:c r="AB1043" s="53"/>
      <x:c r="AC1043" s="53"/>
      <x:c r="AD1043" s="53"/>
      <x:c r="AE1043" s="53"/>
      <x:c r="AF1043" s="53"/>
    </x:row>
    <x:row r="1044">
      <x:c r="A1044" s="53"/>
      <x:c r="B1044" s="53"/>
      <x:c r="C1044" s="53"/>
      <x:c r="D1044" s="53"/>
      <x:c r="E1044" s="53"/>
      <x:c r="F1044" s="53"/>
      <x:c r="G1044" s="53"/>
      <x:c r="H1044" s="53"/>
      <x:c r="I1044" s="53"/>
      <x:c r="J1044" s="53"/>
      <x:c r="K1044" s="53"/>
      <x:c r="L1044" s="53"/>
      <x:c r="M1044" s="53"/>
      <x:c r="N1044" s="53"/>
      <x:c r="O1044" s="53"/>
      <x:c r="P1044" s="53"/>
      <x:c r="Q1044" s="53"/>
      <x:c r="R1044" s="53"/>
      <x:c r="S1044" s="53"/>
      <x:c r="T1044" s="53"/>
      <x:c r="U1044" s="53"/>
      <x:c r="V1044" s="53"/>
      <x:c r="W1044" s="53"/>
      <x:c r="X1044" s="53"/>
      <x:c r="Y1044" s="53"/>
      <x:c r="Z1044" s="53"/>
      <x:c r="AA1044" s="53"/>
      <x:c r="AB1044" s="53"/>
      <x:c r="AC1044" s="53"/>
      <x:c r="AD1044" s="53"/>
      <x:c r="AE1044" s="53"/>
      <x:c r="AF1044" s="53"/>
    </x:row>
    <x:row r="1045">
      <x:c r="A1045" s="53"/>
      <x:c r="B1045" s="53"/>
      <x:c r="C1045" s="53"/>
      <x:c r="D1045" s="53"/>
      <x:c r="E1045" s="53"/>
      <x:c r="F1045" s="53"/>
      <x:c r="G1045" s="53"/>
      <x:c r="H1045" s="53"/>
      <x:c r="I1045" s="53"/>
      <x:c r="J1045" s="53"/>
      <x:c r="K1045" s="53"/>
      <x:c r="L1045" s="53"/>
      <x:c r="M1045" s="53"/>
      <x:c r="N1045" s="53"/>
      <x:c r="O1045" s="53"/>
      <x:c r="P1045" s="53"/>
      <x:c r="Q1045" s="53"/>
      <x:c r="R1045" s="53"/>
      <x:c r="S1045" s="53"/>
      <x:c r="T1045" s="53"/>
      <x:c r="U1045" s="53"/>
      <x:c r="V1045" s="53"/>
      <x:c r="W1045" s="53"/>
      <x:c r="X1045" s="53"/>
      <x:c r="Y1045" s="53"/>
      <x:c r="Z1045" s="53"/>
      <x:c r="AA1045" s="53"/>
      <x:c r="AB1045" s="53"/>
      <x:c r="AC1045" s="53"/>
      <x:c r="AD1045" s="53"/>
      <x:c r="AE1045" s="53"/>
      <x:c r="AF1045" s="53"/>
    </x:row>
    <x:row r="1046">
      <x:c r="A1046" s="53"/>
      <x:c r="B1046" s="53"/>
      <x:c r="C1046" s="53"/>
      <x:c r="D1046" s="53"/>
      <x:c r="E1046" s="53"/>
      <x:c r="F1046" s="53"/>
      <x:c r="G1046" s="53"/>
      <x:c r="H1046" s="53"/>
      <x:c r="I1046" s="53"/>
      <x:c r="J1046" s="53"/>
      <x:c r="K1046" s="53"/>
      <x:c r="L1046" s="53"/>
      <x:c r="M1046" s="53"/>
      <x:c r="N1046" s="53"/>
      <x:c r="O1046" s="53"/>
      <x:c r="P1046" s="53"/>
      <x:c r="Q1046" s="53"/>
      <x:c r="R1046" s="53"/>
      <x:c r="S1046" s="53"/>
      <x:c r="T1046" s="53"/>
      <x:c r="U1046" s="53"/>
      <x:c r="V1046" s="53"/>
      <x:c r="W1046" s="53"/>
      <x:c r="X1046" s="53"/>
      <x:c r="Y1046" s="53"/>
      <x:c r="Z1046" s="53"/>
      <x:c r="AA1046" s="53"/>
      <x:c r="AB1046" s="53"/>
      <x:c r="AC1046" s="53"/>
      <x:c r="AD1046" s="53"/>
      <x:c r="AE1046" s="53"/>
      <x:c r="AF1046" s="53"/>
    </x:row>
    <x:row r="1047">
      <x:c r="A1047" s="53"/>
      <x:c r="B1047" s="53"/>
      <x:c r="C1047" s="53"/>
      <x:c r="D1047" s="53"/>
      <x:c r="E1047" s="53"/>
      <x:c r="F1047" s="53"/>
      <x:c r="G1047" s="53"/>
      <x:c r="H1047" s="53"/>
      <x:c r="I1047" s="53"/>
      <x:c r="J1047" s="53"/>
      <x:c r="K1047" s="53"/>
      <x:c r="L1047" s="53"/>
      <x:c r="M1047" s="53"/>
      <x:c r="N1047" s="53"/>
      <x:c r="O1047" s="53"/>
      <x:c r="P1047" s="53"/>
      <x:c r="Q1047" s="53"/>
      <x:c r="R1047" s="53"/>
      <x:c r="S1047" s="53"/>
      <x:c r="T1047" s="53"/>
      <x:c r="U1047" s="53"/>
      <x:c r="V1047" s="53"/>
      <x:c r="W1047" s="53"/>
      <x:c r="X1047" s="53"/>
      <x:c r="Y1047" s="53"/>
      <x:c r="Z1047" s="53"/>
      <x:c r="AA1047" s="53"/>
      <x:c r="AB1047" s="53"/>
      <x:c r="AC1047" s="53"/>
      <x:c r="AD1047" s="53"/>
      <x:c r="AE1047" s="53"/>
      <x:c r="AF1047" s="53"/>
    </x:row>
    <x:row r="1048">
      <x:c r="A1048" s="53"/>
      <x:c r="B1048" s="53"/>
      <x:c r="C1048" s="53"/>
      <x:c r="D1048" s="53"/>
      <x:c r="E1048" s="53"/>
      <x:c r="F1048" s="53"/>
      <x:c r="G1048" s="53"/>
      <x:c r="H1048" s="53"/>
      <x:c r="I1048" s="53"/>
      <x:c r="J1048" s="53"/>
      <x:c r="K1048" s="53"/>
      <x:c r="L1048" s="53"/>
      <x:c r="M1048" s="53"/>
      <x:c r="N1048" s="53"/>
      <x:c r="O1048" s="53"/>
      <x:c r="P1048" s="53"/>
      <x:c r="Q1048" s="53"/>
      <x:c r="R1048" s="53"/>
      <x:c r="S1048" s="53"/>
      <x:c r="T1048" s="53"/>
      <x:c r="U1048" s="53"/>
      <x:c r="V1048" s="53"/>
      <x:c r="W1048" s="53"/>
      <x:c r="X1048" s="53"/>
      <x:c r="Y1048" s="53"/>
      <x:c r="Z1048" s="53"/>
      <x:c r="AA1048" s="53"/>
      <x:c r="AB1048" s="53"/>
      <x:c r="AC1048" s="53"/>
      <x:c r="AD1048" s="53"/>
      <x:c r="AE1048" s="53"/>
      <x:c r="AF1048" s="53"/>
    </x:row>
    <x:row r="1049">
      <x:c r="A1049" s="53"/>
      <x:c r="B1049" s="53"/>
      <x:c r="C1049" s="53"/>
      <x:c r="D1049" s="53"/>
      <x:c r="E1049" s="53"/>
      <x:c r="F1049" s="53"/>
      <x:c r="G1049" s="53"/>
      <x:c r="H1049" s="53"/>
      <x:c r="I1049" s="53"/>
      <x:c r="J1049" s="53"/>
      <x:c r="K1049" s="53"/>
      <x:c r="L1049" s="53"/>
      <x:c r="M1049" s="53"/>
      <x:c r="N1049" s="53"/>
      <x:c r="O1049" s="53"/>
      <x:c r="P1049" s="53"/>
      <x:c r="Q1049" s="53"/>
      <x:c r="R1049" s="53"/>
      <x:c r="S1049" s="53"/>
      <x:c r="T1049" s="53"/>
      <x:c r="U1049" s="53"/>
      <x:c r="V1049" s="53"/>
      <x:c r="W1049" s="53"/>
      <x:c r="X1049" s="53"/>
      <x:c r="Y1049" s="53"/>
      <x:c r="Z1049" s="53"/>
      <x:c r="AA1049" s="53"/>
      <x:c r="AB1049" s="53"/>
      <x:c r="AC1049" s="53"/>
      <x:c r="AD1049" s="53"/>
      <x:c r="AE1049" s="53"/>
      <x:c r="AF1049" s="53"/>
    </x:row>
    <x:row r="1050">
      <x:c r="A1050" s="53"/>
      <x:c r="B1050" s="53"/>
      <x:c r="C1050" s="53"/>
      <x:c r="D1050" s="53"/>
      <x:c r="E1050" s="53"/>
      <x:c r="F1050" s="53"/>
      <x:c r="G1050" s="53"/>
      <x:c r="H1050" s="53"/>
      <x:c r="I1050" s="53"/>
      <x:c r="J1050" s="53"/>
      <x:c r="K1050" s="53"/>
      <x:c r="L1050" s="53"/>
      <x:c r="M1050" s="53"/>
      <x:c r="N1050" s="53"/>
      <x:c r="O1050" s="53"/>
      <x:c r="P1050" s="53"/>
      <x:c r="Q1050" s="53"/>
      <x:c r="R1050" s="53"/>
      <x:c r="S1050" s="53"/>
      <x:c r="T1050" s="53"/>
      <x:c r="U1050" s="53"/>
      <x:c r="V1050" s="53"/>
      <x:c r="W1050" s="53"/>
      <x:c r="X1050" s="53"/>
      <x:c r="Y1050" s="53"/>
      <x:c r="Z1050" s="53"/>
      <x:c r="AA1050" s="53"/>
      <x:c r="AB1050" s="53"/>
      <x:c r="AC1050" s="53"/>
      <x:c r="AD1050" s="53"/>
      <x:c r="AE1050" s="53"/>
      <x:c r="AF1050" s="53"/>
    </x:row>
    <x:row r="1051">
      <x:c r="A1051" s="53"/>
      <x:c r="B1051" s="53"/>
      <x:c r="C1051" s="53"/>
      <x:c r="D1051" s="53"/>
      <x:c r="E1051" s="53"/>
      <x:c r="F1051" s="53"/>
      <x:c r="G1051" s="53"/>
      <x:c r="H1051" s="53"/>
      <x:c r="I1051" s="53"/>
      <x:c r="J1051" s="53"/>
      <x:c r="K1051" s="53"/>
      <x:c r="L1051" s="53"/>
      <x:c r="M1051" s="53"/>
      <x:c r="N1051" s="53"/>
      <x:c r="O1051" s="53"/>
      <x:c r="P1051" s="53"/>
      <x:c r="Q1051" s="53"/>
      <x:c r="R1051" s="53"/>
      <x:c r="S1051" s="53"/>
      <x:c r="T1051" s="53"/>
      <x:c r="U1051" s="53"/>
      <x:c r="V1051" s="53"/>
      <x:c r="W1051" s="53"/>
      <x:c r="X1051" s="53"/>
      <x:c r="Y1051" s="53"/>
      <x:c r="Z1051" s="53"/>
      <x:c r="AA1051" s="53"/>
      <x:c r="AB1051" s="53"/>
      <x:c r="AC1051" s="53"/>
      <x:c r="AD1051" s="53"/>
      <x:c r="AE1051" s="53"/>
      <x:c r="AF1051" s="53"/>
    </x:row>
    <x:row r="1052">
      <x:c r="A1052" s="53"/>
      <x:c r="B1052" s="53"/>
      <x:c r="C1052" s="53"/>
      <x:c r="D1052" s="53"/>
      <x:c r="E1052" s="53"/>
      <x:c r="F1052" s="53"/>
      <x:c r="G1052" s="53"/>
      <x:c r="H1052" s="53"/>
      <x:c r="I1052" s="53"/>
      <x:c r="J1052" s="53"/>
      <x:c r="K1052" s="53"/>
      <x:c r="L1052" s="53"/>
      <x:c r="M1052" s="53"/>
      <x:c r="N1052" s="53"/>
      <x:c r="O1052" s="53"/>
      <x:c r="P1052" s="53"/>
      <x:c r="Q1052" s="53"/>
      <x:c r="R1052" s="53"/>
      <x:c r="S1052" s="53"/>
      <x:c r="T1052" s="53"/>
      <x:c r="U1052" s="53"/>
      <x:c r="V1052" s="53"/>
      <x:c r="W1052" s="53"/>
      <x:c r="X1052" s="53"/>
      <x:c r="Y1052" s="53"/>
      <x:c r="Z1052" s="53"/>
      <x:c r="AA1052" s="53"/>
      <x:c r="AB1052" s="53"/>
      <x:c r="AC1052" s="53"/>
      <x:c r="AD1052" s="53"/>
      <x:c r="AE1052" s="53"/>
      <x:c r="AF1052" s="53"/>
    </x:row>
    <x:row r="1053">
      <x:c r="A1053" s="53"/>
      <x:c r="B1053" s="53"/>
      <x:c r="C1053" s="53"/>
      <x:c r="D1053" s="53"/>
      <x:c r="E1053" s="53"/>
      <x:c r="F1053" s="53"/>
      <x:c r="G1053" s="53"/>
      <x:c r="H1053" s="53"/>
      <x:c r="I1053" s="53"/>
      <x:c r="J1053" s="53"/>
      <x:c r="K1053" s="53"/>
      <x:c r="L1053" s="53"/>
      <x:c r="M1053" s="53"/>
      <x:c r="N1053" s="53"/>
      <x:c r="O1053" s="53"/>
      <x:c r="P1053" s="53"/>
      <x:c r="Q1053" s="53"/>
      <x:c r="R1053" s="53"/>
      <x:c r="S1053" s="53"/>
      <x:c r="T1053" s="53"/>
      <x:c r="U1053" s="53"/>
      <x:c r="V1053" s="53"/>
      <x:c r="W1053" s="53"/>
      <x:c r="X1053" s="53"/>
      <x:c r="Y1053" s="53"/>
      <x:c r="Z1053" s="53"/>
      <x:c r="AA1053" s="53"/>
      <x:c r="AB1053" s="53"/>
      <x:c r="AC1053" s="53"/>
      <x:c r="AD1053" s="53"/>
      <x:c r="AE1053" s="53"/>
      <x:c r="AF1053" s="53"/>
    </x:row>
    <x:row r="1054">
      <x:c r="A1054" s="53"/>
      <x:c r="B1054" s="53"/>
      <x:c r="C1054" s="53"/>
      <x:c r="D1054" s="53"/>
      <x:c r="E1054" s="53"/>
      <x:c r="F1054" s="53"/>
      <x:c r="G1054" s="53"/>
      <x:c r="H1054" s="53"/>
      <x:c r="I1054" s="53"/>
      <x:c r="J1054" s="53"/>
      <x:c r="K1054" s="53"/>
      <x:c r="L1054" s="53"/>
      <x:c r="M1054" s="53"/>
      <x:c r="N1054" s="53"/>
      <x:c r="O1054" s="53"/>
      <x:c r="P1054" s="53"/>
      <x:c r="Q1054" s="53"/>
      <x:c r="R1054" s="53"/>
      <x:c r="S1054" s="53"/>
      <x:c r="T1054" s="53"/>
      <x:c r="U1054" s="53"/>
      <x:c r="V1054" s="53"/>
      <x:c r="W1054" s="53"/>
      <x:c r="X1054" s="53"/>
      <x:c r="Y1054" s="53"/>
      <x:c r="Z1054" s="53"/>
      <x:c r="AA1054" s="53"/>
      <x:c r="AB1054" s="53"/>
      <x:c r="AC1054" s="53"/>
      <x:c r="AD1054" s="53"/>
      <x:c r="AE1054" s="53"/>
      <x:c r="AF1054" s="53"/>
    </x:row>
    <x:row r="1055">
      <x:c r="A1055" s="53"/>
      <x:c r="B1055" s="53"/>
      <x:c r="C1055" s="53"/>
      <x:c r="D1055" s="53"/>
      <x:c r="E1055" s="53"/>
      <x:c r="F1055" s="53"/>
      <x:c r="G1055" s="53"/>
      <x:c r="H1055" s="53"/>
      <x:c r="I1055" s="53"/>
      <x:c r="J1055" s="53"/>
      <x:c r="K1055" s="53"/>
      <x:c r="L1055" s="53"/>
      <x:c r="M1055" s="53"/>
      <x:c r="N1055" s="53"/>
      <x:c r="O1055" s="53"/>
      <x:c r="P1055" s="53"/>
      <x:c r="Q1055" s="53"/>
      <x:c r="R1055" s="53"/>
      <x:c r="S1055" s="53"/>
      <x:c r="T1055" s="53"/>
      <x:c r="U1055" s="53"/>
      <x:c r="V1055" s="53"/>
      <x:c r="W1055" s="53"/>
      <x:c r="X1055" s="53"/>
      <x:c r="Y1055" s="53"/>
      <x:c r="Z1055" s="53"/>
      <x:c r="AA1055" s="53"/>
      <x:c r="AB1055" s="53"/>
      <x:c r="AC1055" s="53"/>
      <x:c r="AD1055" s="53"/>
      <x:c r="AE1055" s="53"/>
      <x:c r="AF1055" s="53"/>
    </x:row>
    <x:row r="1056">
      <x:c r="A1056" s="53"/>
      <x:c r="B1056" s="53"/>
      <x:c r="C1056" s="53"/>
      <x:c r="D1056" s="53"/>
      <x:c r="E1056" s="53"/>
      <x:c r="F1056" s="53"/>
      <x:c r="G1056" s="53"/>
      <x:c r="H1056" s="53"/>
      <x:c r="I1056" s="53"/>
      <x:c r="J1056" s="53"/>
      <x:c r="K1056" s="53"/>
      <x:c r="L1056" s="53"/>
      <x:c r="M1056" s="53"/>
      <x:c r="N1056" s="53"/>
      <x:c r="O1056" s="53"/>
      <x:c r="P1056" s="53"/>
      <x:c r="Q1056" s="53"/>
      <x:c r="R1056" s="53"/>
      <x:c r="S1056" s="53"/>
      <x:c r="T1056" s="53"/>
      <x:c r="U1056" s="53"/>
      <x:c r="V1056" s="53"/>
      <x:c r="W1056" s="53"/>
      <x:c r="X1056" s="53"/>
      <x:c r="Y1056" s="53"/>
      <x:c r="Z1056" s="53"/>
      <x:c r="AA1056" s="53"/>
      <x:c r="AB1056" s="53"/>
      <x:c r="AC1056" s="53"/>
      <x:c r="AD1056" s="53"/>
      <x:c r="AE1056" s="53"/>
      <x:c r="AF1056" s="53"/>
    </x:row>
    <x:row r="1057">
      <x:c r="A1057" s="53"/>
      <x:c r="B1057" s="53"/>
      <x:c r="C1057" s="53"/>
      <x:c r="D1057" s="53"/>
      <x:c r="E1057" s="53"/>
      <x:c r="F1057" s="53"/>
      <x:c r="G1057" s="53"/>
      <x:c r="H1057" s="53"/>
      <x:c r="I1057" s="53"/>
      <x:c r="J1057" s="53"/>
      <x:c r="K1057" s="53"/>
      <x:c r="L1057" s="53"/>
      <x:c r="M1057" s="53"/>
      <x:c r="N1057" s="53"/>
      <x:c r="O1057" s="53"/>
      <x:c r="P1057" s="53"/>
      <x:c r="Q1057" s="53"/>
      <x:c r="R1057" s="53"/>
      <x:c r="S1057" s="53"/>
      <x:c r="T1057" s="53"/>
      <x:c r="U1057" s="53"/>
      <x:c r="V1057" s="53"/>
      <x:c r="W1057" s="53"/>
      <x:c r="X1057" s="53"/>
      <x:c r="Y1057" s="53"/>
      <x:c r="Z1057" s="53"/>
      <x:c r="AA1057" s="53"/>
      <x:c r="AB1057" s="53"/>
      <x:c r="AC1057" s="53"/>
      <x:c r="AD1057" s="53"/>
      <x:c r="AE1057" s="53"/>
      <x:c r="AF1057" s="53"/>
    </x:row>
    <x:row r="1058">
      <x:c r="A1058" s="53"/>
      <x:c r="B1058" s="53"/>
      <x:c r="C1058" s="53"/>
      <x:c r="D1058" s="53"/>
      <x:c r="E1058" s="53"/>
      <x:c r="F1058" s="53"/>
      <x:c r="G1058" s="53"/>
      <x:c r="H1058" s="53"/>
      <x:c r="I1058" s="53"/>
      <x:c r="J1058" s="53"/>
      <x:c r="K1058" s="53"/>
      <x:c r="L1058" s="53"/>
      <x:c r="M1058" s="53"/>
      <x:c r="N1058" s="53"/>
      <x:c r="O1058" s="53"/>
      <x:c r="P1058" s="53"/>
      <x:c r="Q1058" s="53"/>
      <x:c r="R1058" s="53"/>
      <x:c r="S1058" s="53"/>
      <x:c r="T1058" s="53"/>
      <x:c r="U1058" s="53"/>
      <x:c r="V1058" s="53"/>
      <x:c r="W1058" s="53"/>
      <x:c r="X1058" s="53"/>
      <x:c r="Y1058" s="53"/>
      <x:c r="Z1058" s="53"/>
      <x:c r="AA1058" s="53"/>
      <x:c r="AB1058" s="53"/>
      <x:c r="AC1058" s="53"/>
      <x:c r="AD1058" s="53"/>
      <x:c r="AE1058" s="53"/>
      <x:c r="AF1058" s="53"/>
    </x:row>
    <x:row r="1059">
      <x:c r="A1059" s="53"/>
      <x:c r="B1059" s="53"/>
      <x:c r="C1059" s="53"/>
      <x:c r="D1059" s="53"/>
      <x:c r="E1059" s="53"/>
      <x:c r="F1059" s="53"/>
      <x:c r="G1059" s="53"/>
      <x:c r="H1059" s="53"/>
      <x:c r="I1059" s="53"/>
      <x:c r="J1059" s="53"/>
      <x:c r="K1059" s="53"/>
      <x:c r="L1059" s="53"/>
      <x:c r="M1059" s="53"/>
      <x:c r="N1059" s="53"/>
      <x:c r="O1059" s="53"/>
      <x:c r="P1059" s="53"/>
      <x:c r="Q1059" s="53"/>
      <x:c r="R1059" s="53"/>
      <x:c r="S1059" s="53"/>
      <x:c r="T1059" s="53"/>
      <x:c r="U1059" s="53"/>
      <x:c r="V1059" s="53"/>
      <x:c r="W1059" s="53"/>
      <x:c r="X1059" s="53"/>
      <x:c r="Y1059" s="53"/>
      <x:c r="Z1059" s="53"/>
      <x:c r="AA1059" s="53"/>
      <x:c r="AB1059" s="53"/>
      <x:c r="AC1059" s="53"/>
      <x:c r="AD1059" s="53"/>
      <x:c r="AE1059" s="53"/>
      <x:c r="AF1059" s="53"/>
    </x:row>
    <x:row r="1060">
      <x:c r="A1060" s="53"/>
      <x:c r="B1060" s="53"/>
      <x:c r="C1060" s="53"/>
      <x:c r="D1060" s="53"/>
      <x:c r="E1060" s="53"/>
      <x:c r="F1060" s="53"/>
      <x:c r="G1060" s="53"/>
      <x:c r="H1060" s="53"/>
      <x:c r="I1060" s="53"/>
      <x:c r="J1060" s="53"/>
      <x:c r="K1060" s="53"/>
      <x:c r="L1060" s="53"/>
      <x:c r="M1060" s="53"/>
      <x:c r="N1060" s="53"/>
      <x:c r="O1060" s="53"/>
      <x:c r="P1060" s="53"/>
      <x:c r="Q1060" s="53"/>
      <x:c r="R1060" s="53"/>
      <x:c r="S1060" s="53"/>
      <x:c r="T1060" s="53"/>
      <x:c r="U1060" s="53"/>
      <x:c r="V1060" s="53"/>
      <x:c r="W1060" s="53"/>
      <x:c r="X1060" s="53"/>
      <x:c r="Y1060" s="53"/>
      <x:c r="Z1060" s="53"/>
      <x:c r="AA1060" s="53"/>
      <x:c r="AB1060" s="53"/>
      <x:c r="AC1060" s="53"/>
      <x:c r="AD1060" s="53"/>
      <x:c r="AE1060" s="53"/>
      <x:c r="AF1060" s="53"/>
    </x:row>
    <x:row r="1061">
      <x:c r="A1061" s="53"/>
      <x:c r="B1061" s="53"/>
      <x:c r="C1061" s="53"/>
      <x:c r="D1061" s="53"/>
      <x:c r="E1061" s="53"/>
      <x:c r="F1061" s="53"/>
      <x:c r="G1061" s="53"/>
      <x:c r="H1061" s="53"/>
      <x:c r="I1061" s="53"/>
      <x:c r="J1061" s="53"/>
      <x:c r="K1061" s="53"/>
      <x:c r="L1061" s="53"/>
      <x:c r="M1061" s="53"/>
      <x:c r="N1061" s="53"/>
      <x:c r="O1061" s="53"/>
      <x:c r="P1061" s="53"/>
      <x:c r="Q1061" s="53"/>
      <x:c r="R1061" s="53"/>
      <x:c r="S1061" s="53"/>
      <x:c r="T1061" s="53"/>
      <x:c r="U1061" s="53"/>
      <x:c r="V1061" s="53"/>
      <x:c r="W1061" s="53"/>
      <x:c r="X1061" s="53"/>
      <x:c r="Y1061" s="53"/>
      <x:c r="Z1061" s="53"/>
      <x:c r="AA1061" s="53"/>
      <x:c r="AB1061" s="53"/>
      <x:c r="AC1061" s="53"/>
      <x:c r="AD1061" s="53"/>
      <x:c r="AE1061" s="53"/>
      <x:c r="AF1061" s="53"/>
    </x:row>
    <x:row r="1062">
      <x:c r="A1062" s="53"/>
      <x:c r="B1062" s="53"/>
      <x:c r="C1062" s="53"/>
      <x:c r="D1062" s="53"/>
      <x:c r="E1062" s="53"/>
      <x:c r="F1062" s="53"/>
      <x:c r="G1062" s="53"/>
      <x:c r="H1062" s="53"/>
      <x:c r="I1062" s="53"/>
      <x:c r="J1062" s="53"/>
      <x:c r="K1062" s="53"/>
      <x:c r="L1062" s="53"/>
      <x:c r="M1062" s="53"/>
      <x:c r="N1062" s="53"/>
      <x:c r="O1062" s="53"/>
      <x:c r="P1062" s="53"/>
      <x:c r="Q1062" s="53"/>
      <x:c r="R1062" s="53"/>
      <x:c r="S1062" s="53"/>
      <x:c r="T1062" s="53"/>
      <x:c r="U1062" s="53"/>
      <x:c r="V1062" s="53"/>
      <x:c r="W1062" s="53"/>
      <x:c r="X1062" s="53"/>
      <x:c r="Y1062" s="53"/>
      <x:c r="Z1062" s="53"/>
      <x:c r="AA1062" s="53"/>
      <x:c r="AB1062" s="53"/>
      <x:c r="AC1062" s="53"/>
      <x:c r="AD1062" s="53"/>
      <x:c r="AE1062" s="53"/>
      <x:c r="AF1062" s="53"/>
    </x:row>
    <x:row r="1063">
      <x:c r="A1063" s="53"/>
      <x:c r="B1063" s="53"/>
      <x:c r="C1063" s="53"/>
      <x:c r="D1063" s="53"/>
      <x:c r="E1063" s="53"/>
      <x:c r="F1063" s="53"/>
      <x:c r="G1063" s="53"/>
      <x:c r="H1063" s="53"/>
      <x:c r="I1063" s="53"/>
      <x:c r="J1063" s="53"/>
      <x:c r="K1063" s="53"/>
      <x:c r="L1063" s="53"/>
      <x:c r="M1063" s="53"/>
      <x:c r="N1063" s="53"/>
      <x:c r="O1063" s="53"/>
      <x:c r="P1063" s="53"/>
      <x:c r="Q1063" s="53"/>
      <x:c r="R1063" s="53"/>
      <x:c r="S1063" s="53"/>
      <x:c r="T1063" s="53"/>
      <x:c r="U1063" s="53"/>
      <x:c r="V1063" s="53"/>
      <x:c r="W1063" s="53"/>
      <x:c r="X1063" s="53"/>
      <x:c r="Y1063" s="53"/>
      <x:c r="Z1063" s="53"/>
      <x:c r="AA1063" s="53"/>
      <x:c r="AB1063" s="53"/>
      <x:c r="AC1063" s="53"/>
      <x:c r="AD1063" s="53"/>
      <x:c r="AE1063" s="53"/>
      <x:c r="AF1063" s="53"/>
    </x:row>
    <x:row r="1064">
      <x:c r="A1064" s="53"/>
      <x:c r="B1064" s="53"/>
      <x:c r="C1064" s="53"/>
      <x:c r="D1064" s="53"/>
      <x:c r="E1064" s="53"/>
      <x:c r="F1064" s="53"/>
      <x:c r="G1064" s="53"/>
      <x:c r="H1064" s="53"/>
      <x:c r="I1064" s="53"/>
      <x:c r="J1064" s="53"/>
      <x:c r="K1064" s="53"/>
      <x:c r="L1064" s="53"/>
      <x:c r="M1064" s="53"/>
      <x:c r="N1064" s="53"/>
      <x:c r="O1064" s="53"/>
      <x:c r="P1064" s="53"/>
      <x:c r="Q1064" s="53"/>
      <x:c r="R1064" s="53"/>
      <x:c r="S1064" s="53"/>
      <x:c r="T1064" s="53"/>
      <x:c r="U1064" s="53"/>
      <x:c r="V1064" s="53"/>
      <x:c r="W1064" s="53"/>
      <x:c r="X1064" s="53"/>
      <x:c r="Y1064" s="53"/>
      <x:c r="Z1064" s="53"/>
      <x:c r="AA1064" s="53"/>
      <x:c r="AB1064" s="53"/>
      <x:c r="AC1064" s="53"/>
      <x:c r="AD1064" s="53"/>
      <x:c r="AE1064" s="53"/>
      <x:c r="AF1064" s="53"/>
    </x:row>
    <x:row r="1065">
      <x:c r="A1065" s="53"/>
      <x:c r="B1065" s="53"/>
      <x:c r="C1065" s="53"/>
      <x:c r="D1065" s="53"/>
      <x:c r="E1065" s="53"/>
      <x:c r="F1065" s="53"/>
      <x:c r="G1065" s="53"/>
      <x:c r="H1065" s="53"/>
      <x:c r="I1065" s="53"/>
      <x:c r="J1065" s="53"/>
      <x:c r="K1065" s="53"/>
      <x:c r="L1065" s="53"/>
      <x:c r="M1065" s="53"/>
      <x:c r="N1065" s="53"/>
      <x:c r="O1065" s="53"/>
      <x:c r="P1065" s="53"/>
      <x:c r="Q1065" s="53"/>
      <x:c r="R1065" s="53"/>
      <x:c r="S1065" s="53"/>
      <x:c r="T1065" s="53"/>
      <x:c r="U1065" s="53"/>
      <x:c r="V1065" s="53"/>
      <x:c r="W1065" s="53"/>
      <x:c r="X1065" s="53"/>
      <x:c r="Y1065" s="53"/>
      <x:c r="Z1065" s="53"/>
      <x:c r="AA1065" s="53"/>
      <x:c r="AB1065" s="53"/>
      <x:c r="AC1065" s="53"/>
      <x:c r="AD1065" s="53"/>
      <x:c r="AE1065" s="53"/>
      <x:c r="AF1065" s="53"/>
    </x:row>
    <x:row r="1066">
      <x:c r="A1066" s="53"/>
      <x:c r="B1066" s="53"/>
      <x:c r="C1066" s="53"/>
      <x:c r="D1066" s="53"/>
      <x:c r="E1066" s="53"/>
      <x:c r="F1066" s="53"/>
      <x:c r="G1066" s="53"/>
      <x:c r="H1066" s="53"/>
      <x:c r="I1066" s="53"/>
      <x:c r="J1066" s="53"/>
      <x:c r="K1066" s="53"/>
      <x:c r="L1066" s="53"/>
      <x:c r="M1066" s="53"/>
      <x:c r="N1066" s="53"/>
      <x:c r="O1066" s="53"/>
      <x:c r="P1066" s="53"/>
      <x:c r="Q1066" s="53"/>
      <x:c r="R1066" s="53"/>
      <x:c r="S1066" s="53"/>
      <x:c r="T1066" s="53"/>
      <x:c r="U1066" s="53"/>
      <x:c r="V1066" s="53"/>
      <x:c r="W1066" s="53"/>
      <x:c r="X1066" s="53"/>
      <x:c r="Y1066" s="53"/>
      <x:c r="Z1066" s="53"/>
      <x:c r="AA1066" s="53"/>
      <x:c r="AB1066" s="53"/>
      <x:c r="AC1066" s="53"/>
      <x:c r="AD1066" s="53"/>
      <x:c r="AE1066" s="53"/>
      <x:c r="AF1066" s="53"/>
    </x:row>
    <x:row r="1067">
      <x:c r="A1067" s="53"/>
      <x:c r="B1067" s="53"/>
      <x:c r="C1067" s="53"/>
      <x:c r="D1067" s="53"/>
      <x:c r="E1067" s="53"/>
      <x:c r="F1067" s="53"/>
      <x:c r="G1067" s="53"/>
      <x:c r="H1067" s="53"/>
      <x:c r="I1067" s="53"/>
      <x:c r="J1067" s="53"/>
      <x:c r="K1067" s="53"/>
      <x:c r="L1067" s="53"/>
      <x:c r="M1067" s="53"/>
      <x:c r="N1067" s="53"/>
      <x:c r="O1067" s="53"/>
      <x:c r="P1067" s="53"/>
      <x:c r="Q1067" s="53"/>
      <x:c r="R1067" s="53"/>
      <x:c r="S1067" s="53"/>
      <x:c r="T1067" s="53"/>
      <x:c r="U1067" s="53"/>
      <x:c r="V1067" s="53"/>
      <x:c r="W1067" s="53"/>
      <x:c r="X1067" s="53"/>
      <x:c r="Y1067" s="53"/>
      <x:c r="Z1067" s="53"/>
      <x:c r="AA1067" s="53"/>
      <x:c r="AB1067" s="53"/>
      <x:c r="AC1067" s="53"/>
      <x:c r="AD1067" s="53"/>
      <x:c r="AE1067" s="53"/>
      <x:c r="AF1067" s="53"/>
    </x:row>
    <x:row r="1068">
      <x:c r="A1068" s="53"/>
      <x:c r="B1068" s="53"/>
      <x:c r="C1068" s="53"/>
      <x:c r="D1068" s="53"/>
      <x:c r="E1068" s="53"/>
      <x:c r="F1068" s="53"/>
      <x:c r="G1068" s="53"/>
      <x:c r="H1068" s="53"/>
      <x:c r="I1068" s="53"/>
      <x:c r="J1068" s="53"/>
      <x:c r="K1068" s="53"/>
      <x:c r="L1068" s="53"/>
      <x:c r="M1068" s="53"/>
      <x:c r="N1068" s="53"/>
      <x:c r="O1068" s="53"/>
      <x:c r="P1068" s="53"/>
      <x:c r="Q1068" s="53"/>
      <x:c r="R1068" s="53"/>
      <x:c r="S1068" s="53"/>
      <x:c r="T1068" s="53"/>
      <x:c r="U1068" s="53"/>
      <x:c r="V1068" s="53"/>
      <x:c r="W1068" s="53"/>
      <x:c r="X1068" s="53"/>
      <x:c r="Y1068" s="53"/>
      <x:c r="Z1068" s="53"/>
      <x:c r="AA1068" s="53"/>
      <x:c r="AB1068" s="53"/>
      <x:c r="AC1068" s="53"/>
      <x:c r="AD1068" s="53"/>
      <x:c r="AE1068" s="53"/>
      <x:c r="AF1068" s="53"/>
    </x:row>
    <x:row r="1069">
      <x:c r="A1069" s="53"/>
      <x:c r="B1069" s="53"/>
      <x:c r="C1069" s="53"/>
      <x:c r="D1069" s="53"/>
      <x:c r="E1069" s="53"/>
      <x:c r="F1069" s="53"/>
      <x:c r="G1069" s="53"/>
      <x:c r="H1069" s="53"/>
      <x:c r="I1069" s="53"/>
      <x:c r="J1069" s="53"/>
      <x:c r="K1069" s="53"/>
      <x:c r="L1069" s="53"/>
      <x:c r="M1069" s="53"/>
      <x:c r="N1069" s="53"/>
      <x:c r="O1069" s="53"/>
      <x:c r="P1069" s="53"/>
      <x:c r="Q1069" s="53"/>
      <x:c r="R1069" s="53"/>
      <x:c r="S1069" s="53"/>
      <x:c r="T1069" s="53"/>
      <x:c r="U1069" s="53"/>
      <x:c r="V1069" s="53"/>
      <x:c r="W1069" s="53"/>
      <x:c r="X1069" s="53"/>
      <x:c r="Y1069" s="53"/>
      <x:c r="Z1069" s="53"/>
      <x:c r="AA1069" s="53"/>
      <x:c r="AB1069" s="53"/>
      <x:c r="AC1069" s="53"/>
      <x:c r="AD1069" s="53"/>
      <x:c r="AE1069" s="53"/>
      <x:c r="AF1069" s="53"/>
    </x:row>
    <x:row r="1070">
      <x:c r="A1070" s="53"/>
      <x:c r="B1070" s="53"/>
      <x:c r="C1070" s="53"/>
      <x:c r="D1070" s="53"/>
      <x:c r="E1070" s="53"/>
      <x:c r="F1070" s="53"/>
      <x:c r="G1070" s="53"/>
      <x:c r="H1070" s="53"/>
      <x:c r="I1070" s="53"/>
      <x:c r="J1070" s="53"/>
      <x:c r="K1070" s="53"/>
      <x:c r="L1070" s="53"/>
      <x:c r="M1070" s="53"/>
      <x:c r="N1070" s="53"/>
      <x:c r="O1070" s="53"/>
      <x:c r="P1070" s="53"/>
      <x:c r="Q1070" s="53"/>
      <x:c r="R1070" s="53"/>
      <x:c r="S1070" s="53"/>
      <x:c r="T1070" s="53"/>
      <x:c r="U1070" s="53"/>
      <x:c r="V1070" s="53"/>
      <x:c r="W1070" s="53"/>
      <x:c r="X1070" s="53"/>
      <x:c r="Y1070" s="53"/>
      <x:c r="Z1070" s="53"/>
      <x:c r="AA1070" s="53"/>
      <x:c r="AB1070" s="53"/>
      <x:c r="AC1070" s="53"/>
      <x:c r="AD1070" s="53"/>
      <x:c r="AE1070" s="53"/>
      <x:c r="AF1070" s="53"/>
    </x:row>
    <x:row r="1071">
      <x:c r="A1071" s="53"/>
      <x:c r="B1071" s="53"/>
      <x:c r="C1071" s="53"/>
      <x:c r="D1071" s="53"/>
      <x:c r="E1071" s="53"/>
      <x:c r="F1071" s="53"/>
      <x:c r="G1071" s="53"/>
      <x:c r="H1071" s="53"/>
      <x:c r="I1071" s="53"/>
      <x:c r="J1071" s="53"/>
      <x:c r="K1071" s="53"/>
      <x:c r="L1071" s="53"/>
      <x:c r="M1071" s="53"/>
      <x:c r="N1071" s="53"/>
      <x:c r="O1071" s="53"/>
      <x:c r="P1071" s="53"/>
      <x:c r="Q1071" s="53"/>
      <x:c r="R1071" s="53"/>
      <x:c r="S1071" s="53"/>
      <x:c r="T1071" s="53"/>
      <x:c r="U1071" s="53"/>
      <x:c r="V1071" s="53"/>
      <x:c r="W1071" s="53"/>
      <x:c r="X1071" s="53"/>
      <x:c r="Y1071" s="53"/>
      <x:c r="Z1071" s="53"/>
      <x:c r="AA1071" s="53"/>
      <x:c r="AB1071" s="53"/>
      <x:c r="AC1071" s="53"/>
      <x:c r="AD1071" s="53"/>
      <x:c r="AE1071" s="53"/>
      <x:c r="AF1071" s="53"/>
    </x:row>
    <x:row r="1072">
      <x:c r="A1072" s="53"/>
      <x:c r="B1072" s="53"/>
      <x:c r="C1072" s="53"/>
      <x:c r="D1072" s="53"/>
      <x:c r="E1072" s="53"/>
      <x:c r="F1072" s="53"/>
      <x:c r="G1072" s="53"/>
      <x:c r="H1072" s="53"/>
      <x:c r="I1072" s="53"/>
      <x:c r="J1072" s="53"/>
      <x:c r="K1072" s="53"/>
      <x:c r="L1072" s="53"/>
      <x:c r="M1072" s="53"/>
      <x:c r="N1072" s="53"/>
      <x:c r="O1072" s="53"/>
      <x:c r="P1072" s="53"/>
      <x:c r="Q1072" s="53"/>
      <x:c r="R1072" s="53"/>
      <x:c r="S1072" s="53"/>
      <x:c r="T1072" s="53"/>
      <x:c r="U1072" s="53"/>
      <x:c r="V1072" s="53"/>
      <x:c r="W1072" s="53"/>
      <x:c r="X1072" s="53"/>
      <x:c r="Y1072" s="53"/>
      <x:c r="Z1072" s="53"/>
      <x:c r="AA1072" s="53"/>
      <x:c r="AB1072" s="53"/>
      <x:c r="AC1072" s="53"/>
      <x:c r="AD1072" s="53"/>
      <x:c r="AE1072" s="53"/>
      <x:c r="AF1072" s="53"/>
    </x:row>
    <x:row r="1073">
      <x:c r="A1073" s="53"/>
      <x:c r="B1073" s="53"/>
      <x:c r="C1073" s="53"/>
      <x:c r="D1073" s="53"/>
      <x:c r="E1073" s="53"/>
      <x:c r="F1073" s="53"/>
      <x:c r="G1073" s="53"/>
      <x:c r="H1073" s="53"/>
      <x:c r="I1073" s="53"/>
      <x:c r="J1073" s="53"/>
      <x:c r="K1073" s="53"/>
      <x:c r="L1073" s="53"/>
      <x:c r="M1073" s="53"/>
      <x:c r="N1073" s="53"/>
      <x:c r="O1073" s="53"/>
      <x:c r="P1073" s="53"/>
      <x:c r="Q1073" s="53"/>
      <x:c r="R1073" s="53"/>
      <x:c r="S1073" s="53"/>
      <x:c r="T1073" s="53"/>
      <x:c r="U1073" s="53"/>
      <x:c r="V1073" s="53"/>
      <x:c r="W1073" s="53"/>
      <x:c r="X1073" s="53"/>
      <x:c r="Y1073" s="53"/>
      <x:c r="Z1073" s="53"/>
      <x:c r="AA1073" s="53"/>
      <x:c r="AB1073" s="53"/>
      <x:c r="AC1073" s="53"/>
      <x:c r="AD1073" s="53"/>
      <x:c r="AE1073" s="53"/>
      <x:c r="AF1073" s="53"/>
    </x:row>
    <x:row r="1074">
      <x:c r="A1074" s="53"/>
      <x:c r="B1074" s="53"/>
      <x:c r="C1074" s="53"/>
      <x:c r="D1074" s="53"/>
      <x:c r="E1074" s="53"/>
      <x:c r="F1074" s="53"/>
      <x:c r="G1074" s="53"/>
      <x:c r="H1074" s="53"/>
      <x:c r="I1074" s="53"/>
      <x:c r="J1074" s="53"/>
      <x:c r="K1074" s="53"/>
      <x:c r="L1074" s="53"/>
      <x:c r="M1074" s="53"/>
      <x:c r="N1074" s="53"/>
      <x:c r="O1074" s="53"/>
      <x:c r="P1074" s="53"/>
      <x:c r="Q1074" s="53"/>
      <x:c r="R1074" s="53"/>
      <x:c r="S1074" s="53"/>
      <x:c r="T1074" s="53"/>
      <x:c r="U1074" s="53"/>
      <x:c r="V1074" s="53"/>
      <x:c r="W1074" s="53"/>
      <x:c r="X1074" s="53"/>
      <x:c r="Y1074" s="53"/>
      <x:c r="Z1074" s="53"/>
      <x:c r="AA1074" s="53"/>
      <x:c r="AB1074" s="53"/>
      <x:c r="AC1074" s="53"/>
      <x:c r="AD1074" s="53"/>
      <x:c r="AE1074" s="53"/>
      <x:c r="AF1074" s="53"/>
    </x:row>
    <x:row r="1075">
      <x:c r="A1075" s="53"/>
      <x:c r="B1075" s="53"/>
      <x:c r="C1075" s="53"/>
      <x:c r="D1075" s="53"/>
      <x:c r="E1075" s="53"/>
      <x:c r="F1075" s="53"/>
      <x:c r="G1075" s="53"/>
      <x:c r="H1075" s="53"/>
      <x:c r="I1075" s="53"/>
      <x:c r="J1075" s="53"/>
      <x:c r="K1075" s="53"/>
      <x:c r="L1075" s="53"/>
      <x:c r="M1075" s="53"/>
      <x:c r="N1075" s="53"/>
      <x:c r="O1075" s="53"/>
      <x:c r="P1075" s="53"/>
      <x:c r="Q1075" s="53"/>
      <x:c r="R1075" s="53"/>
      <x:c r="S1075" s="53"/>
      <x:c r="T1075" s="53"/>
      <x:c r="U1075" s="53"/>
      <x:c r="V1075" s="53"/>
      <x:c r="W1075" s="53"/>
      <x:c r="X1075" s="53"/>
      <x:c r="Y1075" s="53"/>
      <x:c r="Z1075" s="53"/>
      <x:c r="AA1075" s="53"/>
      <x:c r="AB1075" s="53"/>
      <x:c r="AC1075" s="53"/>
      <x:c r="AD1075" s="53"/>
      <x:c r="AE1075" s="53"/>
      <x:c r="AF1075" s="53"/>
    </x:row>
    <x:row r="1076">
      <x:c r="A1076" s="53"/>
      <x:c r="B1076" s="53"/>
      <x:c r="C1076" s="53"/>
      <x:c r="D1076" s="53"/>
      <x:c r="E1076" s="53"/>
      <x:c r="F1076" s="53"/>
      <x:c r="G1076" s="53"/>
      <x:c r="H1076" s="53"/>
      <x:c r="I1076" s="53"/>
      <x:c r="J1076" s="53"/>
      <x:c r="K1076" s="53"/>
      <x:c r="L1076" s="53"/>
      <x:c r="M1076" s="53"/>
      <x:c r="N1076" s="53"/>
      <x:c r="O1076" s="53"/>
      <x:c r="P1076" s="53"/>
      <x:c r="Q1076" s="53"/>
      <x:c r="R1076" s="53"/>
      <x:c r="S1076" s="53"/>
      <x:c r="T1076" s="53"/>
      <x:c r="U1076" s="53"/>
      <x:c r="V1076" s="53"/>
      <x:c r="W1076" s="53"/>
      <x:c r="X1076" s="53"/>
      <x:c r="Y1076" s="53"/>
      <x:c r="Z1076" s="53"/>
      <x:c r="AA1076" s="53"/>
      <x:c r="AB1076" s="53"/>
      <x:c r="AC1076" s="53"/>
      <x:c r="AD1076" s="53"/>
      <x:c r="AE1076" s="53"/>
      <x:c r="AF1076" s="53"/>
    </x:row>
    <x:row r="1077">
      <x:c r="A1077" s="53"/>
      <x:c r="B1077" s="53"/>
      <x:c r="C1077" s="53"/>
      <x:c r="D1077" s="53"/>
      <x:c r="E1077" s="53"/>
      <x:c r="F1077" s="53"/>
      <x:c r="G1077" s="53"/>
      <x:c r="H1077" s="53"/>
      <x:c r="I1077" s="53"/>
      <x:c r="J1077" s="53"/>
      <x:c r="K1077" s="53"/>
      <x:c r="L1077" s="53"/>
      <x:c r="M1077" s="53"/>
      <x:c r="N1077" s="53"/>
      <x:c r="O1077" s="53"/>
      <x:c r="P1077" s="53"/>
      <x:c r="Q1077" s="53"/>
      <x:c r="R1077" s="53"/>
      <x:c r="S1077" s="53"/>
      <x:c r="T1077" s="53"/>
      <x:c r="U1077" s="53"/>
      <x:c r="V1077" s="53"/>
      <x:c r="W1077" s="53"/>
      <x:c r="X1077" s="53"/>
      <x:c r="Y1077" s="53"/>
      <x:c r="Z1077" s="53"/>
      <x:c r="AA1077" s="53"/>
      <x:c r="AB1077" s="53"/>
      <x:c r="AC1077" s="53"/>
      <x:c r="AD1077" s="53"/>
      <x:c r="AE1077" s="53"/>
      <x:c r="AF1077" s="53"/>
    </x:row>
    <x:row r="1078">
      <x:c r="A1078" s="53"/>
      <x:c r="B1078" s="53"/>
      <x:c r="C1078" s="53"/>
      <x:c r="D1078" s="53"/>
      <x:c r="E1078" s="53"/>
      <x:c r="F1078" s="53"/>
      <x:c r="G1078" s="53"/>
      <x:c r="H1078" s="53"/>
      <x:c r="I1078" s="53"/>
      <x:c r="J1078" s="53"/>
      <x:c r="K1078" s="53"/>
      <x:c r="L1078" s="53"/>
      <x:c r="M1078" s="53"/>
      <x:c r="N1078" s="53"/>
      <x:c r="O1078" s="53"/>
      <x:c r="P1078" s="53"/>
      <x:c r="Q1078" s="53"/>
      <x:c r="R1078" s="53"/>
      <x:c r="S1078" s="53"/>
      <x:c r="T1078" s="53"/>
      <x:c r="U1078" s="53"/>
      <x:c r="V1078" s="53"/>
      <x:c r="W1078" s="53"/>
      <x:c r="X1078" s="53"/>
      <x:c r="Y1078" s="53"/>
      <x:c r="Z1078" s="53"/>
      <x:c r="AA1078" s="53"/>
      <x:c r="AB1078" s="53"/>
      <x:c r="AC1078" s="53"/>
      <x:c r="AD1078" s="53"/>
      <x:c r="AE1078" s="53"/>
      <x:c r="AF1078" s="53"/>
    </x:row>
    <x:row r="1079">
      <x:c r="A1079" s="53"/>
      <x:c r="B1079" s="53"/>
      <x:c r="C1079" s="53"/>
      <x:c r="D1079" s="53"/>
      <x:c r="E1079" s="53"/>
      <x:c r="F1079" s="53"/>
      <x:c r="G1079" s="53"/>
      <x:c r="H1079" s="53"/>
      <x:c r="I1079" s="53"/>
      <x:c r="J1079" s="53"/>
      <x:c r="K1079" s="53"/>
      <x:c r="L1079" s="53"/>
      <x:c r="M1079" s="53"/>
      <x:c r="N1079" s="53"/>
      <x:c r="O1079" s="53"/>
      <x:c r="P1079" s="53"/>
      <x:c r="Q1079" s="53"/>
      <x:c r="R1079" s="53"/>
      <x:c r="S1079" s="53"/>
      <x:c r="T1079" s="53"/>
      <x:c r="U1079" s="53"/>
      <x:c r="V1079" s="53"/>
      <x:c r="W1079" s="53"/>
      <x:c r="X1079" s="53"/>
      <x:c r="Y1079" s="53"/>
      <x:c r="Z1079" s="53"/>
      <x:c r="AA1079" s="53"/>
      <x:c r="AB1079" s="53"/>
      <x:c r="AC1079" s="53"/>
      <x:c r="AD1079" s="53"/>
      <x:c r="AE1079" s="53"/>
      <x:c r="AF1079" s="53"/>
    </x:row>
    <x:row r="1080">
      <x:c r="A1080" s="53"/>
      <x:c r="B1080" s="53"/>
      <x:c r="C1080" s="53"/>
      <x:c r="D1080" s="53"/>
      <x:c r="E1080" s="53"/>
      <x:c r="F1080" s="53"/>
      <x:c r="G1080" s="53"/>
      <x:c r="H1080" s="53"/>
      <x:c r="I1080" s="53"/>
      <x:c r="J1080" s="53"/>
      <x:c r="K1080" s="53"/>
      <x:c r="L1080" s="53"/>
      <x:c r="M1080" s="53"/>
      <x:c r="N1080" s="53"/>
      <x:c r="O1080" s="53"/>
      <x:c r="P1080" s="53"/>
      <x:c r="Q1080" s="53"/>
      <x:c r="R1080" s="53"/>
      <x:c r="S1080" s="53"/>
      <x:c r="T1080" s="53"/>
      <x:c r="U1080" s="53"/>
      <x:c r="V1080" s="53"/>
      <x:c r="W1080" s="53"/>
      <x:c r="X1080" s="53"/>
      <x:c r="Y1080" s="53"/>
      <x:c r="Z1080" s="53"/>
      <x:c r="AA1080" s="53"/>
      <x:c r="AB1080" s="53"/>
      <x:c r="AC1080" s="53"/>
      <x:c r="AD1080" s="53"/>
      <x:c r="AE1080" s="53"/>
      <x:c r="AF1080" s="53"/>
    </x:row>
    <x:row r="1081">
      <x:c r="A1081" s="53"/>
      <x:c r="B1081" s="53"/>
      <x:c r="C1081" s="53"/>
      <x:c r="D1081" s="53"/>
      <x:c r="E1081" s="53"/>
      <x:c r="F1081" s="53"/>
      <x:c r="G1081" s="53"/>
      <x:c r="H1081" s="53"/>
      <x:c r="I1081" s="53"/>
      <x:c r="J1081" s="53"/>
      <x:c r="K1081" s="53"/>
      <x:c r="L1081" s="53"/>
      <x:c r="M1081" s="53"/>
      <x:c r="N1081" s="53"/>
      <x:c r="O1081" s="53"/>
      <x:c r="P1081" s="53"/>
      <x:c r="Q1081" s="53"/>
      <x:c r="R1081" s="53"/>
      <x:c r="S1081" s="53"/>
      <x:c r="T1081" s="53"/>
      <x:c r="U1081" s="53"/>
      <x:c r="V1081" s="53"/>
      <x:c r="W1081" s="53"/>
      <x:c r="X1081" s="53"/>
      <x:c r="Y1081" s="53"/>
      <x:c r="Z1081" s="53"/>
      <x:c r="AA1081" s="53"/>
      <x:c r="AB1081" s="53"/>
      <x:c r="AC1081" s="53"/>
      <x:c r="AD1081" s="53"/>
      <x:c r="AE1081" s="53"/>
      <x:c r="AF1081" s="53"/>
    </x:row>
    <x:row r="1082">
      <x:c r="A1082" s="53"/>
      <x:c r="B1082" s="53"/>
      <x:c r="C1082" s="53"/>
      <x:c r="D1082" s="53"/>
      <x:c r="E1082" s="53"/>
      <x:c r="F1082" s="53"/>
      <x:c r="G1082" s="53"/>
      <x:c r="H1082" s="53"/>
      <x:c r="I1082" s="53"/>
      <x:c r="J1082" s="53"/>
      <x:c r="K1082" s="53"/>
      <x:c r="L1082" s="53"/>
      <x:c r="M1082" s="53"/>
      <x:c r="N1082" s="53"/>
      <x:c r="O1082" s="53"/>
      <x:c r="P1082" s="53"/>
      <x:c r="Q1082" s="53"/>
      <x:c r="R1082" s="53"/>
      <x:c r="S1082" s="53"/>
      <x:c r="T1082" s="53"/>
      <x:c r="U1082" s="53"/>
      <x:c r="V1082" s="53"/>
      <x:c r="W1082" s="53"/>
      <x:c r="X1082" s="53"/>
      <x:c r="Y1082" s="53"/>
      <x:c r="Z1082" s="53"/>
      <x:c r="AA1082" s="53"/>
      <x:c r="AB1082" s="53"/>
      <x:c r="AC1082" s="53"/>
      <x:c r="AD1082" s="53"/>
      <x:c r="AE1082" s="53"/>
      <x:c r="AF1082" s="53"/>
    </x:row>
    <x:row r="1083">
      <x:c r="A1083" s="53"/>
      <x:c r="B1083" s="53"/>
      <x:c r="C1083" s="53"/>
      <x:c r="D1083" s="53"/>
      <x:c r="E1083" s="53"/>
      <x:c r="F1083" s="53"/>
      <x:c r="G1083" s="53"/>
      <x:c r="H1083" s="53"/>
      <x:c r="I1083" s="53"/>
      <x:c r="J1083" s="53"/>
      <x:c r="K1083" s="53"/>
      <x:c r="L1083" s="53"/>
      <x:c r="M1083" s="53"/>
      <x:c r="N1083" s="53"/>
      <x:c r="O1083" s="53"/>
      <x:c r="P1083" s="53"/>
      <x:c r="Q1083" s="53"/>
      <x:c r="R1083" s="53"/>
      <x:c r="S1083" s="53"/>
      <x:c r="T1083" s="53"/>
      <x:c r="U1083" s="53"/>
      <x:c r="V1083" s="53"/>
      <x:c r="W1083" s="53"/>
      <x:c r="X1083" s="53"/>
      <x:c r="Y1083" s="53"/>
      <x:c r="Z1083" s="53"/>
      <x:c r="AA1083" s="53"/>
      <x:c r="AB1083" s="53"/>
      <x:c r="AC1083" s="53"/>
      <x:c r="AD1083" s="53"/>
      <x:c r="AE1083" s="53"/>
      <x:c r="AF1083" s="53"/>
    </x:row>
    <x:row r="1084">
      <x:c r="A1084" s="53"/>
      <x:c r="B1084" s="53"/>
      <x:c r="C1084" s="53"/>
      <x:c r="D1084" s="53"/>
      <x:c r="E1084" s="53"/>
      <x:c r="F1084" s="53"/>
      <x:c r="G1084" s="53"/>
      <x:c r="H1084" s="53"/>
      <x:c r="I1084" s="53"/>
      <x:c r="J1084" s="53"/>
      <x:c r="K1084" s="53"/>
      <x:c r="L1084" s="53"/>
      <x:c r="M1084" s="53"/>
      <x:c r="N1084" s="53"/>
      <x:c r="O1084" s="53"/>
      <x:c r="P1084" s="53"/>
      <x:c r="Q1084" s="53"/>
      <x:c r="R1084" s="53"/>
      <x:c r="S1084" s="53"/>
      <x:c r="T1084" s="53"/>
      <x:c r="U1084" s="53"/>
      <x:c r="V1084" s="53"/>
      <x:c r="W1084" s="53"/>
      <x:c r="X1084" s="53"/>
      <x:c r="Y1084" s="53"/>
      <x:c r="Z1084" s="53"/>
      <x:c r="AA1084" s="53"/>
      <x:c r="AB1084" s="53"/>
      <x:c r="AC1084" s="53"/>
      <x:c r="AD1084" s="53"/>
      <x:c r="AE1084" s="53"/>
      <x:c r="AF1084" s="53"/>
    </x:row>
    <x:row r="1085">
      <x:c r="A1085" s="53"/>
      <x:c r="B1085" s="53"/>
      <x:c r="C1085" s="53"/>
      <x:c r="D1085" s="53"/>
      <x:c r="E1085" s="53"/>
      <x:c r="F1085" s="53"/>
      <x:c r="G1085" s="53"/>
      <x:c r="H1085" s="53"/>
      <x:c r="I1085" s="53"/>
      <x:c r="J1085" s="53"/>
      <x:c r="K1085" s="53"/>
      <x:c r="L1085" s="53"/>
      <x:c r="M1085" s="53"/>
      <x:c r="N1085" s="53"/>
      <x:c r="O1085" s="53"/>
      <x:c r="P1085" s="53"/>
      <x:c r="Q1085" s="53"/>
      <x:c r="R1085" s="53"/>
      <x:c r="S1085" s="53"/>
      <x:c r="T1085" s="53"/>
      <x:c r="U1085" s="53"/>
      <x:c r="V1085" s="53"/>
      <x:c r="W1085" s="53"/>
      <x:c r="X1085" s="53"/>
      <x:c r="Y1085" s="53"/>
      <x:c r="Z1085" s="53"/>
      <x:c r="AA1085" s="53"/>
      <x:c r="AB1085" s="53"/>
      <x:c r="AC1085" s="53"/>
      <x:c r="AD1085" s="53"/>
      <x:c r="AE1085" s="53"/>
      <x:c r="AF1085" s="53"/>
    </x:row>
    <x:row r="1086">
      <x:c r="A1086" s="53"/>
      <x:c r="B1086" s="53"/>
      <x:c r="C1086" s="53"/>
      <x:c r="D1086" s="53"/>
      <x:c r="E1086" s="53"/>
      <x:c r="F1086" s="53"/>
      <x:c r="G1086" s="53"/>
      <x:c r="H1086" s="53"/>
      <x:c r="I1086" s="53"/>
      <x:c r="J1086" s="53"/>
      <x:c r="K1086" s="53"/>
      <x:c r="L1086" s="53"/>
      <x:c r="M1086" s="53"/>
      <x:c r="N1086" s="53"/>
      <x:c r="O1086" s="53"/>
      <x:c r="P1086" s="53"/>
      <x:c r="Q1086" s="53"/>
      <x:c r="R1086" s="53"/>
      <x:c r="S1086" s="53"/>
      <x:c r="T1086" s="53"/>
      <x:c r="U1086" s="53"/>
      <x:c r="V1086" s="53"/>
      <x:c r="W1086" s="53"/>
      <x:c r="X1086" s="53"/>
      <x:c r="Y1086" s="53"/>
      <x:c r="Z1086" s="53"/>
      <x:c r="AA1086" s="53"/>
      <x:c r="AB1086" s="53"/>
      <x:c r="AC1086" s="53"/>
      <x:c r="AD1086" s="53"/>
      <x:c r="AE1086" s="53"/>
      <x:c r="AF1086" s="53"/>
    </x:row>
    <x:row r="1087">
      <x:c r="A1087" s="53"/>
      <x:c r="B1087" s="53"/>
      <x:c r="C1087" s="53"/>
      <x:c r="D1087" s="53"/>
      <x:c r="E1087" s="53"/>
      <x:c r="F1087" s="53"/>
      <x:c r="G1087" s="53"/>
      <x:c r="H1087" s="53"/>
      <x:c r="I1087" s="53"/>
      <x:c r="J1087" s="53"/>
      <x:c r="K1087" s="53"/>
      <x:c r="L1087" s="53"/>
      <x:c r="M1087" s="53"/>
      <x:c r="N1087" s="53"/>
      <x:c r="O1087" s="53"/>
      <x:c r="P1087" s="53"/>
      <x:c r="Q1087" s="53"/>
      <x:c r="R1087" s="53"/>
      <x:c r="S1087" s="53"/>
      <x:c r="T1087" s="53"/>
      <x:c r="U1087" s="53"/>
      <x:c r="V1087" s="53"/>
      <x:c r="W1087" s="53"/>
      <x:c r="X1087" s="53"/>
      <x:c r="Y1087" s="53"/>
      <x:c r="Z1087" s="53"/>
      <x:c r="AA1087" s="53"/>
      <x:c r="AB1087" s="53"/>
      <x:c r="AC1087" s="53"/>
      <x:c r="AD1087" s="53"/>
      <x:c r="AE1087" s="53"/>
      <x:c r="AF1087" s="53"/>
    </x:row>
    <x:row r="1088">
      <x:c r="A1088" s="53"/>
      <x:c r="B1088" s="53"/>
      <x:c r="C1088" s="53"/>
      <x:c r="D1088" s="53"/>
      <x:c r="E1088" s="53"/>
      <x:c r="F1088" s="53"/>
      <x:c r="G1088" s="53"/>
      <x:c r="H1088" s="53"/>
      <x:c r="I1088" s="53"/>
      <x:c r="J1088" s="53"/>
      <x:c r="K1088" s="53"/>
      <x:c r="L1088" s="53"/>
      <x:c r="M1088" s="53"/>
      <x:c r="N1088" s="53"/>
      <x:c r="O1088" s="53"/>
      <x:c r="P1088" s="53"/>
      <x:c r="Q1088" s="53"/>
      <x:c r="R1088" s="53"/>
      <x:c r="S1088" s="53"/>
      <x:c r="T1088" s="53"/>
      <x:c r="U1088" s="53"/>
      <x:c r="V1088" s="53"/>
      <x:c r="W1088" s="53"/>
      <x:c r="X1088" s="53"/>
      <x:c r="Y1088" s="53"/>
      <x:c r="Z1088" s="53"/>
      <x:c r="AA1088" s="53"/>
      <x:c r="AB1088" s="53"/>
      <x:c r="AC1088" s="53"/>
      <x:c r="AD1088" s="53"/>
      <x:c r="AE1088" s="53"/>
      <x:c r="AF1088" s="53"/>
    </x:row>
    <x:row r="1089">
      <x:c r="A1089" s="53"/>
      <x:c r="B1089" s="53"/>
      <x:c r="C1089" s="53"/>
      <x:c r="D1089" s="53"/>
      <x:c r="E1089" s="53"/>
      <x:c r="F1089" s="53"/>
      <x:c r="G1089" s="53"/>
      <x:c r="H1089" s="53"/>
      <x:c r="I1089" s="53"/>
      <x:c r="J1089" s="53"/>
      <x:c r="K1089" s="53"/>
      <x:c r="L1089" s="53"/>
      <x:c r="M1089" s="53"/>
      <x:c r="N1089" s="53"/>
      <x:c r="O1089" s="53"/>
      <x:c r="P1089" s="53"/>
      <x:c r="Q1089" s="53"/>
      <x:c r="R1089" s="53"/>
      <x:c r="S1089" s="53"/>
      <x:c r="T1089" s="53"/>
      <x:c r="U1089" s="53"/>
      <x:c r="V1089" s="53"/>
      <x:c r="W1089" s="53"/>
      <x:c r="X1089" s="53"/>
      <x:c r="Y1089" s="53"/>
      <x:c r="Z1089" s="53"/>
      <x:c r="AA1089" s="53"/>
      <x:c r="AB1089" s="53"/>
      <x:c r="AC1089" s="53"/>
      <x:c r="AD1089" s="53"/>
      <x:c r="AE1089" s="53"/>
      <x:c r="AF1089" s="53"/>
    </x:row>
    <x:row r="1090">
      <x:c r="A1090" s="53"/>
      <x:c r="B1090" s="53"/>
      <x:c r="C1090" s="53"/>
      <x:c r="D1090" s="53"/>
      <x:c r="E1090" s="53"/>
      <x:c r="F1090" s="53"/>
      <x:c r="G1090" s="53"/>
      <x:c r="H1090" s="53"/>
      <x:c r="I1090" s="53"/>
      <x:c r="J1090" s="53"/>
      <x:c r="K1090" s="53"/>
      <x:c r="L1090" s="53"/>
      <x:c r="M1090" s="53"/>
      <x:c r="N1090" s="53"/>
      <x:c r="O1090" s="53"/>
      <x:c r="P1090" s="53"/>
      <x:c r="Q1090" s="53"/>
      <x:c r="R1090" s="53"/>
      <x:c r="S1090" s="53"/>
      <x:c r="T1090" s="53"/>
      <x:c r="U1090" s="53"/>
      <x:c r="V1090" s="53"/>
      <x:c r="W1090" s="53"/>
      <x:c r="X1090" s="53"/>
      <x:c r="Y1090" s="53"/>
      <x:c r="Z1090" s="53"/>
      <x:c r="AA1090" s="53"/>
      <x:c r="AB1090" s="53"/>
      <x:c r="AC1090" s="53"/>
      <x:c r="AD1090" s="53"/>
      <x:c r="AE1090" s="53"/>
      <x:c r="AF1090" s="53"/>
    </x:row>
    <x:row r="1091">
      <x:c r="A1091" s="53"/>
      <x:c r="B1091" s="53"/>
      <x:c r="C1091" s="53"/>
      <x:c r="D1091" s="53"/>
      <x:c r="E1091" s="53"/>
      <x:c r="F1091" s="53"/>
      <x:c r="G1091" s="53"/>
      <x:c r="H1091" s="53"/>
      <x:c r="I1091" s="53"/>
      <x:c r="J1091" s="53"/>
      <x:c r="K1091" s="53"/>
      <x:c r="L1091" s="53"/>
      <x:c r="M1091" s="53"/>
      <x:c r="N1091" s="53"/>
      <x:c r="O1091" s="53"/>
      <x:c r="P1091" s="53"/>
      <x:c r="Q1091" s="53"/>
      <x:c r="R1091" s="53"/>
      <x:c r="S1091" s="53"/>
      <x:c r="T1091" s="53"/>
      <x:c r="U1091" s="53"/>
      <x:c r="V1091" s="53"/>
      <x:c r="W1091" s="53"/>
      <x:c r="X1091" s="53"/>
      <x:c r="Y1091" s="53"/>
      <x:c r="Z1091" s="53"/>
      <x:c r="AA1091" s="53"/>
      <x:c r="AB1091" s="53"/>
      <x:c r="AC1091" s="53"/>
      <x:c r="AD1091" s="53"/>
      <x:c r="AE1091" s="53"/>
      <x:c r="AF1091" s="53"/>
    </x:row>
    <x:row r="1092">
      <x:c r="A1092" s="53"/>
      <x:c r="B1092" s="53"/>
      <x:c r="C1092" s="53"/>
      <x:c r="D1092" s="53"/>
      <x:c r="E1092" s="53"/>
      <x:c r="F1092" s="53"/>
      <x:c r="G1092" s="53"/>
      <x:c r="H1092" s="53"/>
      <x:c r="I1092" s="53"/>
      <x:c r="J1092" s="53"/>
      <x:c r="K1092" s="53"/>
      <x:c r="L1092" s="53"/>
      <x:c r="M1092" s="53"/>
      <x:c r="N1092" s="53"/>
      <x:c r="O1092" s="53"/>
      <x:c r="P1092" s="53"/>
      <x:c r="Q1092" s="53"/>
      <x:c r="R1092" s="53"/>
      <x:c r="S1092" s="53"/>
      <x:c r="T1092" s="53"/>
      <x:c r="U1092" s="53"/>
      <x:c r="V1092" s="53"/>
      <x:c r="W1092" s="53"/>
      <x:c r="X1092" s="53"/>
      <x:c r="Y1092" s="53"/>
      <x:c r="Z1092" s="53"/>
      <x:c r="AA1092" s="53"/>
      <x:c r="AB1092" s="53"/>
      <x:c r="AC1092" s="53"/>
      <x:c r="AD1092" s="53"/>
      <x:c r="AE1092" s="53"/>
      <x:c r="AF1092" s="53"/>
    </x:row>
    <x:row r="1093">
      <x:c r="A1093" s="53"/>
      <x:c r="B1093" s="53"/>
      <x:c r="C1093" s="53"/>
      <x:c r="D1093" s="53"/>
      <x:c r="E1093" s="53"/>
      <x:c r="F1093" s="53"/>
      <x:c r="G1093" s="53"/>
      <x:c r="H1093" s="53"/>
      <x:c r="I1093" s="53"/>
      <x:c r="J1093" s="53"/>
      <x:c r="K1093" s="53"/>
      <x:c r="L1093" s="53"/>
      <x:c r="M1093" s="53"/>
      <x:c r="N1093" s="53"/>
      <x:c r="O1093" s="53"/>
      <x:c r="P1093" s="53"/>
      <x:c r="Q1093" s="53"/>
      <x:c r="R1093" s="53"/>
      <x:c r="S1093" s="53"/>
      <x:c r="T1093" s="53"/>
      <x:c r="U1093" s="53"/>
      <x:c r="V1093" s="53"/>
      <x:c r="W1093" s="53"/>
      <x:c r="X1093" s="53"/>
      <x:c r="Y1093" s="53"/>
      <x:c r="Z1093" s="53"/>
      <x:c r="AA1093" s="53"/>
      <x:c r="AB1093" s="53"/>
      <x:c r="AC1093" s="53"/>
      <x:c r="AD1093" s="53"/>
      <x:c r="AE1093" s="53"/>
      <x:c r="AF1093" s="53"/>
    </x:row>
    <x:row r="1094">
      <x:c r="A1094" s="53"/>
      <x:c r="B1094" s="53"/>
      <x:c r="C1094" s="53"/>
      <x:c r="D1094" s="53"/>
      <x:c r="E1094" s="53"/>
      <x:c r="F1094" s="53"/>
      <x:c r="G1094" s="53"/>
      <x:c r="H1094" s="53"/>
      <x:c r="I1094" s="53"/>
      <x:c r="J1094" s="53"/>
      <x:c r="K1094" s="53"/>
      <x:c r="L1094" s="53"/>
      <x:c r="M1094" s="53"/>
      <x:c r="N1094" s="53"/>
      <x:c r="O1094" s="53"/>
      <x:c r="P1094" s="53"/>
      <x:c r="Q1094" s="53"/>
      <x:c r="R1094" s="53"/>
      <x:c r="S1094" s="53"/>
      <x:c r="T1094" s="53"/>
      <x:c r="U1094" s="53"/>
      <x:c r="V1094" s="53"/>
      <x:c r="W1094" s="53"/>
      <x:c r="X1094" s="53"/>
      <x:c r="Y1094" s="53"/>
      <x:c r="Z1094" s="53"/>
      <x:c r="AA1094" s="53"/>
      <x:c r="AB1094" s="53"/>
      <x:c r="AC1094" s="53"/>
      <x:c r="AD1094" s="53"/>
      <x:c r="AE1094" s="53"/>
      <x:c r="AF1094" s="53"/>
    </x:row>
    <x:row r="1095">
      <x:c r="A1095" s="53"/>
      <x:c r="B1095" s="53"/>
      <x:c r="C1095" s="53"/>
      <x:c r="D1095" s="53"/>
      <x:c r="E1095" s="53"/>
      <x:c r="F1095" s="53"/>
      <x:c r="G1095" s="53"/>
      <x:c r="H1095" s="53"/>
      <x:c r="I1095" s="53"/>
      <x:c r="J1095" s="53"/>
      <x:c r="K1095" s="53"/>
      <x:c r="L1095" s="53"/>
      <x:c r="M1095" s="53"/>
      <x:c r="N1095" s="53"/>
      <x:c r="O1095" s="53"/>
      <x:c r="P1095" s="53"/>
      <x:c r="Q1095" s="53"/>
      <x:c r="R1095" s="53"/>
      <x:c r="S1095" s="53"/>
      <x:c r="T1095" s="53"/>
      <x:c r="U1095" s="53"/>
      <x:c r="V1095" s="53"/>
      <x:c r="W1095" s="53"/>
      <x:c r="X1095" s="53"/>
      <x:c r="Y1095" s="53"/>
      <x:c r="Z1095" s="53"/>
      <x:c r="AA1095" s="53"/>
      <x:c r="AB1095" s="53"/>
      <x:c r="AC1095" s="53"/>
      <x:c r="AD1095" s="53"/>
      <x:c r="AE1095" s="53"/>
      <x:c r="AF1095" s="53"/>
    </x:row>
    <x:row r="1096">
      <x:c r="A1096" s="53"/>
      <x:c r="B1096" s="53"/>
      <x:c r="C1096" s="53"/>
      <x:c r="D1096" s="53"/>
      <x:c r="E1096" s="53"/>
      <x:c r="F1096" s="53"/>
      <x:c r="G1096" s="53"/>
      <x:c r="H1096" s="53"/>
      <x:c r="I1096" s="53"/>
      <x:c r="J1096" s="53"/>
      <x:c r="K1096" s="53"/>
      <x:c r="L1096" s="53"/>
      <x:c r="M1096" s="53"/>
      <x:c r="N1096" s="53"/>
      <x:c r="O1096" s="53"/>
      <x:c r="P1096" s="53"/>
      <x:c r="Q1096" s="53"/>
      <x:c r="R1096" s="53"/>
      <x:c r="S1096" s="53"/>
      <x:c r="T1096" s="53"/>
      <x:c r="U1096" s="53"/>
      <x:c r="V1096" s="53"/>
      <x:c r="W1096" s="53"/>
      <x:c r="X1096" s="53"/>
      <x:c r="Y1096" s="53"/>
      <x:c r="Z1096" s="53"/>
      <x:c r="AA1096" s="53"/>
      <x:c r="AB1096" s="53"/>
      <x:c r="AC1096" s="53"/>
      <x:c r="AD1096" s="53"/>
      <x:c r="AE1096" s="53"/>
      <x:c r="AF1096" s="53"/>
    </x:row>
    <x:row r="1097">
      <x:c r="A1097" s="53"/>
      <x:c r="B1097" s="53"/>
      <x:c r="C1097" s="53"/>
      <x:c r="D1097" s="53"/>
      <x:c r="E1097" s="53"/>
      <x:c r="F1097" s="53"/>
      <x:c r="G1097" s="53"/>
      <x:c r="H1097" s="53"/>
      <x:c r="I1097" s="53"/>
      <x:c r="J1097" s="53"/>
      <x:c r="K1097" s="53"/>
      <x:c r="L1097" s="53"/>
      <x:c r="M1097" s="53"/>
      <x:c r="N1097" s="53"/>
      <x:c r="O1097" s="53"/>
      <x:c r="P1097" s="53"/>
      <x:c r="Q1097" s="53"/>
      <x:c r="R1097" s="53"/>
      <x:c r="S1097" s="53"/>
      <x:c r="T1097" s="53"/>
      <x:c r="U1097" s="53"/>
      <x:c r="V1097" s="53"/>
      <x:c r="W1097" s="53"/>
      <x:c r="X1097" s="53"/>
      <x:c r="Y1097" s="53"/>
      <x:c r="Z1097" s="53"/>
      <x:c r="AA1097" s="53"/>
      <x:c r="AB1097" s="53"/>
      <x:c r="AC1097" s="53"/>
      <x:c r="AD1097" s="53"/>
      <x:c r="AE1097" s="53"/>
      <x:c r="AF1097" s="53"/>
    </x:row>
    <x:row r="1098">
      <x:c r="A1098" s="53"/>
      <x:c r="B1098" s="53"/>
      <x:c r="C1098" s="53"/>
      <x:c r="D1098" s="53"/>
      <x:c r="E1098" s="53"/>
      <x:c r="F1098" s="53"/>
      <x:c r="G1098" s="53"/>
      <x:c r="H1098" s="53"/>
      <x:c r="I1098" s="53"/>
      <x:c r="J1098" s="53"/>
      <x:c r="K1098" s="53"/>
      <x:c r="L1098" s="53"/>
      <x:c r="M1098" s="53"/>
      <x:c r="N1098" s="53"/>
      <x:c r="O1098" s="53"/>
      <x:c r="P1098" s="53"/>
      <x:c r="Q1098" s="53"/>
      <x:c r="R1098" s="53"/>
      <x:c r="S1098" s="53"/>
      <x:c r="T1098" s="53"/>
      <x:c r="U1098" s="53"/>
      <x:c r="V1098" s="53"/>
      <x:c r="W1098" s="53"/>
      <x:c r="X1098" s="53"/>
      <x:c r="Y1098" s="53"/>
      <x:c r="Z1098" s="53"/>
      <x:c r="AA1098" s="53"/>
      <x:c r="AB1098" s="53"/>
      <x:c r="AC1098" s="53"/>
      <x:c r="AD1098" s="53"/>
      <x:c r="AE1098" s="53"/>
      <x:c r="AF1098" s="53"/>
    </x:row>
    <x:row r="1099">
      <x:c r="A1099" s="53"/>
      <x:c r="B1099" s="53"/>
      <x:c r="C1099" s="53"/>
      <x:c r="D1099" s="53"/>
      <x:c r="E1099" s="53"/>
      <x:c r="F1099" s="53"/>
      <x:c r="G1099" s="53"/>
      <x:c r="H1099" s="53"/>
      <x:c r="I1099" s="53"/>
      <x:c r="J1099" s="53"/>
      <x:c r="K1099" s="53"/>
      <x:c r="L1099" s="53"/>
      <x:c r="M1099" s="53"/>
      <x:c r="N1099" s="53"/>
      <x:c r="O1099" s="53"/>
      <x:c r="P1099" s="53"/>
      <x:c r="Q1099" s="53"/>
      <x:c r="R1099" s="53"/>
      <x:c r="S1099" s="53"/>
      <x:c r="T1099" s="53"/>
      <x:c r="U1099" s="53"/>
      <x:c r="V1099" s="53"/>
      <x:c r="W1099" s="53"/>
      <x:c r="X1099" s="53"/>
      <x:c r="Y1099" s="53"/>
      <x:c r="Z1099" s="53"/>
      <x:c r="AA1099" s="53"/>
      <x:c r="AB1099" s="53"/>
      <x:c r="AC1099" s="53"/>
      <x:c r="AD1099" s="53"/>
      <x:c r="AE1099" s="53"/>
      <x:c r="AF1099" s="53"/>
    </x:row>
    <x:row r="1100">
      <x:c r="A1100" s="53"/>
      <x:c r="B1100" s="53"/>
      <x:c r="C1100" s="53"/>
      <x:c r="D1100" s="53"/>
      <x:c r="E1100" s="53"/>
      <x:c r="F1100" s="53"/>
      <x:c r="G1100" s="53"/>
      <x:c r="H1100" s="53"/>
      <x:c r="I1100" s="53"/>
      <x:c r="J1100" s="53"/>
      <x:c r="K1100" s="53"/>
      <x:c r="L1100" s="53"/>
      <x:c r="M1100" s="53"/>
      <x:c r="N1100" s="53"/>
      <x:c r="O1100" s="53"/>
      <x:c r="P1100" s="53"/>
      <x:c r="Q1100" s="53"/>
      <x:c r="R1100" s="53"/>
      <x:c r="S1100" s="53"/>
      <x:c r="T1100" s="53"/>
      <x:c r="U1100" s="53"/>
      <x:c r="V1100" s="53"/>
      <x:c r="W1100" s="53"/>
      <x:c r="X1100" s="53"/>
      <x:c r="Y1100" s="53"/>
      <x:c r="Z1100" s="53"/>
      <x:c r="AA1100" s="53"/>
      <x:c r="AB1100" s="53"/>
      <x:c r="AC1100" s="53"/>
      <x:c r="AD1100" s="53"/>
      <x:c r="AE1100" s="53"/>
      <x:c r="AF1100" s="53"/>
    </x:row>
    <x:row r="1101">
      <x:c r="A1101" s="53"/>
      <x:c r="B1101" s="53"/>
      <x:c r="C1101" s="53"/>
      <x:c r="D1101" s="53"/>
      <x:c r="E1101" s="53"/>
      <x:c r="F1101" s="53"/>
      <x:c r="G1101" s="53"/>
      <x:c r="H1101" s="53"/>
      <x:c r="I1101" s="53"/>
      <x:c r="J1101" s="53"/>
      <x:c r="K1101" s="53"/>
      <x:c r="L1101" s="53"/>
      <x:c r="M1101" s="53"/>
      <x:c r="N1101" s="53"/>
      <x:c r="O1101" s="53"/>
      <x:c r="P1101" s="53"/>
      <x:c r="Q1101" s="53"/>
      <x:c r="R1101" s="53"/>
      <x:c r="S1101" s="53"/>
      <x:c r="T1101" s="53"/>
      <x:c r="U1101" s="53"/>
      <x:c r="V1101" s="53"/>
      <x:c r="W1101" s="53"/>
      <x:c r="X1101" s="53"/>
      <x:c r="Y1101" s="53"/>
      <x:c r="Z1101" s="53"/>
      <x:c r="AA1101" s="53"/>
      <x:c r="AB1101" s="53"/>
      <x:c r="AC1101" s="53"/>
      <x:c r="AD1101" s="53"/>
      <x:c r="AE1101" s="53"/>
      <x:c r="AF1101" s="53"/>
    </x:row>
    <x:row r="1102">
      <x:c r="A1102" s="53"/>
      <x:c r="B1102" s="53"/>
      <x:c r="C1102" s="53"/>
      <x:c r="D1102" s="53"/>
      <x:c r="E1102" s="53"/>
      <x:c r="F1102" s="53"/>
      <x:c r="G1102" s="53"/>
      <x:c r="H1102" s="53"/>
      <x:c r="I1102" s="53"/>
      <x:c r="J1102" s="53"/>
      <x:c r="K1102" s="53"/>
      <x:c r="L1102" s="53"/>
      <x:c r="M1102" s="53"/>
      <x:c r="N1102" s="53"/>
      <x:c r="O1102" s="53"/>
      <x:c r="P1102" s="53"/>
      <x:c r="Q1102" s="53"/>
      <x:c r="R1102" s="53"/>
      <x:c r="S1102" s="53"/>
      <x:c r="T1102" s="53"/>
      <x:c r="U1102" s="53"/>
      <x:c r="V1102" s="53"/>
      <x:c r="W1102" s="53"/>
      <x:c r="X1102" s="53"/>
      <x:c r="Y1102" s="53"/>
      <x:c r="Z1102" s="53"/>
      <x:c r="AA1102" s="53"/>
      <x:c r="AB1102" s="53"/>
      <x:c r="AC1102" s="53"/>
      <x:c r="AD1102" s="53"/>
      <x:c r="AE1102" s="53"/>
      <x:c r="AF1102" s="53"/>
    </x:row>
    <x:row r="1103">
      <x:c r="A1103" s="53"/>
      <x:c r="B1103" s="53"/>
      <x:c r="C1103" s="53"/>
      <x:c r="D1103" s="53"/>
      <x:c r="E1103" s="53"/>
      <x:c r="F1103" s="53"/>
      <x:c r="G1103" s="53"/>
      <x:c r="H1103" s="53"/>
      <x:c r="I1103" s="53"/>
      <x:c r="J1103" s="53"/>
      <x:c r="K1103" s="53"/>
      <x:c r="L1103" s="53"/>
      <x:c r="M1103" s="53"/>
      <x:c r="N1103" s="53"/>
      <x:c r="O1103" s="53"/>
      <x:c r="P1103" s="53"/>
      <x:c r="Q1103" s="53"/>
      <x:c r="R1103" s="53"/>
      <x:c r="S1103" s="53"/>
      <x:c r="T1103" s="53"/>
      <x:c r="U1103" s="53"/>
      <x:c r="V1103" s="53"/>
      <x:c r="W1103" s="53"/>
      <x:c r="X1103" s="53"/>
      <x:c r="Y1103" s="53"/>
      <x:c r="Z1103" s="53"/>
      <x:c r="AA1103" s="53"/>
      <x:c r="AB1103" s="53"/>
      <x:c r="AC1103" s="53"/>
      <x:c r="AD1103" s="53"/>
      <x:c r="AE1103" s="53"/>
      <x:c r="AF1103" s="53"/>
    </x:row>
    <x:row r="1104">
      <x:c r="A1104" s="53"/>
      <x:c r="B1104" s="53"/>
      <x:c r="C1104" s="53"/>
      <x:c r="D1104" s="53"/>
      <x:c r="E1104" s="53"/>
      <x:c r="F1104" s="53"/>
      <x:c r="G1104" s="53"/>
      <x:c r="H1104" s="53"/>
      <x:c r="I1104" s="53"/>
      <x:c r="J1104" s="53"/>
      <x:c r="K1104" s="53"/>
      <x:c r="L1104" s="53"/>
      <x:c r="M1104" s="53"/>
      <x:c r="N1104" s="53"/>
      <x:c r="O1104" s="53"/>
      <x:c r="P1104" s="53"/>
      <x:c r="Q1104" s="53"/>
      <x:c r="R1104" s="53"/>
      <x:c r="S1104" s="53"/>
      <x:c r="T1104" s="53"/>
      <x:c r="U1104" s="53"/>
      <x:c r="V1104" s="53"/>
      <x:c r="W1104" s="53"/>
      <x:c r="X1104" s="53"/>
      <x:c r="Y1104" s="53"/>
      <x:c r="Z1104" s="53"/>
      <x:c r="AA1104" s="53"/>
      <x:c r="AB1104" s="53"/>
      <x:c r="AC1104" s="53"/>
      <x:c r="AD1104" s="53"/>
      <x:c r="AE1104" s="53"/>
      <x:c r="AF1104" s="53"/>
    </x:row>
    <x:row r="1105">
      <x:c r="A1105" s="53"/>
      <x:c r="B1105" s="53"/>
      <x:c r="C1105" s="53"/>
      <x:c r="D1105" s="53"/>
      <x:c r="E1105" s="53"/>
      <x:c r="F1105" s="53"/>
      <x:c r="G1105" s="53"/>
      <x:c r="H1105" s="53"/>
      <x:c r="I1105" s="53"/>
      <x:c r="J1105" s="53"/>
      <x:c r="K1105" s="53"/>
      <x:c r="L1105" s="53"/>
      <x:c r="M1105" s="53"/>
      <x:c r="N1105" s="53"/>
      <x:c r="O1105" s="53"/>
      <x:c r="P1105" s="53"/>
      <x:c r="Q1105" s="53"/>
      <x:c r="R1105" s="53"/>
      <x:c r="S1105" s="53"/>
      <x:c r="T1105" s="53"/>
      <x:c r="U1105" s="53"/>
      <x:c r="V1105" s="53"/>
      <x:c r="W1105" s="53"/>
      <x:c r="X1105" s="53"/>
      <x:c r="Y1105" s="53"/>
      <x:c r="Z1105" s="53"/>
      <x:c r="AA1105" s="53"/>
      <x:c r="AB1105" s="53"/>
      <x:c r="AC1105" s="53"/>
      <x:c r="AD1105" s="53"/>
      <x:c r="AE1105" s="53"/>
      <x:c r="AF1105" s="53"/>
    </x:row>
    <x:row r="1106">
      <x:c r="A1106" s="53"/>
      <x:c r="B1106" s="53"/>
      <x:c r="C1106" s="53"/>
      <x:c r="D1106" s="53"/>
      <x:c r="E1106" s="53"/>
      <x:c r="F1106" s="53"/>
      <x:c r="G1106" s="53"/>
      <x:c r="H1106" s="53"/>
      <x:c r="I1106" s="53"/>
      <x:c r="J1106" s="53"/>
      <x:c r="K1106" s="53"/>
      <x:c r="L1106" s="53"/>
      <x:c r="M1106" s="53"/>
      <x:c r="N1106" s="53"/>
      <x:c r="O1106" s="53"/>
      <x:c r="P1106" s="53"/>
      <x:c r="Q1106" s="53"/>
      <x:c r="R1106" s="53"/>
      <x:c r="S1106" s="53"/>
      <x:c r="T1106" s="53"/>
      <x:c r="U1106" s="53"/>
      <x:c r="V1106" s="53"/>
      <x:c r="W1106" s="53"/>
      <x:c r="X1106" s="53"/>
      <x:c r="Y1106" s="53"/>
      <x:c r="Z1106" s="53"/>
      <x:c r="AA1106" s="53"/>
      <x:c r="AB1106" s="53"/>
      <x:c r="AC1106" s="53"/>
      <x:c r="AD1106" s="53"/>
      <x:c r="AE1106" s="53"/>
      <x:c r="AF1106" s="53"/>
    </x:row>
    <x:row r="1107">
      <x:c r="A1107" s="53"/>
      <x:c r="B1107" s="53"/>
      <x:c r="C1107" s="53"/>
      <x:c r="D1107" s="53"/>
      <x:c r="E1107" s="53"/>
      <x:c r="F1107" s="53"/>
      <x:c r="G1107" s="53"/>
      <x:c r="H1107" s="53"/>
      <x:c r="I1107" s="53"/>
      <x:c r="J1107" s="53"/>
      <x:c r="K1107" s="53"/>
      <x:c r="L1107" s="53"/>
      <x:c r="M1107" s="53"/>
      <x:c r="N1107" s="53"/>
      <x:c r="O1107" s="53"/>
      <x:c r="P1107" s="53"/>
      <x:c r="Q1107" s="53"/>
      <x:c r="R1107" s="53"/>
      <x:c r="S1107" s="53"/>
      <x:c r="T1107" s="53"/>
      <x:c r="U1107" s="53"/>
      <x:c r="V1107" s="53"/>
      <x:c r="W1107" s="53"/>
      <x:c r="X1107" s="53"/>
      <x:c r="Y1107" s="53"/>
      <x:c r="Z1107" s="53"/>
      <x:c r="AA1107" s="53"/>
      <x:c r="AB1107" s="53"/>
      <x:c r="AC1107" s="53"/>
      <x:c r="AD1107" s="53"/>
      <x:c r="AE1107" s="53"/>
      <x:c r="AF1107" s="53"/>
    </x:row>
    <x:row r="1108">
      <x:c r="A1108" s="53"/>
      <x:c r="B1108" s="53"/>
      <x:c r="C1108" s="53"/>
      <x:c r="D1108" s="53"/>
      <x:c r="E1108" s="53"/>
      <x:c r="F1108" s="53"/>
      <x:c r="G1108" s="53"/>
      <x:c r="H1108" s="53"/>
      <x:c r="I1108" s="53"/>
      <x:c r="J1108" s="53"/>
      <x:c r="K1108" s="53"/>
      <x:c r="L1108" s="53"/>
      <x:c r="M1108" s="53"/>
      <x:c r="N1108" s="53"/>
      <x:c r="O1108" s="53"/>
      <x:c r="P1108" s="53"/>
      <x:c r="Q1108" s="53"/>
      <x:c r="R1108" s="53"/>
      <x:c r="S1108" s="53"/>
      <x:c r="T1108" s="53"/>
      <x:c r="U1108" s="53"/>
      <x:c r="V1108" s="53"/>
      <x:c r="W1108" s="53"/>
      <x:c r="X1108" s="53"/>
      <x:c r="Y1108" s="53"/>
      <x:c r="Z1108" s="53"/>
      <x:c r="AA1108" s="53"/>
      <x:c r="AB1108" s="53"/>
      <x:c r="AC1108" s="53"/>
      <x:c r="AD1108" s="53"/>
      <x:c r="AE1108" s="53"/>
      <x:c r="AF1108" s="53"/>
    </x:row>
    <x:row r="1109">
      <x:c r="A1109" s="53"/>
      <x:c r="B1109" s="53"/>
      <x:c r="C1109" s="53"/>
      <x:c r="D1109" s="53"/>
      <x:c r="E1109" s="53"/>
      <x:c r="F1109" s="53"/>
      <x:c r="G1109" s="53"/>
      <x:c r="H1109" s="53"/>
      <x:c r="I1109" s="53"/>
      <x:c r="J1109" s="53"/>
      <x:c r="K1109" s="53"/>
      <x:c r="L1109" s="53"/>
      <x:c r="M1109" s="53"/>
      <x:c r="N1109" s="53"/>
      <x:c r="O1109" s="53"/>
      <x:c r="P1109" s="53"/>
      <x:c r="Q1109" s="53"/>
      <x:c r="R1109" s="53"/>
      <x:c r="S1109" s="53"/>
      <x:c r="T1109" s="53"/>
      <x:c r="U1109" s="53"/>
      <x:c r="V1109" s="53"/>
      <x:c r="W1109" s="53"/>
      <x:c r="X1109" s="53"/>
      <x:c r="Y1109" s="53"/>
      <x:c r="Z1109" s="53"/>
      <x:c r="AA1109" s="53"/>
      <x:c r="AB1109" s="53"/>
      <x:c r="AC1109" s="53"/>
      <x:c r="AD1109" s="53"/>
      <x:c r="AE1109" s="53"/>
      <x:c r="AF1109" s="53"/>
    </x:row>
    <x:row r="1110">
      <x:c r="A1110" s="53"/>
      <x:c r="B1110" s="53"/>
      <x:c r="C1110" s="53"/>
      <x:c r="D1110" s="53"/>
      <x:c r="E1110" s="53"/>
      <x:c r="F1110" s="53"/>
      <x:c r="G1110" s="53"/>
      <x:c r="H1110" s="53"/>
      <x:c r="I1110" s="53"/>
      <x:c r="J1110" s="53"/>
      <x:c r="K1110" s="53"/>
      <x:c r="L1110" s="53"/>
      <x:c r="M1110" s="53"/>
      <x:c r="N1110" s="53"/>
      <x:c r="O1110" s="53"/>
      <x:c r="P1110" s="53"/>
      <x:c r="Q1110" s="53"/>
      <x:c r="R1110" s="53"/>
      <x:c r="S1110" s="53"/>
      <x:c r="T1110" s="53"/>
      <x:c r="U1110" s="53"/>
      <x:c r="V1110" s="53"/>
      <x:c r="W1110" s="53"/>
      <x:c r="X1110" s="53"/>
      <x:c r="Y1110" s="53"/>
      <x:c r="Z1110" s="53"/>
      <x:c r="AA1110" s="53"/>
      <x:c r="AB1110" s="53"/>
      <x:c r="AC1110" s="53"/>
      <x:c r="AD1110" s="53"/>
      <x:c r="AE1110" s="53"/>
      <x:c r="AF1110" s="53"/>
    </x:row>
    <x:row r="1111">
      <x:c r="A1111" s="53"/>
      <x:c r="B1111" s="53"/>
      <x:c r="C1111" s="53"/>
      <x:c r="D1111" s="53"/>
      <x:c r="E1111" s="53"/>
      <x:c r="F1111" s="53"/>
      <x:c r="G1111" s="53"/>
      <x:c r="H1111" s="53"/>
      <x:c r="I1111" s="53"/>
      <x:c r="J1111" s="53"/>
      <x:c r="K1111" s="53"/>
      <x:c r="L1111" s="53"/>
      <x:c r="M1111" s="53"/>
      <x:c r="N1111" s="53"/>
      <x:c r="O1111" s="53"/>
      <x:c r="P1111" s="53"/>
      <x:c r="Q1111" s="53"/>
      <x:c r="R1111" s="53"/>
      <x:c r="S1111" s="53"/>
      <x:c r="T1111" s="53"/>
      <x:c r="U1111" s="53"/>
      <x:c r="V1111" s="53"/>
      <x:c r="W1111" s="53"/>
      <x:c r="X1111" s="53"/>
      <x:c r="Y1111" s="53"/>
      <x:c r="Z1111" s="53"/>
      <x:c r="AA1111" s="53"/>
      <x:c r="AB1111" s="53"/>
      <x:c r="AC1111" s="53"/>
      <x:c r="AD1111" s="53"/>
      <x:c r="AE1111" s="53"/>
      <x:c r="AF1111" s="53"/>
    </x:row>
    <x:row r="1112">
      <x:c r="A1112" s="53"/>
      <x:c r="B1112" s="53"/>
      <x:c r="C1112" s="53"/>
      <x:c r="D1112" s="53"/>
      <x:c r="E1112" s="53"/>
      <x:c r="F1112" s="53"/>
      <x:c r="G1112" s="53"/>
      <x:c r="H1112" s="53"/>
      <x:c r="I1112" s="53"/>
      <x:c r="J1112" s="53"/>
      <x:c r="K1112" s="53"/>
      <x:c r="L1112" s="53"/>
      <x:c r="M1112" s="53"/>
      <x:c r="N1112" s="53"/>
      <x:c r="O1112" s="53"/>
      <x:c r="P1112" s="53"/>
      <x:c r="Q1112" s="53"/>
      <x:c r="R1112" s="53"/>
      <x:c r="S1112" s="53"/>
      <x:c r="T1112" s="53"/>
      <x:c r="U1112" s="53"/>
      <x:c r="V1112" s="53"/>
      <x:c r="W1112" s="53"/>
      <x:c r="X1112" s="53"/>
      <x:c r="Y1112" s="53"/>
      <x:c r="Z1112" s="53"/>
      <x:c r="AA1112" s="53"/>
      <x:c r="AB1112" s="53"/>
      <x:c r="AC1112" s="53"/>
      <x:c r="AD1112" s="53"/>
      <x:c r="AE1112" s="53"/>
      <x:c r="AF1112" s="53"/>
    </x:row>
    <x:row r="1113">
      <x:c r="A1113" s="53"/>
      <x:c r="B1113" s="53"/>
      <x:c r="C1113" s="53"/>
      <x:c r="D1113" s="53"/>
      <x:c r="E1113" s="53"/>
      <x:c r="F1113" s="53"/>
      <x:c r="G1113" s="53"/>
      <x:c r="H1113" s="53"/>
      <x:c r="I1113" s="53"/>
      <x:c r="J1113" s="53"/>
      <x:c r="K1113" s="53"/>
      <x:c r="L1113" s="53"/>
      <x:c r="M1113" s="53"/>
      <x:c r="N1113" s="53"/>
      <x:c r="O1113" s="53"/>
      <x:c r="P1113" s="53"/>
      <x:c r="Q1113" s="53"/>
      <x:c r="R1113" s="53"/>
      <x:c r="S1113" s="53"/>
      <x:c r="T1113" s="53"/>
      <x:c r="U1113" s="53"/>
      <x:c r="V1113" s="53"/>
      <x:c r="W1113" s="53"/>
      <x:c r="X1113" s="53"/>
      <x:c r="Y1113" s="53"/>
      <x:c r="Z1113" s="53"/>
      <x:c r="AA1113" s="53"/>
      <x:c r="AB1113" s="53"/>
      <x:c r="AC1113" s="53"/>
      <x:c r="AD1113" s="53"/>
      <x:c r="AE1113" s="53"/>
      <x:c r="AF1113" s="53"/>
    </x:row>
    <x:row r="1114">
      <x:c r="A1114" s="53"/>
      <x:c r="B1114" s="53"/>
      <x:c r="C1114" s="53"/>
      <x:c r="D1114" s="53"/>
      <x:c r="E1114" s="53"/>
      <x:c r="F1114" s="53"/>
      <x:c r="G1114" s="53"/>
      <x:c r="H1114" s="53"/>
      <x:c r="I1114" s="53"/>
      <x:c r="J1114" s="53"/>
      <x:c r="K1114" s="53"/>
      <x:c r="L1114" s="53"/>
      <x:c r="M1114" s="53"/>
      <x:c r="N1114" s="53"/>
      <x:c r="O1114" s="53"/>
      <x:c r="P1114" s="53"/>
      <x:c r="Q1114" s="53"/>
      <x:c r="R1114" s="53"/>
      <x:c r="S1114" s="53"/>
      <x:c r="T1114" s="53"/>
      <x:c r="U1114" s="53"/>
      <x:c r="V1114" s="53"/>
      <x:c r="W1114" s="53"/>
      <x:c r="X1114" s="53"/>
      <x:c r="Y1114" s="53"/>
      <x:c r="Z1114" s="53"/>
      <x:c r="AA1114" s="53"/>
      <x:c r="AB1114" s="53"/>
      <x:c r="AC1114" s="53"/>
      <x:c r="AD1114" s="53"/>
      <x:c r="AE1114" s="53"/>
      <x:c r="AF1114" s="53"/>
    </x:row>
    <x:row r="1115">
      <x:c r="A1115" s="53"/>
      <x:c r="B1115" s="53"/>
      <x:c r="C1115" s="53"/>
      <x:c r="D1115" s="53"/>
      <x:c r="E1115" s="53"/>
      <x:c r="F1115" s="53"/>
      <x:c r="G1115" s="53"/>
      <x:c r="H1115" s="53"/>
      <x:c r="I1115" s="53"/>
      <x:c r="J1115" s="53"/>
      <x:c r="K1115" s="53"/>
      <x:c r="L1115" s="53"/>
      <x:c r="M1115" s="53"/>
      <x:c r="N1115" s="53"/>
      <x:c r="O1115" s="53"/>
      <x:c r="P1115" s="53"/>
      <x:c r="Q1115" s="53"/>
      <x:c r="R1115" s="53"/>
      <x:c r="S1115" s="53"/>
      <x:c r="T1115" s="53"/>
      <x:c r="U1115" s="53"/>
      <x:c r="V1115" s="53"/>
      <x:c r="W1115" s="53"/>
      <x:c r="X1115" s="53"/>
      <x:c r="Y1115" s="53"/>
      <x:c r="Z1115" s="53"/>
      <x:c r="AA1115" s="53"/>
      <x:c r="AB1115" s="53"/>
      <x:c r="AC1115" s="53"/>
      <x:c r="AD1115" s="53"/>
      <x:c r="AE1115" s="53"/>
      <x:c r="AF1115" s="53"/>
    </x:row>
    <x:row r="1116">
      <x:c r="A1116" s="53"/>
      <x:c r="B1116" s="53"/>
      <x:c r="C1116" s="53"/>
      <x:c r="D1116" s="53"/>
      <x:c r="E1116" s="53"/>
      <x:c r="F1116" s="53"/>
      <x:c r="G1116" s="53"/>
      <x:c r="H1116" s="53"/>
      <x:c r="I1116" s="53"/>
      <x:c r="J1116" s="53"/>
      <x:c r="K1116" s="53"/>
      <x:c r="L1116" s="53"/>
      <x:c r="M1116" s="53"/>
      <x:c r="N1116" s="53"/>
      <x:c r="O1116" s="53"/>
      <x:c r="P1116" s="53"/>
      <x:c r="Q1116" s="53"/>
      <x:c r="R1116" s="53"/>
      <x:c r="S1116" s="53"/>
      <x:c r="T1116" s="53"/>
      <x:c r="U1116" s="53"/>
      <x:c r="V1116" s="53"/>
      <x:c r="W1116" s="53"/>
      <x:c r="X1116" s="53"/>
      <x:c r="Y1116" s="53"/>
      <x:c r="Z1116" s="53"/>
      <x:c r="AA1116" s="53"/>
      <x:c r="AB1116" s="53"/>
      <x:c r="AC1116" s="53"/>
      <x:c r="AD1116" s="53"/>
      <x:c r="AE1116" s="53"/>
      <x:c r="AF1116" s="53"/>
    </x:row>
    <x:row r="1117">
      <x:c r="A1117" s="53"/>
      <x:c r="B1117" s="53"/>
      <x:c r="C1117" s="53"/>
      <x:c r="D1117" s="53"/>
      <x:c r="E1117" s="53"/>
      <x:c r="F1117" s="53"/>
      <x:c r="G1117" s="53"/>
      <x:c r="H1117" s="53"/>
      <x:c r="I1117" s="53"/>
      <x:c r="J1117" s="53"/>
      <x:c r="K1117" s="53"/>
      <x:c r="L1117" s="53"/>
      <x:c r="M1117" s="53"/>
      <x:c r="N1117" s="53"/>
      <x:c r="O1117" s="53"/>
      <x:c r="P1117" s="53"/>
      <x:c r="Q1117" s="53"/>
      <x:c r="R1117" s="53"/>
      <x:c r="S1117" s="53"/>
      <x:c r="T1117" s="53"/>
      <x:c r="U1117" s="53"/>
      <x:c r="V1117" s="53"/>
      <x:c r="W1117" s="53"/>
      <x:c r="X1117" s="53"/>
      <x:c r="Y1117" s="53"/>
      <x:c r="Z1117" s="53"/>
      <x:c r="AA1117" s="53"/>
      <x:c r="AB1117" s="53"/>
      <x:c r="AC1117" s="53"/>
      <x:c r="AD1117" s="53"/>
      <x:c r="AE1117" s="53"/>
      <x:c r="AF1117" s="53"/>
    </x:row>
    <x:row r="1118">
      <x:c r="A1118" s="53"/>
      <x:c r="B1118" s="53"/>
      <x:c r="C1118" s="53"/>
      <x:c r="D1118" s="53"/>
      <x:c r="E1118" s="53"/>
      <x:c r="F1118" s="53"/>
      <x:c r="G1118" s="53"/>
      <x:c r="H1118" s="53"/>
      <x:c r="I1118" s="53"/>
      <x:c r="J1118" s="53"/>
      <x:c r="K1118" s="53"/>
      <x:c r="L1118" s="53"/>
      <x:c r="M1118" s="53"/>
      <x:c r="N1118" s="53"/>
      <x:c r="O1118" s="53"/>
      <x:c r="P1118" s="53"/>
      <x:c r="Q1118" s="53"/>
      <x:c r="R1118" s="53"/>
      <x:c r="S1118" s="53"/>
      <x:c r="T1118" s="53"/>
      <x:c r="U1118" s="53"/>
      <x:c r="V1118" s="53"/>
      <x:c r="W1118" s="53"/>
      <x:c r="X1118" s="53"/>
      <x:c r="Y1118" s="53"/>
      <x:c r="Z1118" s="53"/>
      <x:c r="AA1118" s="53"/>
      <x:c r="AB1118" s="53"/>
      <x:c r="AC1118" s="53"/>
      <x:c r="AD1118" s="53"/>
      <x:c r="AE1118" s="53"/>
      <x:c r="AF1118" s="53"/>
    </x:row>
    <x:row r="1119">
      <x:c r="A1119" s="53"/>
      <x:c r="B1119" s="53"/>
      <x:c r="C1119" s="53"/>
      <x:c r="D1119" s="53"/>
      <x:c r="E1119" s="53"/>
      <x:c r="F1119" s="53"/>
      <x:c r="G1119" s="53"/>
      <x:c r="H1119" s="53"/>
      <x:c r="I1119" s="53"/>
      <x:c r="J1119" s="53"/>
      <x:c r="K1119" s="53"/>
      <x:c r="L1119" s="53"/>
      <x:c r="M1119" s="53"/>
      <x:c r="N1119" s="53"/>
      <x:c r="O1119" s="53"/>
      <x:c r="P1119" s="53"/>
      <x:c r="Q1119" s="53"/>
      <x:c r="R1119" s="53"/>
      <x:c r="S1119" s="53"/>
      <x:c r="T1119" s="53"/>
      <x:c r="U1119" s="53"/>
      <x:c r="V1119" s="53"/>
      <x:c r="W1119" s="53"/>
      <x:c r="X1119" s="53"/>
      <x:c r="Y1119" s="53"/>
      <x:c r="Z1119" s="53"/>
      <x:c r="AA1119" s="53"/>
      <x:c r="AB1119" s="53"/>
      <x:c r="AC1119" s="53"/>
      <x:c r="AD1119" s="53"/>
      <x:c r="AE1119" s="53"/>
      <x:c r="AF1119" s="53"/>
    </x:row>
    <x:row r="1120">
      <x:c r="A1120" s="53"/>
      <x:c r="B1120" s="53"/>
      <x:c r="C1120" s="53"/>
      <x:c r="D1120" s="53"/>
      <x:c r="E1120" s="53"/>
      <x:c r="F1120" s="53"/>
      <x:c r="G1120" s="53"/>
      <x:c r="H1120" s="53"/>
      <x:c r="I1120" s="53"/>
      <x:c r="J1120" s="53"/>
      <x:c r="K1120" s="53"/>
      <x:c r="L1120" s="53"/>
      <x:c r="M1120" s="53"/>
      <x:c r="N1120" s="53"/>
      <x:c r="O1120" s="53"/>
      <x:c r="P1120" s="53"/>
      <x:c r="Q1120" s="53"/>
      <x:c r="R1120" s="53"/>
      <x:c r="S1120" s="53"/>
      <x:c r="T1120" s="53"/>
      <x:c r="U1120" s="53"/>
      <x:c r="V1120" s="53"/>
      <x:c r="W1120" s="53"/>
      <x:c r="X1120" s="53"/>
      <x:c r="Y1120" s="53"/>
      <x:c r="Z1120" s="53"/>
      <x:c r="AA1120" s="53"/>
      <x:c r="AB1120" s="53"/>
      <x:c r="AC1120" s="53"/>
      <x:c r="AD1120" s="53"/>
      <x:c r="AE1120" s="53"/>
      <x:c r="AF1120" s="53"/>
    </x:row>
    <x:row r="1121">
      <x:c r="A1121" s="53"/>
      <x:c r="B1121" s="53"/>
      <x:c r="C1121" s="53"/>
      <x:c r="D1121" s="53"/>
      <x:c r="E1121" s="53"/>
      <x:c r="F1121" s="53"/>
      <x:c r="G1121" s="53"/>
      <x:c r="H1121" s="53"/>
      <x:c r="I1121" s="53"/>
      <x:c r="J1121" s="53"/>
      <x:c r="K1121" s="53"/>
      <x:c r="L1121" s="53"/>
      <x:c r="M1121" s="53"/>
      <x:c r="N1121" s="53"/>
      <x:c r="O1121" s="53"/>
      <x:c r="P1121" s="53"/>
      <x:c r="Q1121" s="53"/>
      <x:c r="R1121" s="53"/>
      <x:c r="S1121" s="53"/>
      <x:c r="T1121" s="53"/>
      <x:c r="U1121" s="53"/>
      <x:c r="V1121" s="53"/>
      <x:c r="W1121" s="53"/>
      <x:c r="X1121" s="53"/>
      <x:c r="Y1121" s="53"/>
      <x:c r="Z1121" s="53"/>
      <x:c r="AA1121" s="53"/>
      <x:c r="AB1121" s="53"/>
      <x:c r="AC1121" s="53"/>
      <x:c r="AD1121" s="53"/>
      <x:c r="AE1121" s="53"/>
      <x:c r="AF1121" s="53"/>
    </x:row>
    <x:row r="1122">
      <x:c r="A1122" s="53"/>
      <x:c r="B1122" s="53"/>
      <x:c r="C1122" s="53"/>
      <x:c r="D1122" s="53"/>
      <x:c r="E1122" s="53"/>
      <x:c r="F1122" s="53"/>
      <x:c r="G1122" s="53"/>
      <x:c r="H1122" s="53"/>
      <x:c r="I1122" s="53"/>
      <x:c r="J1122" s="53"/>
      <x:c r="K1122" s="53"/>
      <x:c r="L1122" s="53"/>
      <x:c r="M1122" s="53"/>
      <x:c r="N1122" s="53"/>
      <x:c r="O1122" s="53"/>
      <x:c r="P1122" s="53"/>
      <x:c r="Q1122" s="53"/>
      <x:c r="R1122" s="53"/>
      <x:c r="S1122" s="53"/>
      <x:c r="T1122" s="53"/>
      <x:c r="U1122" s="53"/>
      <x:c r="V1122" s="53"/>
      <x:c r="W1122" s="53"/>
      <x:c r="X1122" s="53"/>
      <x:c r="Y1122" s="53"/>
      <x:c r="Z1122" s="53"/>
      <x:c r="AA1122" s="53"/>
      <x:c r="AB1122" s="53"/>
      <x:c r="AC1122" s="53"/>
      <x:c r="AD1122" s="53"/>
      <x:c r="AE1122" s="53"/>
      <x:c r="AF1122" s="53"/>
    </x:row>
    <x:row r="1123">
      <x:c r="A1123" s="53"/>
      <x:c r="B1123" s="53"/>
      <x:c r="C1123" s="53"/>
      <x:c r="D1123" s="53"/>
      <x:c r="E1123" s="53"/>
      <x:c r="F1123" s="53"/>
      <x:c r="G1123" s="53"/>
      <x:c r="H1123" s="53"/>
      <x:c r="I1123" s="53"/>
      <x:c r="J1123" s="53"/>
      <x:c r="K1123" s="53"/>
      <x:c r="L1123" s="53"/>
      <x:c r="M1123" s="53"/>
      <x:c r="N1123" s="53"/>
      <x:c r="O1123" s="53"/>
      <x:c r="P1123" s="53"/>
      <x:c r="Q1123" s="53"/>
      <x:c r="R1123" s="53"/>
      <x:c r="S1123" s="53"/>
      <x:c r="T1123" s="53"/>
      <x:c r="U1123" s="53"/>
      <x:c r="V1123" s="53"/>
      <x:c r="W1123" s="53"/>
      <x:c r="X1123" s="53"/>
      <x:c r="Y1123" s="53"/>
      <x:c r="Z1123" s="53"/>
      <x:c r="AA1123" s="53"/>
      <x:c r="AB1123" s="53"/>
      <x:c r="AC1123" s="53"/>
      <x:c r="AD1123" s="53"/>
      <x:c r="AE1123" s="53"/>
      <x:c r="AF1123" s="53"/>
    </x:row>
    <x:row r="1124">
      <x:c r="A1124" s="53"/>
      <x:c r="B1124" s="53"/>
      <x:c r="C1124" s="53"/>
      <x:c r="D1124" s="53"/>
      <x:c r="E1124" s="53"/>
      <x:c r="F1124" s="53"/>
      <x:c r="G1124" s="53"/>
      <x:c r="H1124" s="53"/>
      <x:c r="I1124" s="53"/>
      <x:c r="J1124" s="53"/>
      <x:c r="K1124" s="53"/>
      <x:c r="L1124" s="53"/>
      <x:c r="M1124" s="53"/>
      <x:c r="N1124" s="53"/>
      <x:c r="O1124" s="53"/>
      <x:c r="P1124" s="53"/>
      <x:c r="Q1124" s="53"/>
      <x:c r="R1124" s="53"/>
      <x:c r="S1124" s="53"/>
      <x:c r="T1124" s="53"/>
      <x:c r="U1124" s="53"/>
      <x:c r="V1124" s="53"/>
      <x:c r="W1124" s="53"/>
      <x:c r="X1124" s="53"/>
      <x:c r="Y1124" s="53"/>
      <x:c r="Z1124" s="53"/>
      <x:c r="AA1124" s="53"/>
      <x:c r="AB1124" s="53"/>
      <x:c r="AC1124" s="53"/>
      <x:c r="AD1124" s="53"/>
      <x:c r="AE1124" s="53"/>
      <x:c r="AF1124" s="53"/>
    </x:row>
    <x:row r="1125">
      <x:c r="A1125" s="53"/>
      <x:c r="B1125" s="53"/>
      <x:c r="C1125" s="53"/>
      <x:c r="D1125" s="53"/>
      <x:c r="E1125" s="53"/>
      <x:c r="F1125" s="53"/>
      <x:c r="G1125" s="53"/>
      <x:c r="H1125" s="53"/>
      <x:c r="I1125" s="53"/>
      <x:c r="J1125" s="53"/>
      <x:c r="K1125" s="53"/>
      <x:c r="L1125" s="53"/>
      <x:c r="M1125" s="53"/>
      <x:c r="N1125" s="53"/>
      <x:c r="O1125" s="53"/>
      <x:c r="P1125" s="53"/>
      <x:c r="Q1125" s="53"/>
      <x:c r="R1125" s="53"/>
      <x:c r="S1125" s="53"/>
      <x:c r="T1125" s="53"/>
      <x:c r="U1125" s="53"/>
      <x:c r="V1125" s="53"/>
      <x:c r="W1125" s="53"/>
      <x:c r="X1125" s="53"/>
      <x:c r="Y1125" s="53"/>
      <x:c r="Z1125" s="53"/>
      <x:c r="AA1125" s="53"/>
      <x:c r="AB1125" s="53"/>
      <x:c r="AC1125" s="53"/>
      <x:c r="AD1125" s="53"/>
      <x:c r="AE1125" s="53"/>
      <x:c r="AF1125" s="53"/>
    </x:row>
    <x:row r="1126">
      <x:c r="A1126" s="53"/>
      <x:c r="B1126" s="53"/>
      <x:c r="C1126" s="53"/>
      <x:c r="D1126" s="53"/>
      <x:c r="E1126" s="53"/>
      <x:c r="F1126" s="53"/>
      <x:c r="G1126" s="53"/>
      <x:c r="H1126" s="53"/>
      <x:c r="I1126" s="53"/>
      <x:c r="J1126" s="53"/>
      <x:c r="K1126" s="53"/>
      <x:c r="L1126" s="53"/>
      <x:c r="M1126" s="53"/>
      <x:c r="N1126" s="53"/>
      <x:c r="O1126" s="53"/>
      <x:c r="P1126" s="53"/>
      <x:c r="Q1126" s="53"/>
      <x:c r="R1126" s="53"/>
      <x:c r="S1126" s="53"/>
      <x:c r="T1126" s="53"/>
      <x:c r="U1126" s="53"/>
      <x:c r="V1126" s="53"/>
      <x:c r="W1126" s="53"/>
      <x:c r="X1126" s="53"/>
      <x:c r="Y1126" s="53"/>
      <x:c r="Z1126" s="53"/>
      <x:c r="AA1126" s="53"/>
      <x:c r="AB1126" s="53"/>
      <x:c r="AC1126" s="53"/>
      <x:c r="AD1126" s="53"/>
      <x:c r="AE1126" s="53"/>
      <x:c r="AF1126" s="53"/>
    </x:row>
    <x:row r="1127">
      <x:c r="A1127" s="53"/>
      <x:c r="B1127" s="53"/>
      <x:c r="C1127" s="53"/>
      <x:c r="D1127" s="53"/>
      <x:c r="E1127" s="53"/>
      <x:c r="F1127" s="53"/>
      <x:c r="G1127" s="53"/>
      <x:c r="H1127" s="53"/>
      <x:c r="I1127" s="53"/>
      <x:c r="J1127" s="53"/>
      <x:c r="K1127" s="53"/>
      <x:c r="L1127" s="53"/>
      <x:c r="M1127" s="53"/>
      <x:c r="N1127" s="53"/>
      <x:c r="O1127" s="53"/>
      <x:c r="P1127" s="53"/>
      <x:c r="Q1127" s="53"/>
      <x:c r="R1127" s="53"/>
      <x:c r="S1127" s="53"/>
      <x:c r="T1127" s="53"/>
      <x:c r="U1127" s="53"/>
      <x:c r="V1127" s="53"/>
      <x:c r="W1127" s="53"/>
      <x:c r="X1127" s="53"/>
      <x:c r="Y1127" s="53"/>
      <x:c r="Z1127" s="53"/>
      <x:c r="AA1127" s="53"/>
      <x:c r="AB1127" s="53"/>
      <x:c r="AC1127" s="53"/>
      <x:c r="AD1127" s="53"/>
      <x:c r="AE1127" s="53"/>
      <x:c r="AF1127" s="53"/>
    </x:row>
    <x:row r="1128">
      <x:c r="A1128" s="53"/>
      <x:c r="B1128" s="53"/>
      <x:c r="C1128" s="53"/>
      <x:c r="D1128" s="53"/>
      <x:c r="E1128" s="53"/>
      <x:c r="F1128" s="53"/>
      <x:c r="G1128" s="53"/>
      <x:c r="H1128" s="53"/>
      <x:c r="I1128" s="53"/>
      <x:c r="J1128" s="53"/>
      <x:c r="K1128" s="53"/>
      <x:c r="L1128" s="53"/>
      <x:c r="M1128" s="53"/>
      <x:c r="N1128" s="53"/>
      <x:c r="O1128" s="53"/>
      <x:c r="P1128" s="53"/>
      <x:c r="Q1128" s="53"/>
      <x:c r="R1128" s="53"/>
      <x:c r="S1128" s="53"/>
      <x:c r="T1128" s="53"/>
      <x:c r="U1128" s="53"/>
      <x:c r="V1128" s="53"/>
      <x:c r="W1128" s="53"/>
      <x:c r="X1128" s="53"/>
      <x:c r="Y1128" s="53"/>
      <x:c r="Z1128" s="53"/>
      <x:c r="AA1128" s="53"/>
      <x:c r="AB1128" s="53"/>
      <x:c r="AC1128" s="53"/>
      <x:c r="AD1128" s="53"/>
      <x:c r="AE1128" s="53"/>
      <x:c r="AF1128" s="53"/>
    </x:row>
    <x:row r="1129">
      <x:c r="A1129" s="53"/>
      <x:c r="B1129" s="53"/>
      <x:c r="C1129" s="53"/>
      <x:c r="D1129" s="53"/>
      <x:c r="E1129" s="53"/>
      <x:c r="F1129" s="53"/>
      <x:c r="G1129" s="53"/>
      <x:c r="H1129" s="53"/>
      <x:c r="I1129" s="53"/>
      <x:c r="J1129" s="53"/>
      <x:c r="K1129" s="53"/>
      <x:c r="L1129" s="53"/>
      <x:c r="M1129" s="53"/>
      <x:c r="N1129" s="53"/>
      <x:c r="O1129" s="53"/>
      <x:c r="P1129" s="53"/>
      <x:c r="Q1129" s="53"/>
      <x:c r="R1129" s="53"/>
      <x:c r="S1129" s="53"/>
      <x:c r="T1129" s="53"/>
      <x:c r="U1129" s="53"/>
      <x:c r="V1129" s="53"/>
      <x:c r="W1129" s="53"/>
      <x:c r="X1129" s="53"/>
      <x:c r="Y1129" s="53"/>
      <x:c r="Z1129" s="53"/>
      <x:c r="AA1129" s="53"/>
      <x:c r="AB1129" s="53"/>
      <x:c r="AC1129" s="53"/>
      <x:c r="AD1129" s="53"/>
      <x:c r="AE1129" s="53"/>
      <x:c r="AF1129" s="53"/>
    </x:row>
    <x:row r="1130">
      <x:c r="A1130" s="53"/>
      <x:c r="B1130" s="53"/>
      <x:c r="C1130" s="53"/>
      <x:c r="D1130" s="53"/>
      <x:c r="E1130" s="53"/>
      <x:c r="F1130" s="53"/>
      <x:c r="G1130" s="53"/>
      <x:c r="H1130" s="53"/>
      <x:c r="I1130" s="53"/>
      <x:c r="J1130" s="53"/>
      <x:c r="K1130" s="53"/>
      <x:c r="L1130" s="53"/>
      <x:c r="M1130" s="53"/>
      <x:c r="N1130" s="53"/>
      <x:c r="O1130" s="53"/>
      <x:c r="P1130" s="53"/>
      <x:c r="Q1130" s="53"/>
      <x:c r="R1130" s="53"/>
      <x:c r="S1130" s="53"/>
      <x:c r="T1130" s="53"/>
      <x:c r="U1130" s="53"/>
      <x:c r="V1130" s="53"/>
      <x:c r="W1130" s="53"/>
      <x:c r="X1130" s="53"/>
      <x:c r="Y1130" s="53"/>
      <x:c r="Z1130" s="53"/>
      <x:c r="AA1130" s="53"/>
      <x:c r="AB1130" s="53"/>
      <x:c r="AC1130" s="53"/>
      <x:c r="AD1130" s="53"/>
      <x:c r="AE1130" s="53"/>
      <x:c r="AF1130" s="53"/>
    </x:row>
    <x:row r="1131">
      <x:c r="A1131" s="53"/>
      <x:c r="B1131" s="53"/>
      <x:c r="C1131" s="53"/>
      <x:c r="D1131" s="53"/>
      <x:c r="E1131" s="53"/>
      <x:c r="F1131" s="53"/>
      <x:c r="G1131" s="53"/>
      <x:c r="H1131" s="53"/>
      <x:c r="I1131" s="53"/>
      <x:c r="J1131" s="53"/>
      <x:c r="K1131" s="53"/>
      <x:c r="L1131" s="53"/>
      <x:c r="M1131" s="53"/>
      <x:c r="N1131" s="53"/>
      <x:c r="O1131" s="53"/>
      <x:c r="P1131" s="53"/>
      <x:c r="Q1131" s="53"/>
      <x:c r="R1131" s="53"/>
      <x:c r="S1131" s="53"/>
      <x:c r="T1131" s="53"/>
      <x:c r="U1131" s="53"/>
      <x:c r="V1131" s="53"/>
      <x:c r="W1131" s="53"/>
      <x:c r="X1131" s="53"/>
      <x:c r="Y1131" s="53"/>
      <x:c r="Z1131" s="53"/>
      <x:c r="AA1131" s="53"/>
      <x:c r="AB1131" s="53"/>
      <x:c r="AC1131" s="53"/>
      <x:c r="AD1131" s="53"/>
      <x:c r="AE1131" s="53"/>
      <x:c r="AF1131" s="53"/>
    </x:row>
    <x:row r="1132">
      <x:c r="A1132" s="53"/>
      <x:c r="B1132" s="53"/>
      <x:c r="C1132" s="53"/>
      <x:c r="D1132" s="53"/>
      <x:c r="E1132" s="53"/>
      <x:c r="F1132" s="53"/>
      <x:c r="G1132" s="53"/>
      <x:c r="H1132" s="53"/>
      <x:c r="I1132" s="53"/>
      <x:c r="J1132" s="53"/>
      <x:c r="K1132" s="53"/>
      <x:c r="L1132" s="53"/>
      <x:c r="M1132" s="53"/>
      <x:c r="N1132" s="53"/>
      <x:c r="O1132" s="53"/>
      <x:c r="P1132" s="53"/>
      <x:c r="Q1132" s="53"/>
      <x:c r="R1132" s="53"/>
      <x:c r="S1132" s="53"/>
      <x:c r="T1132" s="53"/>
      <x:c r="U1132" s="53"/>
      <x:c r="V1132" s="53"/>
      <x:c r="W1132" s="53"/>
      <x:c r="X1132" s="53"/>
      <x:c r="Y1132" s="53"/>
      <x:c r="Z1132" s="53"/>
      <x:c r="AA1132" s="53"/>
      <x:c r="AB1132" s="53"/>
      <x:c r="AC1132" s="53"/>
      <x:c r="AD1132" s="53"/>
      <x:c r="AE1132" s="53"/>
      <x:c r="AF1132" s="53"/>
    </x:row>
    <x:row r="1133">
      <x:c r="A1133" s="53"/>
      <x:c r="B1133" s="53"/>
      <x:c r="C1133" s="53"/>
      <x:c r="D1133" s="53"/>
      <x:c r="E1133" s="53"/>
      <x:c r="F1133" s="53"/>
      <x:c r="G1133" s="53"/>
      <x:c r="H1133" s="53"/>
      <x:c r="I1133" s="53"/>
      <x:c r="J1133" s="53"/>
      <x:c r="K1133" s="53"/>
      <x:c r="L1133" s="53"/>
      <x:c r="M1133" s="53"/>
      <x:c r="N1133" s="53"/>
      <x:c r="O1133" s="53"/>
      <x:c r="P1133" s="53"/>
      <x:c r="Q1133" s="53"/>
      <x:c r="R1133" s="53"/>
      <x:c r="S1133" s="53"/>
      <x:c r="T1133" s="53"/>
      <x:c r="U1133" s="53"/>
      <x:c r="V1133" s="53"/>
      <x:c r="W1133" s="53"/>
      <x:c r="X1133" s="53"/>
      <x:c r="Y1133" s="53"/>
      <x:c r="Z1133" s="53"/>
      <x:c r="AA1133" s="53"/>
      <x:c r="AB1133" s="53"/>
      <x:c r="AC1133" s="53"/>
      <x:c r="AD1133" s="53"/>
      <x:c r="AE1133" s="53"/>
      <x:c r="AF1133" s="53"/>
    </x:row>
    <x:row r="1134">
      <x:c r="A1134" s="53"/>
      <x:c r="B1134" s="53"/>
      <x:c r="C1134" s="53"/>
      <x:c r="D1134" s="53"/>
      <x:c r="E1134" s="53"/>
      <x:c r="F1134" s="53"/>
      <x:c r="G1134" s="53"/>
      <x:c r="H1134" s="53"/>
      <x:c r="I1134" s="53"/>
      <x:c r="J1134" s="53"/>
      <x:c r="K1134" s="53"/>
      <x:c r="L1134" s="53"/>
      <x:c r="M1134" s="53"/>
      <x:c r="N1134" s="53"/>
      <x:c r="O1134" s="53"/>
      <x:c r="P1134" s="53"/>
      <x:c r="Q1134" s="53"/>
      <x:c r="R1134" s="53"/>
      <x:c r="S1134" s="53"/>
      <x:c r="T1134" s="53"/>
      <x:c r="U1134" s="53"/>
      <x:c r="V1134" s="53"/>
      <x:c r="W1134" s="53"/>
      <x:c r="X1134" s="53"/>
      <x:c r="Y1134" s="53"/>
      <x:c r="Z1134" s="53"/>
      <x:c r="AA1134" s="53"/>
      <x:c r="AB1134" s="53"/>
      <x:c r="AC1134" s="53"/>
      <x:c r="AD1134" s="53"/>
      <x:c r="AE1134" s="53"/>
      <x:c r="AF1134" s="53"/>
    </x:row>
    <x:row r="1135">
      <x:c r="A1135" s="53"/>
      <x:c r="B1135" s="53"/>
      <x:c r="C1135" s="53"/>
      <x:c r="D1135" s="53"/>
      <x:c r="E1135" s="53"/>
      <x:c r="F1135" s="53"/>
      <x:c r="G1135" s="53"/>
      <x:c r="H1135" s="53"/>
      <x:c r="I1135" s="53"/>
      <x:c r="J1135" s="53"/>
      <x:c r="K1135" s="53"/>
      <x:c r="L1135" s="53"/>
      <x:c r="M1135" s="53"/>
      <x:c r="N1135" s="53"/>
      <x:c r="O1135" s="53"/>
      <x:c r="P1135" s="53"/>
      <x:c r="Q1135" s="53"/>
      <x:c r="R1135" s="53"/>
      <x:c r="S1135" s="53"/>
      <x:c r="T1135" s="53"/>
      <x:c r="U1135" s="53"/>
      <x:c r="V1135" s="53"/>
      <x:c r="W1135" s="53"/>
      <x:c r="X1135" s="53"/>
      <x:c r="Y1135" s="53"/>
      <x:c r="Z1135" s="53"/>
      <x:c r="AA1135" s="53"/>
      <x:c r="AB1135" s="53"/>
      <x:c r="AC1135" s="53"/>
      <x:c r="AD1135" s="53"/>
      <x:c r="AE1135" s="53"/>
      <x:c r="AF1135" s="53"/>
    </x:row>
    <x:row r="1136">
      <x:c r="A1136" s="53"/>
      <x:c r="B1136" s="53"/>
      <x:c r="C1136" s="53"/>
      <x:c r="D1136" s="53"/>
      <x:c r="E1136" s="53"/>
      <x:c r="F1136" s="53"/>
      <x:c r="G1136" s="53"/>
      <x:c r="H1136" s="53"/>
      <x:c r="I1136" s="53"/>
      <x:c r="J1136" s="53"/>
      <x:c r="K1136" s="53"/>
      <x:c r="L1136" s="53"/>
      <x:c r="M1136" s="53"/>
      <x:c r="N1136" s="53"/>
      <x:c r="O1136" s="53"/>
      <x:c r="P1136" s="53"/>
      <x:c r="Q1136" s="53"/>
      <x:c r="R1136" s="53"/>
      <x:c r="S1136" s="53"/>
      <x:c r="T1136" s="53"/>
      <x:c r="U1136" s="53"/>
      <x:c r="V1136" s="53"/>
      <x:c r="W1136" s="53"/>
      <x:c r="X1136" s="53"/>
      <x:c r="Y1136" s="53"/>
      <x:c r="Z1136" s="53"/>
      <x:c r="AA1136" s="53"/>
      <x:c r="AB1136" s="53"/>
      <x:c r="AC1136" s="53"/>
      <x:c r="AD1136" s="53"/>
      <x:c r="AE1136" s="53"/>
      <x:c r="AF1136" s="53"/>
    </x:row>
    <x:row r="1137">
      <x:c r="A1137" s="53"/>
      <x:c r="B1137" s="53"/>
      <x:c r="C1137" s="53"/>
      <x:c r="D1137" s="53"/>
      <x:c r="E1137" s="53"/>
      <x:c r="F1137" s="53"/>
      <x:c r="G1137" s="53"/>
      <x:c r="H1137" s="53"/>
      <x:c r="I1137" s="53"/>
      <x:c r="J1137" s="53"/>
      <x:c r="K1137" s="53"/>
      <x:c r="L1137" s="53"/>
      <x:c r="M1137" s="53"/>
      <x:c r="N1137" s="53"/>
      <x:c r="O1137" s="53"/>
      <x:c r="P1137" s="53"/>
      <x:c r="Q1137" s="53"/>
      <x:c r="R1137" s="53"/>
      <x:c r="S1137" s="53"/>
      <x:c r="T1137" s="53"/>
      <x:c r="U1137" s="53"/>
      <x:c r="V1137" s="53"/>
      <x:c r="W1137" s="53"/>
      <x:c r="X1137" s="53"/>
      <x:c r="Y1137" s="53"/>
      <x:c r="Z1137" s="53"/>
      <x:c r="AA1137" s="53"/>
      <x:c r="AB1137" s="53"/>
      <x:c r="AC1137" s="53"/>
      <x:c r="AD1137" s="53"/>
      <x:c r="AE1137" s="53"/>
      <x:c r="AF1137" s="53"/>
    </x:row>
    <x:row r="1138">
      <x:c r="A1138" s="53"/>
      <x:c r="B1138" s="53"/>
      <x:c r="C1138" s="53"/>
      <x:c r="D1138" s="53"/>
      <x:c r="E1138" s="53"/>
      <x:c r="F1138" s="53"/>
      <x:c r="G1138" s="53"/>
      <x:c r="H1138" s="53"/>
      <x:c r="I1138" s="53"/>
      <x:c r="J1138" s="53"/>
      <x:c r="K1138" s="53"/>
      <x:c r="L1138" s="53"/>
      <x:c r="M1138" s="53"/>
      <x:c r="N1138" s="53"/>
      <x:c r="O1138" s="53"/>
      <x:c r="P1138" s="53"/>
      <x:c r="Q1138" s="53"/>
      <x:c r="R1138" s="53"/>
      <x:c r="S1138" s="53"/>
      <x:c r="T1138" s="53"/>
      <x:c r="U1138" s="53"/>
      <x:c r="V1138" s="53"/>
      <x:c r="W1138" s="53"/>
      <x:c r="X1138" s="53"/>
      <x:c r="Y1138" s="53"/>
      <x:c r="Z1138" s="53"/>
      <x:c r="AA1138" s="53"/>
      <x:c r="AB1138" s="53"/>
      <x:c r="AC1138" s="53"/>
      <x:c r="AD1138" s="53"/>
      <x:c r="AE1138" s="53"/>
      <x:c r="AF1138" s="53"/>
    </x:row>
    <x:row r="1139">
      <x:c r="A1139" s="53"/>
      <x:c r="B1139" s="53"/>
      <x:c r="C1139" s="53"/>
      <x:c r="D1139" s="53"/>
      <x:c r="E1139" s="53"/>
      <x:c r="F1139" s="53"/>
      <x:c r="G1139" s="53"/>
      <x:c r="H1139" s="53"/>
      <x:c r="I1139" s="53"/>
      <x:c r="J1139" s="53"/>
      <x:c r="K1139" s="53"/>
      <x:c r="L1139" s="53"/>
      <x:c r="M1139" s="53"/>
      <x:c r="N1139" s="53"/>
      <x:c r="O1139" s="53"/>
      <x:c r="P1139" s="53"/>
      <x:c r="Q1139" s="53"/>
      <x:c r="R1139" s="53"/>
      <x:c r="S1139" s="53"/>
      <x:c r="T1139" s="53"/>
      <x:c r="U1139" s="53"/>
      <x:c r="V1139" s="53"/>
      <x:c r="W1139" s="53"/>
      <x:c r="X1139" s="53"/>
      <x:c r="Y1139" s="53"/>
      <x:c r="Z1139" s="53"/>
      <x:c r="AA1139" s="53"/>
      <x:c r="AB1139" s="53"/>
      <x:c r="AC1139" s="53"/>
      <x:c r="AD1139" s="53"/>
      <x:c r="AE1139" s="53"/>
      <x:c r="AF1139" s="53"/>
    </x:row>
    <x:row r="1140">
      <x:c r="A1140" s="53"/>
      <x:c r="B1140" s="53"/>
      <x:c r="C1140" s="53"/>
      <x:c r="D1140" s="53"/>
      <x:c r="E1140" s="53"/>
      <x:c r="F1140" s="53"/>
      <x:c r="G1140" s="53"/>
      <x:c r="H1140" s="53"/>
      <x:c r="I1140" s="53"/>
      <x:c r="J1140" s="53"/>
      <x:c r="K1140" s="53"/>
      <x:c r="L1140" s="53"/>
      <x:c r="M1140" s="53"/>
      <x:c r="N1140" s="53"/>
      <x:c r="O1140" s="53"/>
      <x:c r="P1140" s="53"/>
      <x:c r="Q1140" s="53"/>
      <x:c r="R1140" s="53"/>
      <x:c r="S1140" s="53"/>
      <x:c r="T1140" s="53"/>
      <x:c r="U1140" s="53"/>
      <x:c r="V1140" s="53"/>
      <x:c r="W1140" s="53"/>
      <x:c r="X1140" s="53"/>
      <x:c r="Y1140" s="53"/>
      <x:c r="Z1140" s="53"/>
      <x:c r="AA1140" s="53"/>
      <x:c r="AB1140" s="53"/>
      <x:c r="AC1140" s="53"/>
      <x:c r="AD1140" s="53"/>
      <x:c r="AE1140" s="53"/>
      <x:c r="AF1140" s="53"/>
    </x:row>
    <x:row r="1141">
      <x:c r="A1141" s="53"/>
      <x:c r="B1141" s="53"/>
      <x:c r="C1141" s="53"/>
      <x:c r="D1141" s="53"/>
      <x:c r="E1141" s="53"/>
      <x:c r="F1141" s="53"/>
      <x:c r="G1141" s="53"/>
      <x:c r="H1141" s="53"/>
      <x:c r="I1141" s="53"/>
      <x:c r="J1141" s="53"/>
      <x:c r="K1141" s="53"/>
      <x:c r="L1141" s="53"/>
      <x:c r="M1141" s="53"/>
      <x:c r="N1141" s="53"/>
      <x:c r="O1141" s="53"/>
      <x:c r="P1141" s="53"/>
      <x:c r="Q1141" s="53"/>
      <x:c r="R1141" s="53"/>
      <x:c r="S1141" s="53"/>
      <x:c r="T1141" s="53"/>
      <x:c r="U1141" s="53"/>
      <x:c r="V1141" s="53"/>
      <x:c r="W1141" s="53"/>
      <x:c r="X1141" s="53"/>
      <x:c r="Y1141" s="53"/>
      <x:c r="Z1141" s="53"/>
      <x:c r="AA1141" s="53"/>
      <x:c r="AB1141" s="53"/>
      <x:c r="AC1141" s="53"/>
      <x:c r="AD1141" s="53"/>
      <x:c r="AE1141" s="53"/>
      <x:c r="AF1141" s="53"/>
    </x:row>
    <x:row r="1142">
      <x:c r="A1142" s="53"/>
      <x:c r="B1142" s="53"/>
      <x:c r="C1142" s="53"/>
      <x:c r="D1142" s="53"/>
      <x:c r="E1142" s="53"/>
      <x:c r="F1142" s="53"/>
      <x:c r="G1142" s="53"/>
      <x:c r="H1142" s="53"/>
      <x:c r="I1142" s="53"/>
      <x:c r="J1142" s="53"/>
      <x:c r="K1142" s="53"/>
      <x:c r="L1142" s="53"/>
      <x:c r="M1142" s="53"/>
      <x:c r="N1142" s="53"/>
      <x:c r="O1142" s="53"/>
      <x:c r="P1142" s="53"/>
      <x:c r="Q1142" s="53"/>
      <x:c r="R1142" s="53"/>
      <x:c r="S1142" s="53"/>
      <x:c r="T1142" s="53"/>
      <x:c r="U1142" s="53"/>
      <x:c r="V1142" s="53"/>
      <x:c r="W1142" s="53"/>
      <x:c r="X1142" s="53"/>
      <x:c r="Y1142" s="53"/>
      <x:c r="Z1142" s="53"/>
      <x:c r="AA1142" s="53"/>
      <x:c r="AB1142" s="53"/>
      <x:c r="AC1142" s="53"/>
      <x:c r="AD1142" s="53"/>
      <x:c r="AE1142" s="53"/>
      <x:c r="AF1142" s="53"/>
    </x:row>
    <x:row r="1143">
      <x:c r="A1143" s="53"/>
      <x:c r="B1143" s="53"/>
      <x:c r="C1143" s="53"/>
      <x:c r="D1143" s="53"/>
      <x:c r="E1143" s="53"/>
      <x:c r="F1143" s="53"/>
      <x:c r="G1143" s="53"/>
      <x:c r="H1143" s="53"/>
      <x:c r="I1143" s="53"/>
      <x:c r="J1143" s="53"/>
      <x:c r="K1143" s="53"/>
      <x:c r="L1143" s="53"/>
      <x:c r="M1143" s="53"/>
      <x:c r="N1143" s="53"/>
      <x:c r="O1143" s="53"/>
      <x:c r="P1143" s="53"/>
      <x:c r="Q1143" s="53"/>
      <x:c r="R1143" s="53"/>
      <x:c r="S1143" s="53"/>
      <x:c r="T1143" s="53"/>
      <x:c r="U1143" s="53"/>
      <x:c r="V1143" s="53"/>
      <x:c r="W1143" s="53"/>
      <x:c r="X1143" s="53"/>
      <x:c r="Y1143" s="53"/>
      <x:c r="Z1143" s="53"/>
      <x:c r="AA1143" s="53"/>
      <x:c r="AB1143" s="53"/>
      <x:c r="AC1143" s="53"/>
      <x:c r="AD1143" s="53"/>
      <x:c r="AE1143" s="53"/>
      <x:c r="AF1143" s="53"/>
    </x:row>
    <x:row r="1144">
      <x:c r="A1144" s="53"/>
      <x:c r="B1144" s="53"/>
      <x:c r="C1144" s="53"/>
      <x:c r="D1144" s="53"/>
      <x:c r="E1144" s="53"/>
      <x:c r="F1144" s="53"/>
      <x:c r="G1144" s="53"/>
      <x:c r="H1144" s="53"/>
      <x:c r="I1144" s="53"/>
      <x:c r="J1144" s="53"/>
      <x:c r="K1144" s="53"/>
      <x:c r="L1144" s="53"/>
      <x:c r="M1144" s="53"/>
      <x:c r="N1144" s="53"/>
      <x:c r="O1144" s="53"/>
      <x:c r="P1144" s="53"/>
      <x:c r="Q1144" s="53"/>
      <x:c r="R1144" s="53"/>
      <x:c r="S1144" s="53"/>
      <x:c r="T1144" s="53"/>
      <x:c r="U1144" s="53"/>
      <x:c r="V1144" s="53"/>
      <x:c r="W1144" s="53"/>
      <x:c r="X1144" s="53"/>
      <x:c r="Y1144" s="53"/>
      <x:c r="Z1144" s="53"/>
      <x:c r="AA1144" s="53"/>
      <x:c r="AB1144" s="53"/>
      <x:c r="AC1144" s="53"/>
      <x:c r="AD1144" s="53"/>
      <x:c r="AE1144" s="53"/>
      <x:c r="AF1144" s="53"/>
    </x:row>
    <x:row r="1145">
      <x:c r="A1145" s="53"/>
      <x:c r="B1145" s="53"/>
      <x:c r="C1145" s="53"/>
      <x:c r="D1145" s="53"/>
      <x:c r="E1145" s="53"/>
      <x:c r="F1145" s="53"/>
      <x:c r="G1145" s="53"/>
      <x:c r="H1145" s="53"/>
      <x:c r="I1145" s="53"/>
      <x:c r="J1145" s="53"/>
      <x:c r="K1145" s="53"/>
      <x:c r="L1145" s="53"/>
      <x:c r="M1145" s="53"/>
      <x:c r="N1145" s="53"/>
      <x:c r="O1145" s="53"/>
      <x:c r="P1145" s="53"/>
      <x:c r="Q1145" s="53"/>
      <x:c r="R1145" s="53"/>
      <x:c r="S1145" s="53"/>
      <x:c r="T1145" s="53"/>
      <x:c r="U1145" s="53"/>
      <x:c r="V1145" s="53"/>
      <x:c r="W1145" s="53"/>
      <x:c r="X1145" s="53"/>
      <x:c r="Y1145" s="53"/>
      <x:c r="Z1145" s="53"/>
      <x:c r="AA1145" s="53"/>
      <x:c r="AB1145" s="53"/>
      <x:c r="AC1145" s="53"/>
      <x:c r="AD1145" s="53"/>
      <x:c r="AE1145" s="53"/>
      <x:c r="AF1145" s="53"/>
    </x:row>
    <x:row r="1146">
      <x:c r="A1146" s="53"/>
      <x:c r="B1146" s="53"/>
      <x:c r="C1146" s="53"/>
      <x:c r="D1146" s="53"/>
      <x:c r="E1146" s="53"/>
      <x:c r="F1146" s="53"/>
      <x:c r="G1146" s="53"/>
      <x:c r="H1146" s="53"/>
      <x:c r="I1146" s="53"/>
      <x:c r="J1146" s="53"/>
      <x:c r="K1146" s="53"/>
      <x:c r="L1146" s="53"/>
      <x:c r="M1146" s="53"/>
      <x:c r="N1146" s="53"/>
      <x:c r="O1146" s="53"/>
      <x:c r="P1146" s="53"/>
      <x:c r="Q1146" s="53"/>
      <x:c r="R1146" s="53"/>
      <x:c r="S1146" s="53"/>
      <x:c r="T1146" s="53"/>
      <x:c r="U1146" s="53"/>
      <x:c r="V1146" s="53"/>
      <x:c r="W1146" s="53"/>
      <x:c r="X1146" s="53"/>
      <x:c r="Y1146" s="53"/>
      <x:c r="Z1146" s="53"/>
      <x:c r="AA1146" s="53"/>
      <x:c r="AB1146" s="53"/>
      <x:c r="AC1146" s="53"/>
      <x:c r="AD1146" s="53"/>
      <x:c r="AE1146" s="53"/>
      <x:c r="AF1146" s="53"/>
    </x:row>
    <x:row r="1147">
      <x:c r="A1147" s="53"/>
      <x:c r="B1147" s="53"/>
      <x:c r="C1147" s="53"/>
      <x:c r="D1147" s="53"/>
      <x:c r="E1147" s="53"/>
      <x:c r="F1147" s="53"/>
      <x:c r="G1147" s="53"/>
      <x:c r="H1147" s="53"/>
      <x:c r="I1147" s="53"/>
      <x:c r="J1147" s="53"/>
      <x:c r="K1147" s="53"/>
      <x:c r="L1147" s="53"/>
      <x:c r="M1147" s="53"/>
      <x:c r="N1147" s="53"/>
      <x:c r="O1147" s="53"/>
      <x:c r="P1147" s="53"/>
      <x:c r="Q1147" s="53"/>
      <x:c r="R1147" s="53"/>
      <x:c r="S1147" s="53"/>
      <x:c r="T1147" s="53"/>
      <x:c r="U1147" s="53"/>
      <x:c r="V1147" s="53"/>
      <x:c r="W1147" s="53"/>
      <x:c r="X1147" s="53"/>
      <x:c r="Y1147" s="53"/>
      <x:c r="Z1147" s="53"/>
      <x:c r="AA1147" s="53"/>
      <x:c r="AB1147" s="53"/>
      <x:c r="AC1147" s="53"/>
      <x:c r="AD1147" s="53"/>
      <x:c r="AE1147" s="53"/>
      <x:c r="AF1147" s="53"/>
    </x:row>
    <x:row r="1148">
      <x:c r="A1148" s="53"/>
      <x:c r="B1148" s="53"/>
      <x:c r="C1148" s="53"/>
      <x:c r="D1148" s="53"/>
      <x:c r="E1148" s="53"/>
      <x:c r="F1148" s="53"/>
      <x:c r="G1148" s="53"/>
      <x:c r="H1148" s="53"/>
      <x:c r="I1148" s="53"/>
      <x:c r="J1148" s="53"/>
      <x:c r="K1148" s="53"/>
      <x:c r="L1148" s="53"/>
      <x:c r="M1148" s="53"/>
      <x:c r="N1148" s="53"/>
      <x:c r="O1148" s="53"/>
      <x:c r="P1148" s="53"/>
      <x:c r="Q1148" s="53"/>
      <x:c r="R1148" s="53"/>
      <x:c r="S1148" s="53"/>
      <x:c r="T1148" s="53"/>
      <x:c r="U1148" s="53"/>
      <x:c r="V1148" s="53"/>
      <x:c r="W1148" s="53"/>
      <x:c r="X1148" s="53"/>
      <x:c r="Y1148" s="53"/>
      <x:c r="Z1148" s="53"/>
      <x:c r="AA1148" s="53"/>
      <x:c r="AB1148" s="53"/>
      <x:c r="AC1148" s="53"/>
      <x:c r="AD1148" s="53"/>
      <x:c r="AE1148" s="53"/>
      <x:c r="AF1148" s="53"/>
    </x:row>
    <x:row r="1149">
      <x:c r="A1149" s="53"/>
      <x:c r="B1149" s="53"/>
      <x:c r="C1149" s="53"/>
      <x:c r="D1149" s="53"/>
      <x:c r="E1149" s="53"/>
      <x:c r="F1149" s="53"/>
      <x:c r="G1149" s="53"/>
      <x:c r="H1149" s="53"/>
      <x:c r="I1149" s="53"/>
      <x:c r="J1149" s="53"/>
      <x:c r="K1149" s="53"/>
      <x:c r="L1149" s="53"/>
      <x:c r="M1149" s="53"/>
      <x:c r="N1149" s="53"/>
      <x:c r="O1149" s="53"/>
      <x:c r="P1149" s="53"/>
      <x:c r="Q1149" s="53"/>
      <x:c r="R1149" s="53"/>
      <x:c r="S1149" s="53"/>
      <x:c r="T1149" s="53"/>
      <x:c r="U1149" s="53"/>
      <x:c r="V1149" s="53"/>
      <x:c r="W1149" s="53"/>
      <x:c r="X1149" s="53"/>
      <x:c r="Y1149" s="53"/>
      <x:c r="Z1149" s="53"/>
      <x:c r="AA1149" s="53"/>
      <x:c r="AB1149" s="53"/>
      <x:c r="AC1149" s="53"/>
      <x:c r="AD1149" s="53"/>
      <x:c r="AE1149" s="53"/>
      <x:c r="AF1149" s="53"/>
    </x:row>
    <x:row r="1150">
      <x:c r="A1150" s="53"/>
      <x:c r="B1150" s="53"/>
      <x:c r="C1150" s="53"/>
      <x:c r="D1150" s="53"/>
      <x:c r="E1150" s="53"/>
      <x:c r="F1150" s="53"/>
      <x:c r="G1150" s="53"/>
      <x:c r="H1150" s="53"/>
      <x:c r="I1150" s="53"/>
      <x:c r="J1150" s="53"/>
      <x:c r="K1150" s="53"/>
      <x:c r="L1150" s="53"/>
      <x:c r="M1150" s="53"/>
      <x:c r="N1150" s="53"/>
      <x:c r="O1150" s="53"/>
      <x:c r="P1150" s="53"/>
      <x:c r="Q1150" s="53"/>
      <x:c r="R1150" s="53"/>
      <x:c r="S1150" s="53"/>
      <x:c r="T1150" s="53"/>
      <x:c r="U1150" s="53"/>
      <x:c r="V1150" s="53"/>
      <x:c r="W1150" s="53"/>
      <x:c r="X1150" s="53"/>
      <x:c r="Y1150" s="53"/>
      <x:c r="Z1150" s="53"/>
      <x:c r="AA1150" s="53"/>
      <x:c r="AB1150" s="53"/>
      <x:c r="AC1150" s="53"/>
      <x:c r="AD1150" s="53"/>
      <x:c r="AE1150" s="53"/>
      <x:c r="AF1150" s="53"/>
    </x:row>
    <x:row r="1151">
      <x:c r="A1151" s="53"/>
      <x:c r="B1151" s="53"/>
      <x:c r="C1151" s="53"/>
      <x:c r="D1151" s="53"/>
      <x:c r="E1151" s="53"/>
      <x:c r="F1151" s="53"/>
      <x:c r="G1151" s="53"/>
      <x:c r="H1151" s="53"/>
      <x:c r="I1151" s="53"/>
      <x:c r="J1151" s="53"/>
      <x:c r="K1151" s="53"/>
      <x:c r="L1151" s="53"/>
      <x:c r="M1151" s="53"/>
      <x:c r="N1151" s="53"/>
      <x:c r="O1151" s="53"/>
      <x:c r="P1151" s="53"/>
      <x:c r="Q1151" s="53"/>
      <x:c r="R1151" s="53"/>
      <x:c r="S1151" s="53"/>
      <x:c r="T1151" s="53"/>
      <x:c r="U1151" s="53"/>
      <x:c r="V1151" s="53"/>
      <x:c r="W1151" s="53"/>
      <x:c r="X1151" s="53"/>
      <x:c r="Y1151" s="53"/>
      <x:c r="Z1151" s="53"/>
      <x:c r="AA1151" s="53"/>
      <x:c r="AB1151" s="53"/>
      <x:c r="AC1151" s="53"/>
      <x:c r="AD1151" s="53"/>
      <x:c r="AE1151" s="53"/>
      <x:c r="AF1151" s="53"/>
    </x:row>
    <x:row r="1152">
      <x:c r="A1152" s="53"/>
      <x:c r="B1152" s="53"/>
      <x:c r="C1152" s="53"/>
      <x:c r="D1152" s="53"/>
      <x:c r="E1152" s="53"/>
      <x:c r="F1152" s="53"/>
      <x:c r="G1152" s="53"/>
      <x:c r="H1152" s="53"/>
      <x:c r="I1152" s="53"/>
      <x:c r="J1152" s="53"/>
      <x:c r="K1152" s="53"/>
      <x:c r="L1152" s="53"/>
      <x:c r="M1152" s="53"/>
      <x:c r="N1152" s="53"/>
      <x:c r="O1152" s="53"/>
      <x:c r="P1152" s="53"/>
      <x:c r="Q1152" s="53"/>
      <x:c r="R1152" s="53"/>
      <x:c r="S1152" s="53"/>
      <x:c r="T1152" s="53"/>
      <x:c r="U1152" s="53"/>
      <x:c r="V1152" s="53"/>
      <x:c r="W1152" s="53"/>
      <x:c r="X1152" s="53"/>
      <x:c r="Y1152" s="53"/>
      <x:c r="Z1152" s="53"/>
      <x:c r="AA1152" s="53"/>
      <x:c r="AB1152" s="53"/>
      <x:c r="AC1152" s="53"/>
      <x:c r="AD1152" s="53"/>
      <x:c r="AE1152" s="53"/>
      <x:c r="AF1152" s="53"/>
    </x:row>
    <x:row r="1153">
      <x:c r="A1153" s="53"/>
      <x:c r="B1153" s="53"/>
      <x:c r="C1153" s="53"/>
      <x:c r="D1153" s="53"/>
      <x:c r="E1153" s="53"/>
      <x:c r="F1153" s="53"/>
      <x:c r="G1153" s="53"/>
      <x:c r="H1153" s="53"/>
      <x:c r="I1153" s="53"/>
      <x:c r="J1153" s="53"/>
      <x:c r="K1153" s="53"/>
      <x:c r="L1153" s="53"/>
      <x:c r="M1153" s="53"/>
      <x:c r="N1153" s="53"/>
      <x:c r="O1153" s="53"/>
      <x:c r="P1153" s="53"/>
      <x:c r="Q1153" s="53"/>
      <x:c r="R1153" s="53"/>
      <x:c r="S1153" s="53"/>
      <x:c r="T1153" s="53"/>
      <x:c r="U1153" s="53"/>
      <x:c r="V1153" s="53"/>
      <x:c r="W1153" s="53"/>
      <x:c r="X1153" s="53"/>
      <x:c r="Y1153" s="53"/>
      <x:c r="Z1153" s="53"/>
      <x:c r="AA1153" s="53"/>
      <x:c r="AB1153" s="53"/>
      <x:c r="AC1153" s="53"/>
      <x:c r="AD1153" s="53"/>
      <x:c r="AE1153" s="53"/>
      <x:c r="AF1153" s="53"/>
    </x:row>
    <x:row r="1154">
      <x:c r="A1154" s="53"/>
      <x:c r="B1154" s="53"/>
      <x:c r="C1154" s="53"/>
      <x:c r="D1154" s="53"/>
      <x:c r="E1154" s="53"/>
      <x:c r="F1154" s="53"/>
      <x:c r="G1154" s="53"/>
      <x:c r="H1154" s="53"/>
      <x:c r="I1154" s="53"/>
      <x:c r="J1154" s="53"/>
      <x:c r="K1154" s="53"/>
      <x:c r="L1154" s="53"/>
      <x:c r="M1154" s="53"/>
      <x:c r="N1154" s="53"/>
      <x:c r="O1154" s="53"/>
      <x:c r="P1154" s="53"/>
      <x:c r="Q1154" s="53"/>
      <x:c r="R1154" s="53"/>
      <x:c r="S1154" s="53"/>
      <x:c r="T1154" s="53"/>
      <x:c r="U1154" s="53"/>
      <x:c r="V1154" s="53"/>
      <x:c r="W1154" s="53"/>
      <x:c r="X1154" s="53"/>
      <x:c r="Y1154" s="53"/>
      <x:c r="Z1154" s="53"/>
      <x:c r="AA1154" s="53"/>
      <x:c r="AB1154" s="53"/>
      <x:c r="AC1154" s="53"/>
      <x:c r="AD1154" s="53"/>
      <x:c r="AE1154" s="53"/>
      <x:c r="AF1154" s="53"/>
    </x:row>
    <x:row r="1155">
      <x:c r="A1155" s="53"/>
      <x:c r="B1155" s="53"/>
      <x:c r="C1155" s="53"/>
      <x:c r="D1155" s="53"/>
      <x:c r="E1155" s="53"/>
      <x:c r="F1155" s="53"/>
      <x:c r="G1155" s="53"/>
      <x:c r="H1155" s="53"/>
      <x:c r="I1155" s="53"/>
      <x:c r="J1155" s="53"/>
      <x:c r="K1155" s="53"/>
      <x:c r="L1155" s="53"/>
      <x:c r="M1155" s="53"/>
      <x:c r="N1155" s="53"/>
      <x:c r="O1155" s="53"/>
      <x:c r="P1155" s="53"/>
      <x:c r="Q1155" s="53"/>
      <x:c r="R1155" s="53"/>
      <x:c r="S1155" s="53"/>
      <x:c r="T1155" s="53"/>
      <x:c r="U1155" s="53"/>
      <x:c r="V1155" s="53"/>
      <x:c r="W1155" s="53"/>
      <x:c r="X1155" s="53"/>
      <x:c r="Y1155" s="53"/>
      <x:c r="Z1155" s="53"/>
      <x:c r="AA1155" s="53"/>
      <x:c r="AB1155" s="53"/>
      <x:c r="AC1155" s="53"/>
      <x:c r="AD1155" s="53"/>
      <x:c r="AE1155" s="53"/>
      <x:c r="AF1155" s="53"/>
    </x:row>
    <x:row r="1156">
      <x:c r="A1156" s="53"/>
      <x:c r="B1156" s="53"/>
      <x:c r="C1156" s="53"/>
      <x:c r="D1156" s="53"/>
      <x:c r="E1156" s="53"/>
      <x:c r="F1156" s="53"/>
      <x:c r="G1156" s="53"/>
      <x:c r="H1156" s="53"/>
      <x:c r="I1156" s="53"/>
      <x:c r="J1156" s="53"/>
      <x:c r="K1156" s="53"/>
      <x:c r="L1156" s="53"/>
      <x:c r="M1156" s="53"/>
      <x:c r="N1156" s="53"/>
      <x:c r="O1156" s="53"/>
      <x:c r="P1156" s="53"/>
      <x:c r="Q1156" s="53"/>
      <x:c r="R1156" s="53"/>
      <x:c r="S1156" s="53"/>
      <x:c r="T1156" s="53"/>
      <x:c r="U1156" s="53"/>
      <x:c r="V1156" s="53"/>
      <x:c r="W1156" s="53"/>
      <x:c r="X1156" s="53"/>
      <x:c r="Y1156" s="53"/>
      <x:c r="Z1156" s="53"/>
      <x:c r="AA1156" s="53"/>
      <x:c r="AB1156" s="53"/>
      <x:c r="AC1156" s="53"/>
      <x:c r="AD1156" s="53"/>
      <x:c r="AE1156" s="53"/>
      <x:c r="AF1156" s="53"/>
    </x:row>
    <x:row r="1157">
      <x:c r="A1157" s="53"/>
      <x:c r="B1157" s="53"/>
      <x:c r="C1157" s="53"/>
      <x:c r="D1157" s="53"/>
      <x:c r="E1157" s="53"/>
      <x:c r="F1157" s="53"/>
      <x:c r="G1157" s="53"/>
      <x:c r="H1157" s="53"/>
      <x:c r="I1157" s="53"/>
      <x:c r="J1157" s="53"/>
      <x:c r="K1157" s="53"/>
      <x:c r="L1157" s="53"/>
      <x:c r="M1157" s="53"/>
      <x:c r="N1157" s="53"/>
      <x:c r="O1157" s="53"/>
      <x:c r="P1157" s="53"/>
      <x:c r="Q1157" s="53"/>
      <x:c r="R1157" s="53"/>
      <x:c r="S1157" s="53"/>
      <x:c r="T1157" s="53"/>
      <x:c r="U1157" s="53"/>
      <x:c r="V1157" s="53"/>
      <x:c r="W1157" s="53"/>
      <x:c r="X1157" s="53"/>
      <x:c r="Y1157" s="53"/>
      <x:c r="Z1157" s="53"/>
      <x:c r="AA1157" s="53"/>
      <x:c r="AB1157" s="53"/>
      <x:c r="AC1157" s="53"/>
      <x:c r="AD1157" s="53"/>
      <x:c r="AE1157" s="53"/>
      <x:c r="AF1157" s="53"/>
    </x:row>
    <x:row r="1158">
      <x:c r="A1158" s="53"/>
      <x:c r="B1158" s="53"/>
      <x:c r="C1158" s="53"/>
      <x:c r="D1158" s="53"/>
      <x:c r="E1158" s="53"/>
      <x:c r="F1158" s="53"/>
      <x:c r="G1158" s="53"/>
      <x:c r="H1158" s="53"/>
      <x:c r="I1158" s="53"/>
      <x:c r="J1158" s="53"/>
      <x:c r="K1158" s="53"/>
      <x:c r="L1158" s="53"/>
      <x:c r="M1158" s="53"/>
      <x:c r="N1158" s="53"/>
      <x:c r="O1158" s="53"/>
      <x:c r="P1158" s="53"/>
      <x:c r="Q1158" s="53"/>
      <x:c r="R1158" s="53"/>
      <x:c r="S1158" s="53"/>
      <x:c r="T1158" s="53"/>
      <x:c r="U1158" s="53"/>
      <x:c r="V1158" s="53"/>
      <x:c r="W1158" s="53"/>
      <x:c r="X1158" s="53"/>
      <x:c r="Y1158" s="53"/>
      <x:c r="Z1158" s="53"/>
      <x:c r="AA1158" s="53"/>
      <x:c r="AB1158" s="53"/>
      <x:c r="AC1158" s="53"/>
      <x:c r="AD1158" s="53"/>
      <x:c r="AE1158" s="53"/>
      <x:c r="AF1158" s="53"/>
    </x:row>
    <x:row r="1159">
      <x:c r="A1159" s="53"/>
      <x:c r="B1159" s="53"/>
      <x:c r="C1159" s="53"/>
      <x:c r="D1159" s="53"/>
      <x:c r="E1159" s="53"/>
      <x:c r="F1159" s="53"/>
      <x:c r="G1159" s="53"/>
      <x:c r="H1159" s="53"/>
      <x:c r="I1159" s="53"/>
      <x:c r="J1159" s="53"/>
      <x:c r="K1159" s="53"/>
      <x:c r="L1159" s="53"/>
      <x:c r="M1159" s="53"/>
      <x:c r="N1159" s="53"/>
      <x:c r="O1159" s="53"/>
      <x:c r="P1159" s="53"/>
      <x:c r="Q1159" s="53"/>
      <x:c r="R1159" s="53"/>
      <x:c r="S1159" s="53"/>
      <x:c r="T1159" s="53"/>
      <x:c r="U1159" s="53"/>
      <x:c r="V1159" s="53"/>
      <x:c r="W1159" s="53"/>
      <x:c r="X1159" s="53"/>
      <x:c r="Y1159" s="53"/>
      <x:c r="Z1159" s="53"/>
      <x:c r="AA1159" s="53"/>
      <x:c r="AB1159" s="53"/>
      <x:c r="AC1159" s="53"/>
      <x:c r="AD1159" s="53"/>
      <x:c r="AE1159" s="53"/>
      <x:c r="AF1159" s="53"/>
    </x:row>
    <x:row r="1160">
      <x:c r="A1160" s="53"/>
      <x:c r="B1160" s="53"/>
      <x:c r="C1160" s="53"/>
      <x:c r="D1160" s="53"/>
      <x:c r="E1160" s="53"/>
      <x:c r="F1160" s="53"/>
      <x:c r="G1160" s="53"/>
      <x:c r="H1160" s="53"/>
      <x:c r="I1160" s="53"/>
      <x:c r="J1160" s="53"/>
      <x:c r="K1160" s="53"/>
      <x:c r="L1160" s="53"/>
      <x:c r="M1160" s="53"/>
      <x:c r="N1160" s="53"/>
      <x:c r="O1160" s="53"/>
      <x:c r="P1160" s="53"/>
      <x:c r="Q1160" s="53"/>
      <x:c r="R1160" s="53"/>
      <x:c r="S1160" s="53"/>
      <x:c r="T1160" s="53"/>
      <x:c r="U1160" s="53"/>
      <x:c r="V1160" s="53"/>
      <x:c r="W1160" s="53"/>
      <x:c r="X1160" s="53"/>
      <x:c r="Y1160" s="53"/>
      <x:c r="Z1160" s="53"/>
      <x:c r="AA1160" s="53"/>
      <x:c r="AB1160" s="53"/>
      <x:c r="AC1160" s="53"/>
      <x:c r="AD1160" s="53"/>
      <x:c r="AE1160" s="53"/>
      <x:c r="AF1160" s="53"/>
    </x:row>
    <x:row r="1161">
      <x:c r="A1161" s="53"/>
      <x:c r="B1161" s="53"/>
      <x:c r="C1161" s="53"/>
      <x:c r="D1161" s="53"/>
      <x:c r="E1161" s="53"/>
      <x:c r="F1161" s="53"/>
      <x:c r="G1161" s="53"/>
      <x:c r="H1161" s="53"/>
      <x:c r="I1161" s="53"/>
      <x:c r="J1161" s="53"/>
      <x:c r="K1161" s="53"/>
      <x:c r="L1161" s="53"/>
      <x:c r="M1161" s="53"/>
      <x:c r="N1161" s="53"/>
      <x:c r="O1161" s="53"/>
      <x:c r="P1161" s="53"/>
      <x:c r="Q1161" s="53"/>
      <x:c r="R1161" s="53"/>
      <x:c r="S1161" s="53"/>
      <x:c r="T1161" s="53"/>
      <x:c r="U1161" s="53"/>
      <x:c r="V1161" s="53"/>
      <x:c r="W1161" s="53"/>
      <x:c r="X1161" s="53"/>
      <x:c r="Y1161" s="53"/>
      <x:c r="Z1161" s="53"/>
      <x:c r="AA1161" s="53"/>
      <x:c r="AB1161" s="53"/>
      <x:c r="AC1161" s="53"/>
      <x:c r="AD1161" s="53"/>
      <x:c r="AE1161" s="53"/>
      <x:c r="AF1161" s="53"/>
    </x:row>
    <x:row r="1162">
      <x:c r="A1162" s="53"/>
      <x:c r="B1162" s="53"/>
      <x:c r="C1162" s="53"/>
      <x:c r="D1162" s="53"/>
      <x:c r="E1162" s="53"/>
      <x:c r="F1162" s="53"/>
      <x:c r="G1162" s="53"/>
      <x:c r="H1162" s="53"/>
      <x:c r="I1162" s="53"/>
      <x:c r="J1162" s="53"/>
      <x:c r="K1162" s="53"/>
      <x:c r="L1162" s="53"/>
      <x:c r="M1162" s="53"/>
      <x:c r="N1162" s="53"/>
      <x:c r="O1162" s="53"/>
      <x:c r="P1162" s="53"/>
      <x:c r="Q1162" s="53"/>
      <x:c r="R1162" s="53"/>
      <x:c r="S1162" s="53"/>
      <x:c r="T1162" s="53"/>
      <x:c r="U1162" s="53"/>
      <x:c r="V1162" s="53"/>
      <x:c r="W1162" s="53"/>
      <x:c r="X1162" s="53"/>
      <x:c r="Y1162" s="53"/>
      <x:c r="Z1162" s="53"/>
      <x:c r="AA1162" s="53"/>
      <x:c r="AB1162" s="53"/>
      <x:c r="AC1162" s="53"/>
      <x:c r="AD1162" s="53"/>
      <x:c r="AE1162" s="53"/>
      <x:c r="AF1162" s="53"/>
    </x:row>
    <x:row r="1163">
      <x:c r="A1163" s="53"/>
      <x:c r="B1163" s="53"/>
      <x:c r="C1163" s="53"/>
      <x:c r="D1163" s="53"/>
      <x:c r="E1163" s="53"/>
      <x:c r="F1163" s="53"/>
      <x:c r="G1163" s="53"/>
      <x:c r="H1163" s="53"/>
      <x:c r="I1163" s="53"/>
      <x:c r="J1163" s="53"/>
      <x:c r="K1163" s="53"/>
      <x:c r="L1163" s="53"/>
      <x:c r="M1163" s="53"/>
      <x:c r="N1163" s="53"/>
      <x:c r="O1163" s="53"/>
      <x:c r="P1163" s="53"/>
      <x:c r="Q1163" s="53"/>
      <x:c r="R1163" s="53"/>
      <x:c r="S1163" s="53"/>
      <x:c r="T1163" s="53"/>
      <x:c r="U1163" s="53"/>
      <x:c r="V1163" s="53"/>
      <x:c r="W1163" s="53"/>
      <x:c r="X1163" s="53"/>
      <x:c r="Y1163" s="53"/>
      <x:c r="Z1163" s="53"/>
      <x:c r="AA1163" s="53"/>
      <x:c r="AB1163" s="53"/>
      <x:c r="AC1163" s="53"/>
      <x:c r="AD1163" s="53"/>
      <x:c r="AE1163" s="53"/>
      <x:c r="AF1163" s="53"/>
    </x:row>
    <x:row r="1164">
      <x:c r="A1164" s="53"/>
      <x:c r="B1164" s="53"/>
      <x:c r="C1164" s="53"/>
      <x:c r="D1164" s="53"/>
      <x:c r="E1164" s="53"/>
      <x:c r="F1164" s="53"/>
      <x:c r="G1164" s="53"/>
      <x:c r="H1164" s="53"/>
      <x:c r="I1164" s="53"/>
      <x:c r="J1164" s="53"/>
      <x:c r="K1164" s="53"/>
      <x:c r="L1164" s="53"/>
      <x:c r="M1164" s="53"/>
      <x:c r="N1164" s="53"/>
      <x:c r="O1164" s="53"/>
      <x:c r="P1164" s="53"/>
      <x:c r="Q1164" s="53"/>
      <x:c r="R1164" s="53"/>
      <x:c r="S1164" s="53"/>
      <x:c r="T1164" s="53"/>
      <x:c r="U1164" s="53"/>
      <x:c r="V1164" s="53"/>
      <x:c r="W1164" s="53"/>
      <x:c r="X1164" s="53"/>
      <x:c r="Y1164" s="53"/>
      <x:c r="Z1164" s="53"/>
      <x:c r="AA1164" s="53"/>
      <x:c r="AB1164" s="53"/>
      <x:c r="AC1164" s="53"/>
      <x:c r="AD1164" s="53"/>
      <x:c r="AE1164" s="53"/>
      <x:c r="AF1164" s="53"/>
    </x:row>
    <x:row r="1165">
      <x:c r="A1165" s="53"/>
      <x:c r="B1165" s="53"/>
      <x:c r="C1165" s="53"/>
      <x:c r="D1165" s="53"/>
      <x:c r="E1165" s="53"/>
      <x:c r="F1165" s="53"/>
      <x:c r="G1165" s="53"/>
      <x:c r="H1165" s="53"/>
      <x:c r="I1165" s="53"/>
      <x:c r="J1165" s="53"/>
      <x:c r="K1165" s="53"/>
      <x:c r="L1165" s="53"/>
      <x:c r="M1165" s="53"/>
      <x:c r="N1165" s="53"/>
      <x:c r="O1165" s="53"/>
      <x:c r="P1165" s="53"/>
      <x:c r="Q1165" s="53"/>
      <x:c r="R1165" s="53"/>
      <x:c r="S1165" s="53"/>
      <x:c r="T1165" s="53"/>
      <x:c r="U1165" s="53"/>
      <x:c r="V1165" s="53"/>
      <x:c r="W1165" s="53"/>
      <x:c r="X1165" s="53"/>
      <x:c r="Y1165" s="53"/>
      <x:c r="Z1165" s="53"/>
      <x:c r="AA1165" s="53"/>
      <x:c r="AB1165" s="53"/>
      <x:c r="AC1165" s="53"/>
      <x:c r="AD1165" s="53"/>
      <x:c r="AE1165" s="53"/>
      <x:c r="AF1165" s="53"/>
    </x:row>
    <x:row r="1166">
      <x:c r="A1166" s="53"/>
      <x:c r="B1166" s="53"/>
      <x:c r="C1166" s="53"/>
      <x:c r="D1166" s="53"/>
      <x:c r="E1166" s="53"/>
      <x:c r="F1166" s="53"/>
      <x:c r="G1166" s="53"/>
      <x:c r="H1166" s="53"/>
      <x:c r="I1166" s="53"/>
      <x:c r="J1166" s="53"/>
      <x:c r="K1166" s="53"/>
      <x:c r="L1166" s="53"/>
      <x:c r="M1166" s="53"/>
      <x:c r="N1166" s="53"/>
      <x:c r="O1166" s="53"/>
      <x:c r="P1166" s="53"/>
      <x:c r="Q1166" s="53"/>
      <x:c r="R1166" s="53"/>
      <x:c r="S1166" s="53"/>
      <x:c r="T1166" s="53"/>
      <x:c r="U1166" s="53"/>
      <x:c r="V1166" s="53"/>
      <x:c r="W1166" s="53"/>
      <x:c r="X1166" s="53"/>
      <x:c r="Y1166" s="53"/>
      <x:c r="Z1166" s="53"/>
      <x:c r="AA1166" s="53"/>
      <x:c r="AB1166" s="53"/>
      <x:c r="AC1166" s="53"/>
      <x:c r="AD1166" s="53"/>
      <x:c r="AE1166" s="53"/>
      <x:c r="AF1166" s="53"/>
    </x:row>
    <x:row r="1167">
      <x:c r="A1167" s="53"/>
      <x:c r="B1167" s="53"/>
      <x:c r="C1167" s="53"/>
      <x:c r="D1167" s="53"/>
      <x:c r="E1167" s="53"/>
      <x:c r="F1167" s="53"/>
      <x:c r="G1167" s="53"/>
      <x:c r="H1167" s="53"/>
      <x:c r="I1167" s="53"/>
      <x:c r="J1167" s="53"/>
      <x:c r="K1167" s="53"/>
      <x:c r="L1167" s="53"/>
      <x:c r="M1167" s="53"/>
      <x:c r="N1167" s="53"/>
      <x:c r="O1167" s="53"/>
      <x:c r="P1167" s="53"/>
      <x:c r="Q1167" s="53"/>
      <x:c r="R1167" s="53"/>
      <x:c r="S1167" s="53"/>
      <x:c r="T1167" s="53"/>
      <x:c r="U1167" s="53"/>
      <x:c r="V1167" s="53"/>
      <x:c r="W1167" s="53"/>
      <x:c r="X1167" s="53"/>
      <x:c r="Y1167" s="53"/>
      <x:c r="Z1167" s="53"/>
      <x:c r="AA1167" s="53"/>
      <x:c r="AB1167" s="53"/>
      <x:c r="AC1167" s="53"/>
      <x:c r="AD1167" s="53"/>
      <x:c r="AE1167" s="53"/>
      <x:c r="AF1167" s="53"/>
    </x:row>
    <x:row r="1168">
      <x:c r="A1168" s="53"/>
      <x:c r="B1168" s="53"/>
      <x:c r="C1168" s="53"/>
      <x:c r="D1168" s="53"/>
      <x:c r="E1168" s="53"/>
      <x:c r="F1168" s="53"/>
      <x:c r="G1168" s="53"/>
      <x:c r="H1168" s="53"/>
      <x:c r="I1168" s="53"/>
      <x:c r="J1168" s="53"/>
      <x:c r="K1168" s="53"/>
      <x:c r="L1168" s="53"/>
      <x:c r="M1168" s="53"/>
      <x:c r="N1168" s="53"/>
      <x:c r="O1168" s="53"/>
      <x:c r="P1168" s="53"/>
      <x:c r="Q1168" s="53"/>
      <x:c r="R1168" s="53"/>
      <x:c r="S1168" s="53"/>
      <x:c r="T1168" s="53"/>
      <x:c r="U1168" s="53"/>
      <x:c r="V1168" s="53"/>
      <x:c r="W1168" s="53"/>
      <x:c r="X1168" s="53"/>
      <x:c r="Y1168" s="53"/>
      <x:c r="Z1168" s="53"/>
      <x:c r="AA1168" s="53"/>
      <x:c r="AB1168" s="53"/>
      <x:c r="AC1168" s="53"/>
      <x:c r="AD1168" s="53"/>
      <x:c r="AE1168" s="53"/>
      <x:c r="AF1168" s="53"/>
    </x:row>
    <x:row r="1169">
      <x:c r="A1169" s="53"/>
      <x:c r="B1169" s="53"/>
      <x:c r="C1169" s="53"/>
      <x:c r="D1169" s="53"/>
      <x:c r="E1169" s="53"/>
      <x:c r="F1169" s="53"/>
      <x:c r="G1169" s="53"/>
      <x:c r="H1169" s="53"/>
      <x:c r="I1169" s="53"/>
      <x:c r="J1169" s="53"/>
      <x:c r="K1169" s="53"/>
      <x:c r="L1169" s="53"/>
      <x:c r="M1169" s="53"/>
      <x:c r="N1169" s="53"/>
      <x:c r="O1169" s="53"/>
      <x:c r="P1169" s="53"/>
      <x:c r="Q1169" s="53"/>
      <x:c r="R1169" s="53"/>
      <x:c r="S1169" s="53"/>
      <x:c r="T1169" s="53"/>
      <x:c r="U1169" s="53"/>
      <x:c r="V1169" s="53"/>
      <x:c r="W1169" s="53"/>
      <x:c r="X1169" s="53"/>
      <x:c r="Y1169" s="53"/>
      <x:c r="Z1169" s="53"/>
      <x:c r="AA1169" s="53"/>
      <x:c r="AB1169" s="53"/>
      <x:c r="AC1169" s="53"/>
      <x:c r="AD1169" s="53"/>
      <x:c r="AE1169" s="53"/>
      <x:c r="AF1169" s="53"/>
    </x:row>
    <x:row r="1170">
      <x:c r="A1170" s="53"/>
      <x:c r="B1170" s="53"/>
      <x:c r="C1170" s="53"/>
      <x:c r="D1170" s="53"/>
      <x:c r="E1170" s="53"/>
      <x:c r="F1170" s="53"/>
      <x:c r="G1170" s="53"/>
      <x:c r="H1170" s="53"/>
      <x:c r="I1170" s="53"/>
      <x:c r="J1170" s="53"/>
      <x:c r="K1170" s="53"/>
      <x:c r="L1170" s="53"/>
      <x:c r="M1170" s="53"/>
      <x:c r="N1170" s="53"/>
      <x:c r="O1170" s="53"/>
      <x:c r="P1170" s="53"/>
      <x:c r="Q1170" s="53"/>
      <x:c r="R1170" s="53"/>
      <x:c r="S1170" s="53"/>
      <x:c r="T1170" s="53"/>
      <x:c r="U1170" s="53"/>
      <x:c r="V1170" s="53"/>
      <x:c r="W1170" s="53"/>
      <x:c r="X1170" s="53"/>
      <x:c r="Y1170" s="53"/>
      <x:c r="Z1170" s="53"/>
      <x:c r="AA1170" s="53"/>
      <x:c r="AB1170" s="53"/>
      <x:c r="AC1170" s="53"/>
      <x:c r="AD1170" s="53"/>
      <x:c r="AE1170" s="53"/>
      <x:c r="AF1170" s="53"/>
    </x:row>
    <x:row r="1171">
      <x:c r="A1171" s="53"/>
      <x:c r="B1171" s="53"/>
      <x:c r="C1171" s="53"/>
      <x:c r="D1171" s="53"/>
      <x:c r="E1171" s="53"/>
      <x:c r="F1171" s="53"/>
      <x:c r="G1171" s="53"/>
      <x:c r="H1171" s="53"/>
      <x:c r="I1171" s="53"/>
      <x:c r="J1171" s="53"/>
      <x:c r="K1171" s="53"/>
      <x:c r="L1171" s="53"/>
      <x:c r="M1171" s="53"/>
      <x:c r="N1171" s="53"/>
      <x:c r="O1171" s="53"/>
      <x:c r="P1171" s="53"/>
      <x:c r="Q1171" s="53"/>
      <x:c r="R1171" s="53"/>
      <x:c r="S1171" s="53"/>
      <x:c r="T1171" s="53"/>
      <x:c r="U1171" s="53"/>
      <x:c r="V1171" s="53"/>
      <x:c r="W1171" s="53"/>
      <x:c r="X1171" s="53"/>
      <x:c r="Y1171" s="53"/>
      <x:c r="Z1171" s="53"/>
      <x:c r="AA1171" s="53"/>
      <x:c r="AB1171" s="53"/>
      <x:c r="AC1171" s="53"/>
      <x:c r="AD1171" s="53"/>
      <x:c r="AE1171" s="53"/>
      <x:c r="AF1171" s="53"/>
    </x:row>
    <x:row r="1172">
      <x:c r="A1172" s="53"/>
      <x:c r="B1172" s="53"/>
      <x:c r="C1172" s="53"/>
      <x:c r="D1172" s="53"/>
      <x:c r="E1172" s="53"/>
      <x:c r="F1172" s="53"/>
      <x:c r="G1172" s="53"/>
      <x:c r="H1172" s="53"/>
      <x:c r="I1172" s="53"/>
      <x:c r="J1172" s="53"/>
      <x:c r="K1172" s="53"/>
      <x:c r="L1172" s="53"/>
      <x:c r="M1172" s="53"/>
      <x:c r="N1172" s="53"/>
      <x:c r="O1172" s="53"/>
      <x:c r="P1172" s="53"/>
      <x:c r="Q1172" s="53"/>
      <x:c r="R1172" s="53"/>
      <x:c r="S1172" s="53"/>
      <x:c r="T1172" s="53"/>
      <x:c r="U1172" s="53"/>
      <x:c r="V1172" s="53"/>
      <x:c r="W1172" s="53"/>
      <x:c r="X1172" s="53"/>
      <x:c r="Y1172" s="53"/>
      <x:c r="Z1172" s="53"/>
      <x:c r="AA1172" s="53"/>
      <x:c r="AB1172" s="53"/>
      <x:c r="AC1172" s="53"/>
      <x:c r="AD1172" s="53"/>
      <x:c r="AE1172" s="53"/>
      <x:c r="AF1172" s="53"/>
    </x:row>
    <x:row r="1173">
      <x:c r="A1173" s="53"/>
      <x:c r="B1173" s="53"/>
      <x:c r="C1173" s="53"/>
      <x:c r="D1173" s="53"/>
      <x:c r="E1173" s="53"/>
      <x:c r="F1173" s="53"/>
      <x:c r="G1173" s="53"/>
      <x:c r="H1173" s="53"/>
      <x:c r="I1173" s="53"/>
      <x:c r="J1173" s="53"/>
      <x:c r="K1173" s="53"/>
      <x:c r="L1173" s="53"/>
      <x:c r="M1173" s="53"/>
      <x:c r="N1173" s="53"/>
      <x:c r="O1173" s="53"/>
      <x:c r="P1173" s="53"/>
      <x:c r="Q1173" s="53"/>
      <x:c r="R1173" s="53"/>
      <x:c r="S1173" s="53"/>
      <x:c r="T1173" s="53"/>
      <x:c r="U1173" s="53"/>
      <x:c r="V1173" s="53"/>
      <x:c r="W1173" s="53"/>
      <x:c r="X1173" s="53"/>
      <x:c r="Y1173" s="53"/>
      <x:c r="Z1173" s="53"/>
      <x:c r="AA1173" s="53"/>
      <x:c r="AB1173" s="53"/>
      <x:c r="AC1173" s="53"/>
      <x:c r="AD1173" s="53"/>
      <x:c r="AE1173" s="53"/>
      <x:c r="AF1173" s="53"/>
    </x:row>
    <x:row r="1174">
      <x:c r="A1174" s="53"/>
      <x:c r="B1174" s="53"/>
      <x:c r="C1174" s="53"/>
      <x:c r="D1174" s="53"/>
      <x:c r="E1174" s="53"/>
      <x:c r="F1174" s="53"/>
      <x:c r="G1174" s="53"/>
      <x:c r="H1174" s="53"/>
      <x:c r="I1174" s="53"/>
      <x:c r="J1174" s="53"/>
      <x:c r="K1174" s="53"/>
      <x:c r="L1174" s="53"/>
      <x:c r="M1174" s="53"/>
      <x:c r="N1174" s="53"/>
      <x:c r="O1174" s="53"/>
      <x:c r="P1174" s="53"/>
      <x:c r="Q1174" s="53"/>
      <x:c r="R1174" s="53"/>
      <x:c r="S1174" s="53"/>
      <x:c r="T1174" s="53"/>
      <x:c r="U1174" s="53"/>
      <x:c r="V1174" s="53"/>
      <x:c r="W1174" s="53"/>
      <x:c r="X1174" s="53"/>
      <x:c r="Y1174" s="53"/>
      <x:c r="Z1174" s="53"/>
      <x:c r="AA1174" s="53"/>
      <x:c r="AB1174" s="53"/>
      <x:c r="AC1174" s="53"/>
      <x:c r="AD1174" s="53"/>
      <x:c r="AE1174" s="53"/>
      <x:c r="AF1174" s="53"/>
    </x:row>
    <x:row r="1175">
      <x:c r="A1175" s="53"/>
      <x:c r="B1175" s="53"/>
      <x:c r="C1175" s="53"/>
      <x:c r="D1175" s="53"/>
      <x:c r="E1175" s="53"/>
      <x:c r="F1175" s="53"/>
      <x:c r="G1175" s="53"/>
      <x:c r="H1175" s="53"/>
      <x:c r="I1175" s="53"/>
      <x:c r="J1175" s="53"/>
      <x:c r="K1175" s="53"/>
      <x:c r="L1175" s="53"/>
      <x:c r="M1175" s="53"/>
      <x:c r="N1175" s="53"/>
      <x:c r="O1175" s="53"/>
      <x:c r="P1175" s="53"/>
      <x:c r="Q1175" s="53"/>
      <x:c r="R1175" s="53"/>
      <x:c r="S1175" s="53"/>
      <x:c r="T1175" s="53"/>
      <x:c r="U1175" s="53"/>
      <x:c r="V1175" s="53"/>
      <x:c r="W1175" s="53"/>
      <x:c r="X1175" s="53"/>
      <x:c r="Y1175" s="53"/>
      <x:c r="Z1175" s="53"/>
      <x:c r="AA1175" s="53"/>
      <x:c r="AB1175" s="53"/>
      <x:c r="AC1175" s="53"/>
      <x:c r="AD1175" s="53"/>
      <x:c r="AE1175" s="53"/>
      <x:c r="AF1175" s="53"/>
    </x:row>
    <x:row r="1176">
      <x:c r="A1176" s="53"/>
      <x:c r="B1176" s="53"/>
      <x:c r="C1176" s="53"/>
      <x:c r="D1176" s="53"/>
      <x:c r="E1176" s="53"/>
      <x:c r="F1176" s="53"/>
      <x:c r="G1176" s="53"/>
      <x:c r="H1176" s="53"/>
      <x:c r="I1176" s="53"/>
      <x:c r="J1176" s="53"/>
      <x:c r="K1176" s="53"/>
      <x:c r="L1176" s="53"/>
      <x:c r="M1176" s="53"/>
      <x:c r="N1176" s="53"/>
      <x:c r="O1176" s="53"/>
      <x:c r="P1176" s="53"/>
      <x:c r="Q1176" s="53"/>
      <x:c r="R1176" s="53"/>
      <x:c r="S1176" s="53"/>
      <x:c r="T1176" s="53"/>
      <x:c r="U1176" s="53"/>
      <x:c r="V1176" s="53"/>
      <x:c r="W1176" s="53"/>
      <x:c r="X1176" s="53"/>
      <x:c r="Y1176" s="53"/>
      <x:c r="Z1176" s="53"/>
      <x:c r="AA1176" s="53"/>
      <x:c r="AB1176" s="53"/>
      <x:c r="AC1176" s="53"/>
      <x:c r="AD1176" s="53"/>
      <x:c r="AE1176" s="53"/>
      <x:c r="AF1176" s="53"/>
    </x:row>
    <x:row r="1177">
      <x:c r="A1177" s="53"/>
      <x:c r="B1177" s="53"/>
      <x:c r="C1177" s="53"/>
      <x:c r="D1177" s="53"/>
      <x:c r="E1177" s="53"/>
      <x:c r="F1177" s="53"/>
      <x:c r="G1177" s="53"/>
      <x:c r="H1177" s="53"/>
      <x:c r="I1177" s="53"/>
      <x:c r="J1177" s="53"/>
      <x:c r="K1177" s="53"/>
      <x:c r="L1177" s="53"/>
      <x:c r="M1177" s="53"/>
      <x:c r="N1177" s="53"/>
      <x:c r="O1177" s="53"/>
      <x:c r="P1177" s="53"/>
      <x:c r="Q1177" s="53"/>
      <x:c r="R1177" s="53"/>
      <x:c r="S1177" s="53"/>
      <x:c r="T1177" s="53"/>
      <x:c r="U1177" s="53"/>
      <x:c r="V1177" s="53"/>
      <x:c r="W1177" s="53"/>
      <x:c r="X1177" s="53"/>
      <x:c r="Y1177" s="53"/>
      <x:c r="Z1177" s="53"/>
      <x:c r="AA1177" s="53"/>
      <x:c r="AB1177" s="53"/>
      <x:c r="AC1177" s="53"/>
      <x:c r="AD1177" s="53"/>
      <x:c r="AE1177" s="53"/>
      <x:c r="AF1177" s="53"/>
    </x:row>
    <x:row r="1178">
      <x:c r="A1178" s="53"/>
      <x:c r="B1178" s="53"/>
      <x:c r="C1178" s="53"/>
      <x:c r="D1178" s="53"/>
      <x:c r="E1178" s="53"/>
      <x:c r="F1178" s="53"/>
      <x:c r="G1178" s="53"/>
      <x:c r="H1178" s="53"/>
      <x:c r="I1178" s="53"/>
      <x:c r="J1178" s="53"/>
      <x:c r="K1178" s="53"/>
      <x:c r="L1178" s="53"/>
      <x:c r="M1178" s="53"/>
      <x:c r="N1178" s="53"/>
      <x:c r="O1178" s="53"/>
      <x:c r="P1178" s="53"/>
      <x:c r="Q1178" s="53"/>
      <x:c r="R1178" s="53"/>
      <x:c r="S1178" s="53"/>
      <x:c r="T1178" s="53"/>
      <x:c r="U1178" s="53"/>
      <x:c r="V1178" s="53"/>
      <x:c r="W1178" s="53"/>
      <x:c r="X1178" s="53"/>
      <x:c r="Y1178" s="53"/>
      <x:c r="Z1178" s="53"/>
      <x:c r="AA1178" s="53"/>
      <x:c r="AB1178" s="53"/>
      <x:c r="AC1178" s="53"/>
      <x:c r="AD1178" s="53"/>
      <x:c r="AE1178" s="53"/>
      <x:c r="AF1178" s="53"/>
    </x:row>
    <x:row r="1179">
      <x:c r="A1179" s="53"/>
      <x:c r="B1179" s="53"/>
      <x:c r="C1179" s="53"/>
      <x:c r="D1179" s="53"/>
      <x:c r="E1179" s="53"/>
      <x:c r="F1179" s="53"/>
      <x:c r="G1179" s="53"/>
      <x:c r="H1179" s="53"/>
      <x:c r="I1179" s="53"/>
      <x:c r="J1179" s="53"/>
      <x:c r="K1179" s="53"/>
      <x:c r="L1179" s="53"/>
      <x:c r="M1179" s="53"/>
      <x:c r="N1179" s="53"/>
      <x:c r="O1179" s="53"/>
      <x:c r="P1179" s="53"/>
      <x:c r="Q1179" s="53"/>
      <x:c r="R1179" s="53"/>
      <x:c r="S1179" s="53"/>
      <x:c r="T1179" s="53"/>
      <x:c r="U1179" s="53"/>
      <x:c r="V1179" s="53"/>
      <x:c r="W1179" s="53"/>
      <x:c r="X1179" s="53"/>
      <x:c r="Y1179" s="53"/>
      <x:c r="Z1179" s="53"/>
      <x:c r="AA1179" s="53"/>
      <x:c r="AB1179" s="53"/>
      <x:c r="AC1179" s="53"/>
      <x:c r="AD1179" s="53"/>
      <x:c r="AE1179" s="53"/>
      <x:c r="AF1179" s="53"/>
    </x:row>
    <x:row r="1180">
      <x:c r="A1180" s="53"/>
      <x:c r="B1180" s="53"/>
      <x:c r="C1180" s="53"/>
      <x:c r="D1180" s="53"/>
      <x:c r="E1180" s="53"/>
      <x:c r="F1180" s="53"/>
      <x:c r="G1180" s="53"/>
      <x:c r="H1180" s="53"/>
      <x:c r="I1180" s="53"/>
      <x:c r="J1180" s="53"/>
      <x:c r="K1180" s="53"/>
      <x:c r="L1180" s="53"/>
      <x:c r="M1180" s="53"/>
      <x:c r="N1180" s="53"/>
      <x:c r="O1180" s="53"/>
      <x:c r="P1180" s="53"/>
      <x:c r="Q1180" s="53"/>
      <x:c r="R1180" s="53"/>
      <x:c r="S1180" s="53"/>
      <x:c r="T1180" s="53"/>
      <x:c r="U1180" s="53"/>
      <x:c r="V1180" s="53"/>
      <x:c r="W1180" s="53"/>
      <x:c r="X1180" s="53"/>
      <x:c r="Y1180" s="53"/>
      <x:c r="Z1180" s="53"/>
      <x:c r="AA1180" s="53"/>
      <x:c r="AB1180" s="53"/>
      <x:c r="AC1180" s="53"/>
      <x:c r="AD1180" s="53"/>
      <x:c r="AE1180" s="53"/>
      <x:c r="AF1180" s="53"/>
    </x:row>
    <x:row r="1181">
      <x:c r="A1181" s="53"/>
      <x:c r="B1181" s="53"/>
      <x:c r="C1181" s="53"/>
      <x:c r="D1181" s="53"/>
      <x:c r="E1181" s="53"/>
      <x:c r="F1181" s="53"/>
      <x:c r="G1181" s="53"/>
      <x:c r="H1181" s="53"/>
      <x:c r="I1181" s="53"/>
      <x:c r="J1181" s="53"/>
      <x:c r="K1181" s="53"/>
      <x:c r="L1181" s="53"/>
      <x:c r="M1181" s="53"/>
      <x:c r="N1181" s="53"/>
      <x:c r="O1181" s="53"/>
      <x:c r="P1181" s="53"/>
      <x:c r="Q1181" s="53"/>
      <x:c r="R1181" s="53"/>
      <x:c r="S1181" s="53"/>
      <x:c r="T1181" s="53"/>
      <x:c r="U1181" s="53"/>
      <x:c r="V1181" s="53"/>
      <x:c r="W1181" s="53"/>
      <x:c r="X1181" s="53"/>
      <x:c r="Y1181" s="53"/>
      <x:c r="Z1181" s="53"/>
      <x:c r="AA1181" s="53"/>
      <x:c r="AB1181" s="53"/>
      <x:c r="AC1181" s="53"/>
      <x:c r="AD1181" s="53"/>
      <x:c r="AE1181" s="53"/>
      <x:c r="AF1181" s="53"/>
    </x:row>
    <x:row r="1182">
      <x:c r="A1182" s="53"/>
      <x:c r="B1182" s="53"/>
      <x:c r="C1182" s="53"/>
      <x:c r="D1182" s="53"/>
      <x:c r="E1182" s="53"/>
      <x:c r="F1182" s="53"/>
      <x:c r="G1182" s="53"/>
      <x:c r="H1182" s="53"/>
      <x:c r="I1182" s="53"/>
      <x:c r="J1182" s="53"/>
      <x:c r="K1182" s="53"/>
      <x:c r="L1182" s="53"/>
      <x:c r="M1182" s="53"/>
      <x:c r="N1182" s="53"/>
      <x:c r="O1182" s="53"/>
      <x:c r="P1182" s="53"/>
      <x:c r="Q1182" s="53"/>
      <x:c r="R1182" s="53"/>
      <x:c r="S1182" s="53"/>
      <x:c r="T1182" s="53"/>
      <x:c r="U1182" s="53"/>
      <x:c r="V1182" s="53"/>
      <x:c r="W1182" s="53"/>
      <x:c r="X1182" s="53"/>
      <x:c r="Y1182" s="53"/>
      <x:c r="Z1182" s="53"/>
      <x:c r="AA1182" s="53"/>
      <x:c r="AB1182" s="53"/>
      <x:c r="AC1182" s="53"/>
      <x:c r="AD1182" s="53"/>
      <x:c r="AE1182" s="53"/>
      <x:c r="AF1182" s="53"/>
    </x:row>
    <x:row r="1183">
      <x:c r="A1183" s="53"/>
      <x:c r="B1183" s="53"/>
      <x:c r="C1183" s="53"/>
      <x:c r="D1183" s="53"/>
      <x:c r="E1183" s="53"/>
      <x:c r="F1183" s="53"/>
      <x:c r="G1183" s="53"/>
      <x:c r="H1183" s="53"/>
      <x:c r="I1183" s="53"/>
      <x:c r="J1183" s="53"/>
      <x:c r="K1183" s="53"/>
      <x:c r="L1183" s="53"/>
      <x:c r="M1183" s="53"/>
      <x:c r="N1183" s="53"/>
      <x:c r="O1183" s="53"/>
      <x:c r="P1183" s="53"/>
      <x:c r="Q1183" s="53"/>
      <x:c r="R1183" s="53"/>
      <x:c r="S1183" s="53"/>
      <x:c r="T1183" s="53"/>
      <x:c r="U1183" s="53"/>
      <x:c r="V1183" s="53"/>
      <x:c r="W1183" s="53"/>
      <x:c r="X1183" s="53"/>
      <x:c r="Y1183" s="53"/>
      <x:c r="Z1183" s="53"/>
      <x:c r="AA1183" s="53"/>
      <x:c r="AB1183" s="53"/>
      <x:c r="AC1183" s="53"/>
      <x:c r="AD1183" s="53"/>
      <x:c r="AE1183" s="53"/>
      <x:c r="AF1183" s="53"/>
    </x:row>
    <x:row r="1184">
      <x:c r="A1184" s="53"/>
      <x:c r="B1184" s="53"/>
      <x:c r="C1184" s="53"/>
      <x:c r="D1184" s="53"/>
      <x:c r="E1184" s="53"/>
      <x:c r="F1184" s="53"/>
      <x:c r="G1184" s="53"/>
      <x:c r="H1184" s="53"/>
      <x:c r="I1184" s="53"/>
      <x:c r="J1184" s="53"/>
      <x:c r="K1184" s="53"/>
      <x:c r="L1184" s="53"/>
      <x:c r="M1184" s="53"/>
      <x:c r="N1184" s="53"/>
      <x:c r="O1184" s="53"/>
      <x:c r="P1184" s="53"/>
      <x:c r="Q1184" s="53"/>
      <x:c r="R1184" s="53"/>
      <x:c r="S1184" s="53"/>
      <x:c r="T1184" s="53"/>
      <x:c r="U1184" s="53"/>
      <x:c r="V1184" s="53"/>
      <x:c r="W1184" s="53"/>
      <x:c r="X1184" s="53"/>
      <x:c r="Y1184" s="53"/>
      <x:c r="Z1184" s="53"/>
      <x:c r="AA1184" s="53"/>
      <x:c r="AB1184" s="53"/>
      <x:c r="AC1184" s="53"/>
      <x:c r="AD1184" s="53"/>
      <x:c r="AE1184" s="53"/>
      <x:c r="AF1184" s="53"/>
    </x:row>
    <x:row r="1185">
      <x:c r="A1185" s="53"/>
      <x:c r="B1185" s="53"/>
      <x:c r="C1185" s="53"/>
      <x:c r="D1185" s="53"/>
      <x:c r="E1185" s="53"/>
      <x:c r="F1185" s="53"/>
      <x:c r="G1185" s="53"/>
      <x:c r="H1185" s="53"/>
      <x:c r="I1185" s="53"/>
      <x:c r="J1185" s="53"/>
      <x:c r="K1185" s="53"/>
      <x:c r="L1185" s="53"/>
      <x:c r="M1185" s="53"/>
      <x:c r="N1185" s="53"/>
      <x:c r="O1185" s="53"/>
      <x:c r="P1185" s="53"/>
      <x:c r="Q1185" s="53"/>
      <x:c r="R1185" s="53"/>
      <x:c r="S1185" s="53"/>
      <x:c r="T1185" s="53"/>
      <x:c r="U1185" s="53"/>
      <x:c r="V1185" s="53"/>
      <x:c r="W1185" s="53"/>
      <x:c r="X1185" s="53"/>
      <x:c r="Y1185" s="53"/>
      <x:c r="Z1185" s="53"/>
      <x:c r="AA1185" s="53"/>
      <x:c r="AB1185" s="53"/>
      <x:c r="AC1185" s="53"/>
      <x:c r="AD1185" s="53"/>
      <x:c r="AE1185" s="53"/>
      <x:c r="AF1185" s="53"/>
    </x:row>
    <x:row r="1186">
      <x:c r="A1186" s="53"/>
      <x:c r="B1186" s="53"/>
      <x:c r="C1186" s="53"/>
      <x:c r="D1186" s="53"/>
      <x:c r="E1186" s="53"/>
      <x:c r="F1186" s="53"/>
      <x:c r="G1186" s="53"/>
      <x:c r="H1186" s="53"/>
      <x:c r="I1186" s="53"/>
      <x:c r="J1186" s="53"/>
      <x:c r="K1186" s="53"/>
      <x:c r="L1186" s="53"/>
      <x:c r="M1186" s="53"/>
      <x:c r="N1186" s="53"/>
      <x:c r="O1186" s="53"/>
      <x:c r="P1186" s="53"/>
      <x:c r="Q1186" s="53"/>
      <x:c r="R1186" s="53"/>
      <x:c r="S1186" s="53"/>
      <x:c r="T1186" s="53"/>
      <x:c r="U1186" s="53"/>
      <x:c r="V1186" s="53"/>
      <x:c r="W1186" s="53"/>
      <x:c r="X1186" s="53"/>
      <x:c r="Y1186" s="53"/>
      <x:c r="Z1186" s="53"/>
      <x:c r="AA1186" s="53"/>
      <x:c r="AB1186" s="53"/>
      <x:c r="AC1186" s="53"/>
      <x:c r="AD1186" s="53"/>
      <x:c r="AE1186" s="53"/>
      <x:c r="AF1186" s="53"/>
    </x:row>
    <x:row r="1187">
      <x:c r="A1187" s="53"/>
      <x:c r="B1187" s="53"/>
      <x:c r="C1187" s="53"/>
      <x:c r="D1187" s="53"/>
      <x:c r="E1187" s="53"/>
      <x:c r="F1187" s="53"/>
      <x:c r="G1187" s="53"/>
      <x:c r="H1187" s="53"/>
      <x:c r="I1187" s="53"/>
      <x:c r="J1187" s="53"/>
      <x:c r="K1187" s="53"/>
      <x:c r="L1187" s="53"/>
      <x:c r="M1187" s="53"/>
      <x:c r="N1187" s="53"/>
      <x:c r="O1187" s="53"/>
      <x:c r="P1187" s="53"/>
      <x:c r="Q1187" s="53"/>
      <x:c r="R1187" s="53"/>
      <x:c r="S1187" s="53"/>
      <x:c r="T1187" s="53"/>
      <x:c r="U1187" s="53"/>
      <x:c r="V1187" s="53"/>
      <x:c r="W1187" s="53"/>
      <x:c r="X1187" s="53"/>
      <x:c r="Y1187" s="53"/>
      <x:c r="Z1187" s="53"/>
      <x:c r="AA1187" s="53"/>
      <x:c r="AB1187" s="53"/>
      <x:c r="AC1187" s="53"/>
      <x:c r="AD1187" s="53"/>
      <x:c r="AE1187" s="53"/>
      <x:c r="AF1187" s="53"/>
    </x:row>
    <x:row r="1188">
      <x:c r="A1188" s="53"/>
      <x:c r="B1188" s="53"/>
      <x:c r="C1188" s="53"/>
      <x:c r="D1188" s="53"/>
      <x:c r="E1188" s="53"/>
      <x:c r="F1188" s="53"/>
      <x:c r="G1188" s="53"/>
      <x:c r="H1188" s="53"/>
      <x:c r="I1188" s="53"/>
      <x:c r="J1188" s="53"/>
      <x:c r="K1188" s="53"/>
      <x:c r="L1188" s="53"/>
      <x:c r="M1188" s="53"/>
      <x:c r="N1188" s="53"/>
      <x:c r="O1188" s="53"/>
      <x:c r="P1188" s="53"/>
      <x:c r="Q1188" s="53"/>
      <x:c r="R1188" s="53"/>
      <x:c r="S1188" s="53"/>
      <x:c r="T1188" s="53"/>
      <x:c r="U1188" s="53"/>
      <x:c r="V1188" s="53"/>
      <x:c r="W1188" s="53"/>
      <x:c r="X1188" s="53"/>
      <x:c r="Y1188" s="53"/>
      <x:c r="Z1188" s="53"/>
      <x:c r="AA1188" s="53"/>
      <x:c r="AB1188" s="53"/>
      <x:c r="AC1188" s="53"/>
      <x:c r="AD1188" s="53"/>
      <x:c r="AE1188" s="53"/>
      <x:c r="AF1188" s="53"/>
    </x:row>
    <x:row r="1189">
      <x:c r="A1189" s="53"/>
      <x:c r="B1189" s="53"/>
      <x:c r="C1189" s="53"/>
      <x:c r="D1189" s="53"/>
      <x:c r="E1189" s="53"/>
      <x:c r="F1189" s="53"/>
      <x:c r="G1189" s="53"/>
      <x:c r="H1189" s="53"/>
      <x:c r="I1189" s="53"/>
      <x:c r="J1189" s="53"/>
      <x:c r="K1189" s="53"/>
      <x:c r="L1189" s="53"/>
      <x:c r="M1189" s="53"/>
      <x:c r="N1189" s="53"/>
      <x:c r="O1189" s="53"/>
      <x:c r="P1189" s="53"/>
      <x:c r="Q1189" s="53"/>
      <x:c r="R1189" s="53"/>
      <x:c r="S1189" s="53"/>
      <x:c r="T1189" s="53"/>
      <x:c r="U1189" s="53"/>
      <x:c r="V1189" s="53"/>
      <x:c r="W1189" s="53"/>
      <x:c r="X1189" s="53"/>
      <x:c r="Y1189" s="53"/>
      <x:c r="Z1189" s="53"/>
      <x:c r="AA1189" s="53"/>
      <x:c r="AB1189" s="53"/>
      <x:c r="AC1189" s="53"/>
      <x:c r="AD1189" s="53"/>
      <x:c r="AE1189" s="53"/>
      <x:c r="AF1189" s="53"/>
    </x:row>
    <x:row r="1190">
      <x:c r="A1190" s="53"/>
      <x:c r="B1190" s="53"/>
      <x:c r="C1190" s="53"/>
      <x:c r="D1190" s="53"/>
      <x:c r="E1190" s="53"/>
      <x:c r="F1190" s="53"/>
      <x:c r="G1190" s="53"/>
      <x:c r="H1190" s="53"/>
      <x:c r="I1190" s="53"/>
      <x:c r="J1190" s="53"/>
      <x:c r="K1190" s="53"/>
      <x:c r="L1190" s="53"/>
      <x:c r="M1190" s="53"/>
      <x:c r="N1190" s="53"/>
      <x:c r="O1190" s="53"/>
      <x:c r="P1190" s="53"/>
      <x:c r="Q1190" s="53"/>
      <x:c r="R1190" s="53"/>
      <x:c r="S1190" s="53"/>
      <x:c r="T1190" s="53"/>
      <x:c r="U1190" s="53"/>
      <x:c r="V1190" s="53"/>
      <x:c r="W1190" s="53"/>
      <x:c r="X1190" s="53"/>
      <x:c r="Y1190" s="53"/>
      <x:c r="Z1190" s="53"/>
      <x:c r="AA1190" s="53"/>
      <x:c r="AB1190" s="53"/>
      <x:c r="AC1190" s="53"/>
      <x:c r="AD1190" s="53"/>
      <x:c r="AE1190" s="53"/>
      <x:c r="AF1190" s="53"/>
    </x:row>
    <x:row r="1191">
      <x:c r="A1191" s="53"/>
      <x:c r="B1191" s="53"/>
      <x:c r="C1191" s="53"/>
      <x:c r="D1191" s="53"/>
      <x:c r="E1191" s="53"/>
      <x:c r="F1191" s="53"/>
      <x:c r="G1191" s="53"/>
      <x:c r="H1191" s="53"/>
      <x:c r="I1191" s="53"/>
      <x:c r="J1191" s="53"/>
      <x:c r="K1191" s="53"/>
      <x:c r="L1191" s="53"/>
      <x:c r="M1191" s="53"/>
      <x:c r="N1191" s="53"/>
      <x:c r="O1191" s="53"/>
      <x:c r="P1191" s="53"/>
      <x:c r="Q1191" s="53"/>
      <x:c r="R1191" s="53"/>
      <x:c r="S1191" s="53"/>
      <x:c r="T1191" s="53"/>
      <x:c r="U1191" s="53"/>
      <x:c r="V1191" s="53"/>
      <x:c r="W1191" s="53"/>
      <x:c r="X1191" s="53"/>
      <x:c r="Y1191" s="53"/>
      <x:c r="Z1191" s="53"/>
      <x:c r="AA1191" s="53"/>
      <x:c r="AB1191" s="53"/>
      <x:c r="AC1191" s="53"/>
      <x:c r="AD1191" s="53"/>
      <x:c r="AE1191" s="53"/>
      <x:c r="AF1191" s="53"/>
    </x:row>
    <x:row r="1192">
      <x:c r="A1192" s="53"/>
      <x:c r="B1192" s="53"/>
      <x:c r="C1192" s="53"/>
      <x:c r="D1192" s="53"/>
      <x:c r="E1192" s="53"/>
      <x:c r="F1192" s="53"/>
      <x:c r="G1192" s="53"/>
      <x:c r="H1192" s="53"/>
      <x:c r="I1192" s="53"/>
      <x:c r="J1192" s="53"/>
      <x:c r="K1192" s="53"/>
      <x:c r="L1192" s="53"/>
      <x:c r="M1192" s="53"/>
      <x:c r="N1192" s="53"/>
      <x:c r="O1192" s="53"/>
      <x:c r="P1192" s="53"/>
      <x:c r="Q1192" s="53"/>
      <x:c r="R1192" s="53"/>
      <x:c r="S1192" s="53"/>
      <x:c r="T1192" s="53"/>
      <x:c r="U1192" s="53"/>
      <x:c r="V1192" s="53"/>
      <x:c r="W1192" s="53"/>
      <x:c r="X1192" s="53"/>
      <x:c r="Y1192" s="53"/>
      <x:c r="Z1192" s="53"/>
      <x:c r="AA1192" s="53"/>
      <x:c r="AB1192" s="53"/>
      <x:c r="AC1192" s="53"/>
      <x:c r="AD1192" s="53"/>
      <x:c r="AE1192" s="53"/>
      <x:c r="AF1192" s="53"/>
    </x:row>
    <x:row r="1193">
      <x:c r="A1193" s="53"/>
      <x:c r="B1193" s="53"/>
      <x:c r="C1193" s="53"/>
      <x:c r="D1193" s="53"/>
      <x:c r="E1193" s="53"/>
      <x:c r="F1193" s="53"/>
      <x:c r="G1193" s="53"/>
      <x:c r="H1193" s="53"/>
      <x:c r="I1193" s="53"/>
      <x:c r="J1193" s="53"/>
      <x:c r="K1193" s="53"/>
      <x:c r="L1193" s="53"/>
      <x:c r="M1193" s="53"/>
      <x:c r="N1193" s="53"/>
      <x:c r="O1193" s="53"/>
      <x:c r="P1193" s="53"/>
      <x:c r="Q1193" s="53"/>
      <x:c r="R1193" s="53"/>
      <x:c r="S1193" s="53"/>
      <x:c r="T1193" s="53"/>
      <x:c r="U1193" s="53"/>
      <x:c r="V1193" s="53"/>
      <x:c r="W1193" s="53"/>
      <x:c r="X1193" s="53"/>
      <x:c r="Y1193" s="53"/>
      <x:c r="Z1193" s="53"/>
      <x:c r="AA1193" s="53"/>
      <x:c r="AB1193" s="53"/>
      <x:c r="AC1193" s="53"/>
      <x:c r="AD1193" s="53"/>
      <x:c r="AE1193" s="53"/>
      <x:c r="AF1193" s="53"/>
    </x:row>
    <x:row r="1194">
      <x:c r="A1194" s="53"/>
      <x:c r="B1194" s="53"/>
      <x:c r="C1194" s="53"/>
      <x:c r="D1194" s="53"/>
      <x:c r="E1194" s="53"/>
      <x:c r="F1194" s="53"/>
      <x:c r="G1194" s="53"/>
      <x:c r="H1194" s="53"/>
      <x:c r="I1194" s="53"/>
      <x:c r="J1194" s="53"/>
      <x:c r="K1194" s="53"/>
      <x:c r="L1194" s="53"/>
      <x:c r="M1194" s="53"/>
      <x:c r="N1194" s="53"/>
      <x:c r="O1194" s="53"/>
      <x:c r="P1194" s="53"/>
      <x:c r="Q1194" s="53"/>
      <x:c r="R1194" s="53"/>
      <x:c r="S1194" s="53"/>
      <x:c r="T1194" s="53"/>
      <x:c r="U1194" s="53"/>
      <x:c r="V1194" s="53"/>
      <x:c r="W1194" s="53"/>
      <x:c r="X1194" s="53"/>
      <x:c r="Y1194" s="53"/>
      <x:c r="Z1194" s="53"/>
      <x:c r="AA1194" s="53"/>
      <x:c r="AB1194" s="53"/>
      <x:c r="AC1194" s="53"/>
      <x:c r="AD1194" s="53"/>
      <x:c r="AE1194" s="53"/>
      <x:c r="AF1194" s="53"/>
    </x:row>
    <x:row r="1195">
      <x:c r="A1195" s="53"/>
      <x:c r="B1195" s="53"/>
      <x:c r="C1195" s="53"/>
      <x:c r="D1195" s="53"/>
      <x:c r="E1195" s="53"/>
      <x:c r="F1195" s="53"/>
      <x:c r="G1195" s="53"/>
      <x:c r="H1195" s="53"/>
      <x:c r="I1195" s="53"/>
      <x:c r="J1195" s="53"/>
      <x:c r="K1195" s="53"/>
      <x:c r="L1195" s="53"/>
      <x:c r="M1195" s="53"/>
      <x:c r="N1195" s="53"/>
      <x:c r="O1195" s="53"/>
      <x:c r="P1195" s="53"/>
      <x:c r="Q1195" s="53"/>
      <x:c r="R1195" s="53"/>
      <x:c r="S1195" s="53"/>
      <x:c r="T1195" s="53"/>
      <x:c r="U1195" s="53"/>
      <x:c r="V1195" s="53"/>
      <x:c r="W1195" s="53"/>
      <x:c r="X1195" s="53"/>
      <x:c r="Y1195" s="53"/>
      <x:c r="Z1195" s="53"/>
      <x:c r="AA1195" s="53"/>
      <x:c r="AB1195" s="53"/>
      <x:c r="AC1195" s="53"/>
      <x:c r="AD1195" s="53"/>
      <x:c r="AE1195" s="53"/>
      <x:c r="AF1195" s="53"/>
    </x:row>
    <x:row r="1196">
      <x:c r="A1196" s="53"/>
      <x:c r="B1196" s="53"/>
      <x:c r="C1196" s="53"/>
      <x:c r="D1196" s="53"/>
      <x:c r="E1196" s="53"/>
      <x:c r="F1196" s="53"/>
      <x:c r="G1196" s="53"/>
      <x:c r="H1196" s="53"/>
      <x:c r="I1196" s="53"/>
      <x:c r="J1196" s="53"/>
      <x:c r="K1196" s="53"/>
      <x:c r="L1196" s="53"/>
      <x:c r="M1196" s="53"/>
      <x:c r="N1196" s="53"/>
      <x:c r="O1196" s="53"/>
      <x:c r="P1196" s="53"/>
      <x:c r="Q1196" s="53"/>
      <x:c r="R1196" s="53"/>
      <x:c r="S1196" s="53"/>
      <x:c r="T1196" s="53"/>
      <x:c r="U1196" s="53"/>
      <x:c r="V1196" s="53"/>
      <x:c r="W1196" s="53"/>
      <x:c r="X1196" s="53"/>
      <x:c r="Y1196" s="53"/>
      <x:c r="Z1196" s="53"/>
      <x:c r="AA1196" s="53"/>
      <x:c r="AB1196" s="53"/>
      <x:c r="AC1196" s="53"/>
      <x:c r="AD1196" s="53"/>
      <x:c r="AE1196" s="53"/>
      <x:c r="AF1196" s="53"/>
    </x:row>
    <x:row r="1197">
      <x:c r="A1197" s="53"/>
      <x:c r="B1197" s="53"/>
      <x:c r="C1197" s="53"/>
      <x:c r="D1197" s="53"/>
      <x:c r="E1197" s="53"/>
      <x:c r="F1197" s="53"/>
      <x:c r="G1197" s="53"/>
      <x:c r="H1197" s="53"/>
      <x:c r="I1197" s="53"/>
      <x:c r="J1197" s="53"/>
      <x:c r="K1197" s="53"/>
      <x:c r="L1197" s="53"/>
      <x:c r="M1197" s="53"/>
      <x:c r="N1197" s="53"/>
      <x:c r="O1197" s="53"/>
      <x:c r="P1197" s="53"/>
      <x:c r="Q1197" s="53"/>
      <x:c r="R1197" s="53"/>
      <x:c r="S1197" s="53"/>
      <x:c r="T1197" s="53"/>
      <x:c r="U1197" s="53"/>
      <x:c r="V1197" s="53"/>
      <x:c r="W1197" s="53"/>
      <x:c r="X1197" s="53"/>
      <x:c r="Y1197" s="53"/>
      <x:c r="Z1197" s="53"/>
      <x:c r="AA1197" s="53"/>
      <x:c r="AB1197" s="53"/>
      <x:c r="AC1197" s="53"/>
      <x:c r="AD1197" s="53"/>
      <x:c r="AE1197" s="53"/>
      <x:c r="AF1197" s="53"/>
    </x:row>
    <x:row r="1198">
      <x:c r="A1198" s="53"/>
      <x:c r="B1198" s="53"/>
      <x:c r="C1198" s="53"/>
      <x:c r="D1198" s="53"/>
      <x:c r="E1198" s="53"/>
      <x:c r="F1198" s="53"/>
      <x:c r="G1198" s="53"/>
      <x:c r="H1198" s="53"/>
      <x:c r="I1198" s="53"/>
      <x:c r="J1198" s="53"/>
      <x:c r="K1198" s="53"/>
      <x:c r="L1198" s="53"/>
      <x:c r="M1198" s="53"/>
      <x:c r="N1198" s="53"/>
      <x:c r="O1198" s="53"/>
      <x:c r="P1198" s="53"/>
      <x:c r="Q1198" s="53"/>
      <x:c r="R1198" s="53"/>
      <x:c r="S1198" s="53"/>
      <x:c r="T1198" s="53"/>
      <x:c r="U1198" s="53"/>
      <x:c r="V1198" s="53"/>
      <x:c r="W1198" s="53"/>
      <x:c r="X1198" s="53"/>
      <x:c r="Y1198" s="53"/>
      <x:c r="Z1198" s="53"/>
      <x:c r="AA1198" s="53"/>
      <x:c r="AB1198" s="53"/>
      <x:c r="AC1198" s="53"/>
      <x:c r="AD1198" s="53"/>
      <x:c r="AE1198" s="53"/>
      <x:c r="AF1198" s="53"/>
    </x:row>
    <x:row r="1199">
      <x:c r="A1199" s="53"/>
      <x:c r="B1199" s="53"/>
      <x:c r="C1199" s="53"/>
      <x:c r="D1199" s="53"/>
      <x:c r="E1199" s="53"/>
      <x:c r="F1199" s="53"/>
      <x:c r="G1199" s="53"/>
      <x:c r="H1199" s="53"/>
      <x:c r="I1199" s="53"/>
      <x:c r="J1199" s="53"/>
      <x:c r="K1199" s="53"/>
      <x:c r="L1199" s="53"/>
      <x:c r="M1199" s="53"/>
      <x:c r="N1199" s="53"/>
      <x:c r="O1199" s="53"/>
      <x:c r="P1199" s="53"/>
      <x:c r="Q1199" s="53"/>
      <x:c r="R1199" s="53"/>
      <x:c r="S1199" s="53"/>
      <x:c r="T1199" s="53"/>
      <x:c r="U1199" s="53"/>
      <x:c r="V1199" s="53"/>
      <x:c r="W1199" s="53"/>
      <x:c r="X1199" s="53"/>
      <x:c r="Y1199" s="53"/>
      <x:c r="Z1199" s="53"/>
      <x:c r="AA1199" s="53"/>
      <x:c r="AB1199" s="53"/>
      <x:c r="AC1199" s="53"/>
      <x:c r="AD1199" s="53"/>
      <x:c r="AE1199" s="53"/>
      <x:c r="AF1199" s="53"/>
    </x:row>
    <x:row r="1200">
      <x:c r="A1200" s="53"/>
      <x:c r="B1200" s="53"/>
      <x:c r="C1200" s="53"/>
      <x:c r="D1200" s="53"/>
      <x:c r="E1200" s="53"/>
      <x:c r="F1200" s="53"/>
      <x:c r="G1200" s="53"/>
      <x:c r="H1200" s="53"/>
      <x:c r="I1200" s="53"/>
      <x:c r="J1200" s="53"/>
      <x:c r="K1200" s="53"/>
      <x:c r="L1200" s="53"/>
      <x:c r="M1200" s="53"/>
      <x:c r="N1200" s="53"/>
      <x:c r="O1200" s="53"/>
      <x:c r="P1200" s="53"/>
      <x:c r="Q1200" s="53"/>
      <x:c r="R1200" s="53"/>
      <x:c r="S1200" s="53"/>
      <x:c r="T1200" s="53"/>
      <x:c r="U1200" s="53"/>
      <x:c r="V1200" s="53"/>
      <x:c r="W1200" s="53"/>
      <x:c r="X1200" s="53"/>
      <x:c r="Y1200" s="53"/>
      <x:c r="Z1200" s="53"/>
      <x:c r="AA1200" s="53"/>
      <x:c r="AB1200" s="53"/>
      <x:c r="AC1200" s="53"/>
      <x:c r="AD1200" s="53"/>
      <x:c r="AE1200" s="53"/>
      <x:c r="AF1200" s="53"/>
    </x:row>
    <x:row r="1201">
      <x:c r="A1201" s="53"/>
      <x:c r="B1201" s="53"/>
      <x:c r="C1201" s="53"/>
      <x:c r="D1201" s="53"/>
      <x:c r="E1201" s="53"/>
      <x:c r="F1201" s="53"/>
      <x:c r="G1201" s="53"/>
      <x:c r="H1201" s="53"/>
      <x:c r="I1201" s="53"/>
      <x:c r="J1201" s="53"/>
      <x:c r="K1201" s="53"/>
      <x:c r="L1201" s="53"/>
      <x:c r="M1201" s="53"/>
      <x:c r="N1201" s="53"/>
      <x:c r="O1201" s="53"/>
      <x:c r="P1201" s="53"/>
      <x:c r="Q1201" s="53"/>
      <x:c r="R1201" s="53"/>
      <x:c r="S1201" s="53"/>
      <x:c r="T1201" s="53"/>
      <x:c r="U1201" s="53"/>
      <x:c r="V1201" s="53"/>
      <x:c r="W1201" s="53"/>
      <x:c r="X1201" s="53"/>
      <x:c r="Y1201" s="53"/>
      <x:c r="Z1201" s="53"/>
      <x:c r="AA1201" s="53"/>
      <x:c r="AB1201" s="53"/>
      <x:c r="AC1201" s="53"/>
      <x:c r="AD1201" s="53"/>
      <x:c r="AE1201" s="53"/>
      <x:c r="AF1201" s="53"/>
    </x:row>
    <x:row r="1202">
      <x:c r="A1202" s="53"/>
      <x:c r="B1202" s="53"/>
      <x:c r="C1202" s="53"/>
      <x:c r="D1202" s="53"/>
      <x:c r="E1202" s="53"/>
      <x:c r="F1202" s="53"/>
      <x:c r="G1202" s="53"/>
      <x:c r="H1202" s="53"/>
      <x:c r="I1202" s="53"/>
      <x:c r="J1202" s="53"/>
      <x:c r="K1202" s="53"/>
      <x:c r="L1202" s="53"/>
      <x:c r="M1202" s="53"/>
      <x:c r="N1202" s="53"/>
      <x:c r="O1202" s="53"/>
      <x:c r="P1202" s="53"/>
      <x:c r="Q1202" s="53"/>
      <x:c r="R1202" s="53"/>
      <x:c r="S1202" s="53"/>
      <x:c r="T1202" s="53"/>
      <x:c r="U1202" s="53"/>
      <x:c r="V1202" s="53"/>
      <x:c r="W1202" s="53"/>
      <x:c r="X1202" s="53"/>
      <x:c r="Y1202" s="53"/>
      <x:c r="Z1202" s="53"/>
      <x:c r="AA1202" s="53"/>
      <x:c r="AB1202" s="53"/>
      <x:c r="AC1202" s="53"/>
      <x:c r="AD1202" s="53"/>
      <x:c r="AE1202" s="53"/>
      <x:c r="AF1202" s="53"/>
    </x:row>
    <x:row r="1203">
      <x:c r="A1203" s="53"/>
      <x:c r="B1203" s="53"/>
      <x:c r="C1203" s="53"/>
      <x:c r="D1203" s="53"/>
      <x:c r="E1203" s="53"/>
      <x:c r="F1203" s="53"/>
      <x:c r="G1203" s="53"/>
      <x:c r="H1203" s="53"/>
      <x:c r="I1203" s="53"/>
      <x:c r="J1203" s="53"/>
      <x:c r="K1203" s="53"/>
      <x:c r="L1203" s="53"/>
      <x:c r="M1203" s="53"/>
      <x:c r="N1203" s="53"/>
      <x:c r="O1203" s="53"/>
      <x:c r="P1203" s="53"/>
      <x:c r="Q1203" s="53"/>
      <x:c r="R1203" s="53"/>
      <x:c r="S1203" s="53"/>
      <x:c r="T1203" s="53"/>
      <x:c r="U1203" s="53"/>
      <x:c r="V1203" s="53"/>
      <x:c r="W1203" s="53"/>
      <x:c r="X1203" s="53"/>
      <x:c r="Y1203" s="53"/>
      <x:c r="Z1203" s="53"/>
      <x:c r="AA1203" s="53"/>
      <x:c r="AB1203" s="53"/>
      <x:c r="AC1203" s="53"/>
      <x:c r="AD1203" s="53"/>
      <x:c r="AE1203" s="53"/>
      <x:c r="AF1203" s="53"/>
    </x:row>
    <x:row r="1204">
      <x:c r="A1204" s="53"/>
      <x:c r="B1204" s="53"/>
      <x:c r="C1204" s="53"/>
      <x:c r="D1204" s="53"/>
      <x:c r="E1204" s="53"/>
      <x:c r="F1204" s="53"/>
      <x:c r="G1204" s="53"/>
      <x:c r="H1204" s="53"/>
      <x:c r="I1204" s="53"/>
      <x:c r="J1204" s="53"/>
      <x:c r="K1204" s="53"/>
      <x:c r="L1204" s="53"/>
      <x:c r="M1204" s="53"/>
      <x:c r="N1204" s="53"/>
      <x:c r="O1204" s="53"/>
      <x:c r="P1204" s="53"/>
      <x:c r="Q1204" s="53"/>
      <x:c r="R1204" s="53"/>
      <x:c r="S1204" s="53"/>
      <x:c r="T1204" s="53"/>
      <x:c r="U1204" s="53"/>
      <x:c r="V1204" s="53"/>
      <x:c r="W1204" s="53"/>
      <x:c r="X1204" s="53"/>
      <x:c r="Y1204" s="53"/>
      <x:c r="Z1204" s="53"/>
      <x:c r="AA1204" s="53"/>
      <x:c r="AB1204" s="53"/>
      <x:c r="AC1204" s="53"/>
      <x:c r="AD1204" s="53"/>
      <x:c r="AE1204" s="53"/>
      <x:c r="AF1204" s="53"/>
    </x:row>
    <x:row r="1205">
      <x:c r="A1205" s="53"/>
      <x:c r="B1205" s="53"/>
      <x:c r="C1205" s="53"/>
      <x:c r="D1205" s="53"/>
      <x:c r="E1205" s="53"/>
      <x:c r="F1205" s="53"/>
      <x:c r="G1205" s="53"/>
      <x:c r="H1205" s="53"/>
      <x:c r="I1205" s="53"/>
      <x:c r="J1205" s="53"/>
      <x:c r="K1205" s="53"/>
      <x:c r="L1205" s="53"/>
      <x:c r="M1205" s="53"/>
      <x:c r="N1205" s="53"/>
      <x:c r="O1205" s="53"/>
      <x:c r="P1205" s="53"/>
      <x:c r="Q1205" s="53"/>
      <x:c r="R1205" s="53"/>
      <x:c r="S1205" s="53"/>
      <x:c r="T1205" s="53"/>
      <x:c r="U1205" s="53"/>
      <x:c r="V1205" s="53"/>
      <x:c r="W1205" s="53"/>
      <x:c r="X1205" s="53"/>
      <x:c r="Y1205" s="53"/>
      <x:c r="Z1205" s="53"/>
      <x:c r="AA1205" s="53"/>
      <x:c r="AB1205" s="53"/>
      <x:c r="AC1205" s="53"/>
      <x:c r="AD1205" s="53"/>
      <x:c r="AE1205" s="53"/>
      <x:c r="AF1205" s="53"/>
    </x:row>
    <x:row r="1206">
      <x:c r="A1206" s="53"/>
      <x:c r="B1206" s="53"/>
      <x:c r="C1206" s="53"/>
      <x:c r="D1206" s="53"/>
      <x:c r="E1206" s="53"/>
      <x:c r="F1206" s="53"/>
      <x:c r="G1206" s="53"/>
      <x:c r="H1206" s="53"/>
      <x:c r="I1206" s="53"/>
      <x:c r="J1206" s="53"/>
      <x:c r="K1206" s="53"/>
      <x:c r="L1206" s="53"/>
      <x:c r="M1206" s="53"/>
      <x:c r="N1206" s="53"/>
      <x:c r="O1206" s="53"/>
      <x:c r="P1206" s="53"/>
      <x:c r="Q1206" s="53"/>
      <x:c r="R1206" s="53"/>
      <x:c r="S1206" s="53"/>
      <x:c r="T1206" s="53"/>
      <x:c r="U1206" s="53"/>
      <x:c r="V1206" s="53"/>
      <x:c r="W1206" s="53"/>
      <x:c r="X1206" s="53"/>
      <x:c r="Y1206" s="53"/>
      <x:c r="Z1206" s="53"/>
      <x:c r="AA1206" s="53"/>
      <x:c r="AB1206" s="53"/>
      <x:c r="AC1206" s="53"/>
      <x:c r="AD1206" s="53"/>
      <x:c r="AE1206" s="53"/>
      <x:c r="AF1206" s="53"/>
    </x:row>
    <x:row r="1207">
      <x:c r="A1207" s="53"/>
      <x:c r="B1207" s="53"/>
      <x:c r="C1207" s="53"/>
      <x:c r="D1207" s="53"/>
      <x:c r="E1207" s="53"/>
      <x:c r="F1207" s="53"/>
      <x:c r="G1207" s="53"/>
      <x:c r="H1207" s="53"/>
      <x:c r="I1207" s="53"/>
      <x:c r="J1207" s="53"/>
      <x:c r="K1207" s="53"/>
      <x:c r="L1207" s="53"/>
      <x:c r="M1207" s="53"/>
      <x:c r="N1207" s="53"/>
      <x:c r="O1207" s="53"/>
      <x:c r="P1207" s="53"/>
      <x:c r="Q1207" s="53"/>
      <x:c r="R1207" s="53"/>
      <x:c r="S1207" s="53"/>
      <x:c r="T1207" s="53"/>
      <x:c r="U1207" s="53"/>
      <x:c r="V1207" s="53"/>
      <x:c r="W1207" s="53"/>
      <x:c r="X1207" s="53"/>
      <x:c r="Y1207" s="53"/>
      <x:c r="Z1207" s="53"/>
      <x:c r="AA1207" s="53"/>
      <x:c r="AB1207" s="53"/>
      <x:c r="AC1207" s="53"/>
      <x:c r="AD1207" s="53"/>
      <x:c r="AE1207" s="53"/>
      <x:c r="AF1207" s="53"/>
    </x:row>
    <x:row r="1208">
      <x:c r="A1208" s="53"/>
      <x:c r="B1208" s="53"/>
      <x:c r="C1208" s="53"/>
      <x:c r="D1208" s="53"/>
      <x:c r="E1208" s="53"/>
      <x:c r="F1208" s="53"/>
      <x:c r="G1208" s="53"/>
      <x:c r="H1208" s="53"/>
      <x:c r="I1208" s="53"/>
      <x:c r="J1208" s="53"/>
      <x:c r="K1208" s="53"/>
      <x:c r="L1208" s="53"/>
      <x:c r="M1208" s="53"/>
      <x:c r="N1208" s="53"/>
      <x:c r="O1208" s="53"/>
      <x:c r="P1208" s="53"/>
      <x:c r="Q1208" s="53"/>
      <x:c r="R1208" s="53"/>
      <x:c r="S1208" s="53"/>
      <x:c r="T1208" s="53"/>
      <x:c r="U1208" s="53"/>
      <x:c r="V1208" s="53"/>
      <x:c r="W1208" s="53"/>
      <x:c r="X1208" s="53"/>
      <x:c r="Y1208" s="53"/>
      <x:c r="Z1208" s="53"/>
      <x:c r="AA1208" s="53"/>
      <x:c r="AB1208" s="53"/>
      <x:c r="AC1208" s="53"/>
      <x:c r="AD1208" s="53"/>
      <x:c r="AE1208" s="53"/>
      <x:c r="AF1208" s="53"/>
    </x:row>
    <x:row r="1209">
      <x:c r="A1209" s="53"/>
      <x:c r="B1209" s="53"/>
      <x:c r="C1209" s="53"/>
      <x:c r="D1209" s="53"/>
      <x:c r="E1209" s="53"/>
      <x:c r="F1209" s="53"/>
      <x:c r="G1209" s="53"/>
      <x:c r="H1209" s="53"/>
      <x:c r="I1209" s="53"/>
      <x:c r="J1209" s="53"/>
      <x:c r="K1209" s="53"/>
      <x:c r="L1209" s="53"/>
      <x:c r="M1209" s="53"/>
      <x:c r="N1209" s="53"/>
      <x:c r="O1209" s="53"/>
      <x:c r="P1209" s="53"/>
      <x:c r="Q1209" s="53"/>
      <x:c r="R1209" s="53"/>
      <x:c r="S1209" s="53"/>
      <x:c r="T1209" s="53"/>
      <x:c r="U1209" s="53"/>
      <x:c r="V1209" s="53"/>
      <x:c r="W1209" s="53"/>
      <x:c r="X1209" s="53"/>
      <x:c r="Y1209" s="53"/>
      <x:c r="Z1209" s="53"/>
      <x:c r="AA1209" s="53"/>
      <x:c r="AB1209" s="53"/>
      <x:c r="AC1209" s="53"/>
      <x:c r="AD1209" s="53"/>
      <x:c r="AE1209" s="53"/>
      <x:c r="AF1209" s="53"/>
    </x:row>
    <x:row r="1210">
      <x:c r="A1210" s="53"/>
      <x:c r="B1210" s="53"/>
      <x:c r="C1210" s="53"/>
      <x:c r="D1210" s="53"/>
      <x:c r="E1210" s="53"/>
      <x:c r="F1210" s="53"/>
      <x:c r="G1210" s="53"/>
      <x:c r="H1210" s="53"/>
      <x:c r="I1210" s="53"/>
      <x:c r="J1210" s="53"/>
      <x:c r="K1210" s="53"/>
      <x:c r="L1210" s="53"/>
      <x:c r="M1210" s="53"/>
      <x:c r="N1210" s="53"/>
      <x:c r="O1210" s="53"/>
      <x:c r="P1210" s="53"/>
      <x:c r="Q1210" s="53"/>
      <x:c r="R1210" s="53"/>
      <x:c r="S1210" s="53"/>
      <x:c r="T1210" s="53"/>
      <x:c r="U1210" s="53"/>
      <x:c r="V1210" s="53"/>
      <x:c r="W1210" s="53"/>
      <x:c r="X1210" s="53"/>
      <x:c r="Y1210" s="53"/>
      <x:c r="Z1210" s="53"/>
      <x:c r="AA1210" s="53"/>
      <x:c r="AB1210" s="53"/>
      <x:c r="AC1210" s="53"/>
      <x:c r="AD1210" s="53"/>
      <x:c r="AE1210" s="53"/>
      <x:c r="AF1210" s="53"/>
    </x:row>
    <x:row r="1211">
      <x:c r="A1211" s="53"/>
      <x:c r="B1211" s="53"/>
      <x:c r="C1211" s="53"/>
      <x:c r="D1211" s="53"/>
      <x:c r="E1211" s="53"/>
      <x:c r="F1211" s="53"/>
      <x:c r="G1211" s="53"/>
      <x:c r="H1211" s="53"/>
      <x:c r="I1211" s="53"/>
      <x:c r="J1211" s="53"/>
      <x:c r="K1211" s="53"/>
      <x:c r="L1211" s="53"/>
      <x:c r="M1211" s="53"/>
      <x:c r="N1211" s="53"/>
      <x:c r="O1211" s="53"/>
      <x:c r="P1211" s="53"/>
      <x:c r="Q1211" s="53"/>
      <x:c r="R1211" s="53"/>
      <x:c r="S1211" s="53"/>
      <x:c r="T1211" s="53"/>
      <x:c r="U1211" s="53"/>
      <x:c r="V1211" s="53"/>
      <x:c r="W1211" s="53"/>
      <x:c r="X1211" s="53"/>
      <x:c r="Y1211" s="53"/>
      <x:c r="Z1211" s="53"/>
      <x:c r="AA1211" s="53"/>
      <x:c r="AB1211" s="53"/>
      <x:c r="AC1211" s="53"/>
      <x:c r="AD1211" s="53"/>
      <x:c r="AE1211" s="53"/>
      <x:c r="AF1211" s="53"/>
    </x:row>
    <x:row r="1212">
      <x:c r="A1212" s="53"/>
      <x:c r="B1212" s="53"/>
      <x:c r="C1212" s="53"/>
      <x:c r="D1212" s="53"/>
      <x:c r="E1212" s="53"/>
      <x:c r="F1212" s="53"/>
      <x:c r="G1212" s="53"/>
      <x:c r="H1212" s="53"/>
      <x:c r="I1212" s="53"/>
      <x:c r="J1212" s="53"/>
      <x:c r="K1212" s="53"/>
      <x:c r="L1212" s="53"/>
      <x:c r="M1212" s="53"/>
      <x:c r="N1212" s="53"/>
      <x:c r="O1212" s="53"/>
      <x:c r="P1212" s="53"/>
      <x:c r="Q1212" s="53"/>
      <x:c r="R1212" s="53"/>
      <x:c r="S1212" s="53"/>
      <x:c r="T1212" s="53"/>
      <x:c r="U1212" s="53"/>
      <x:c r="V1212" s="53"/>
      <x:c r="W1212" s="53"/>
      <x:c r="X1212" s="53"/>
      <x:c r="Y1212" s="53"/>
      <x:c r="Z1212" s="53"/>
      <x:c r="AA1212" s="53"/>
      <x:c r="AB1212" s="53"/>
      <x:c r="AC1212" s="53"/>
      <x:c r="AD1212" s="53"/>
      <x:c r="AE1212" s="53"/>
      <x:c r="AF1212" s="53"/>
    </x:row>
    <x:row r="1213">
      <x:c r="A1213" s="53"/>
      <x:c r="B1213" s="53"/>
      <x:c r="C1213" s="53"/>
      <x:c r="D1213" s="53"/>
      <x:c r="E1213" s="53"/>
      <x:c r="F1213" s="53"/>
      <x:c r="G1213" s="53"/>
      <x:c r="H1213" s="53"/>
      <x:c r="I1213" s="53"/>
      <x:c r="J1213" s="53"/>
      <x:c r="K1213" s="53"/>
      <x:c r="L1213" s="53"/>
      <x:c r="M1213" s="53"/>
      <x:c r="N1213" s="53"/>
      <x:c r="O1213" s="53"/>
      <x:c r="P1213" s="53"/>
      <x:c r="Q1213" s="53"/>
      <x:c r="R1213" s="53"/>
      <x:c r="S1213" s="53"/>
      <x:c r="T1213" s="53"/>
      <x:c r="U1213" s="53"/>
      <x:c r="V1213" s="53"/>
      <x:c r="W1213" s="53"/>
      <x:c r="X1213" s="53"/>
      <x:c r="Y1213" s="53"/>
      <x:c r="Z1213" s="53"/>
      <x:c r="AA1213" s="53"/>
      <x:c r="AB1213" s="53"/>
      <x:c r="AC1213" s="53"/>
      <x:c r="AD1213" s="53"/>
      <x:c r="AE1213" s="53"/>
      <x:c r="AF1213" s="53"/>
    </x:row>
    <x:row r="1214">
      <x:c r="A1214" s="53"/>
      <x:c r="B1214" s="53"/>
      <x:c r="C1214" s="53"/>
      <x:c r="D1214" s="53"/>
      <x:c r="E1214" s="53"/>
      <x:c r="F1214" s="53"/>
      <x:c r="G1214" s="53"/>
      <x:c r="H1214" s="53"/>
      <x:c r="I1214" s="53"/>
      <x:c r="J1214" s="53"/>
      <x:c r="K1214" s="53"/>
      <x:c r="L1214" s="53"/>
      <x:c r="M1214" s="53"/>
      <x:c r="N1214" s="53"/>
      <x:c r="O1214" s="53"/>
      <x:c r="P1214" s="53"/>
      <x:c r="Q1214" s="53"/>
      <x:c r="R1214" s="53"/>
      <x:c r="S1214" s="53"/>
      <x:c r="T1214" s="53"/>
      <x:c r="U1214" s="53"/>
      <x:c r="V1214" s="53"/>
      <x:c r="W1214" s="53"/>
      <x:c r="X1214" s="53"/>
      <x:c r="Y1214" s="53"/>
      <x:c r="Z1214" s="53"/>
      <x:c r="AA1214" s="53"/>
      <x:c r="AB1214" s="53"/>
      <x:c r="AC1214" s="53"/>
      <x:c r="AD1214" s="53"/>
      <x:c r="AE1214" s="53"/>
      <x:c r="AF1214" s="53"/>
    </x:row>
    <x:row r="1215">
      <x:c r="A1215" s="53"/>
      <x:c r="B1215" s="53"/>
      <x:c r="C1215" s="53"/>
      <x:c r="D1215" s="53"/>
      <x:c r="E1215" s="53"/>
      <x:c r="F1215" s="53"/>
      <x:c r="G1215" s="53"/>
      <x:c r="H1215" s="53"/>
      <x:c r="I1215" s="53"/>
      <x:c r="J1215" s="53"/>
      <x:c r="K1215" s="53"/>
      <x:c r="L1215" s="53"/>
      <x:c r="M1215" s="53"/>
      <x:c r="N1215" s="53"/>
      <x:c r="O1215" s="53"/>
      <x:c r="P1215" s="53"/>
      <x:c r="Q1215" s="53"/>
      <x:c r="R1215" s="53"/>
      <x:c r="S1215" s="53"/>
      <x:c r="T1215" s="53"/>
      <x:c r="U1215" s="53"/>
      <x:c r="V1215" s="53"/>
      <x:c r="W1215" s="53"/>
      <x:c r="X1215" s="53"/>
      <x:c r="Y1215" s="53"/>
      <x:c r="Z1215" s="53"/>
      <x:c r="AA1215" s="53"/>
      <x:c r="AB1215" s="53"/>
      <x:c r="AC1215" s="53"/>
      <x:c r="AD1215" s="53"/>
      <x:c r="AE1215" s="53"/>
      <x:c r="AF1215" s="53"/>
    </x:row>
    <x:row r="1216">
      <x:c r="A1216" s="53"/>
      <x:c r="B1216" s="53"/>
      <x:c r="C1216" s="53"/>
      <x:c r="D1216" s="53"/>
      <x:c r="E1216" s="53"/>
      <x:c r="F1216" s="53"/>
      <x:c r="G1216" s="53"/>
      <x:c r="H1216" s="53"/>
      <x:c r="I1216" s="53"/>
      <x:c r="J1216" s="53"/>
      <x:c r="K1216" s="53"/>
      <x:c r="L1216" s="53"/>
      <x:c r="M1216" s="53"/>
      <x:c r="N1216" s="53"/>
      <x:c r="O1216" s="53"/>
      <x:c r="P1216" s="53"/>
      <x:c r="Q1216" s="53"/>
      <x:c r="R1216" s="53"/>
      <x:c r="S1216" s="53"/>
      <x:c r="T1216" s="53"/>
      <x:c r="U1216" s="53"/>
      <x:c r="V1216" s="53"/>
      <x:c r="W1216" s="53"/>
      <x:c r="X1216" s="53"/>
      <x:c r="Y1216" s="53"/>
      <x:c r="Z1216" s="53"/>
      <x:c r="AA1216" s="53"/>
      <x:c r="AB1216" s="53"/>
      <x:c r="AC1216" s="53"/>
      <x:c r="AD1216" s="53"/>
      <x:c r="AE1216" s="53"/>
      <x:c r="AF1216" s="53"/>
    </x:row>
    <x:row r="1217">
      <x:c r="A1217" s="53"/>
      <x:c r="B1217" s="53"/>
      <x:c r="C1217" s="53"/>
      <x:c r="D1217" s="53"/>
      <x:c r="E1217" s="53"/>
      <x:c r="F1217" s="53"/>
      <x:c r="G1217" s="53"/>
      <x:c r="H1217" s="53"/>
      <x:c r="I1217" s="53"/>
      <x:c r="J1217" s="53"/>
      <x:c r="K1217" s="53"/>
      <x:c r="L1217" s="53"/>
      <x:c r="M1217" s="53"/>
      <x:c r="N1217" s="53"/>
      <x:c r="O1217" s="53"/>
      <x:c r="P1217" s="53"/>
      <x:c r="Q1217" s="53"/>
      <x:c r="R1217" s="53"/>
      <x:c r="S1217" s="53"/>
      <x:c r="T1217" s="53"/>
      <x:c r="U1217" s="53"/>
      <x:c r="V1217" s="53"/>
      <x:c r="W1217" s="53"/>
      <x:c r="X1217" s="53"/>
      <x:c r="Y1217" s="53"/>
      <x:c r="Z1217" s="53"/>
      <x:c r="AA1217" s="53"/>
      <x:c r="AB1217" s="53"/>
      <x:c r="AC1217" s="53"/>
      <x:c r="AD1217" s="53"/>
      <x:c r="AE1217" s="53"/>
      <x:c r="AF1217" s="53"/>
    </x:row>
    <x:row r="1218">
      <x:c r="A1218" s="53"/>
      <x:c r="B1218" s="53"/>
      <x:c r="C1218" s="53"/>
      <x:c r="D1218" s="53"/>
      <x:c r="E1218" s="53"/>
      <x:c r="F1218" s="53"/>
      <x:c r="G1218" s="53"/>
      <x:c r="H1218" s="53"/>
      <x:c r="I1218" s="53"/>
      <x:c r="J1218" s="53"/>
      <x:c r="K1218" s="53"/>
      <x:c r="L1218" s="53"/>
      <x:c r="M1218" s="53"/>
      <x:c r="N1218" s="53"/>
      <x:c r="O1218" s="53"/>
      <x:c r="P1218" s="53"/>
      <x:c r="Q1218" s="53"/>
      <x:c r="R1218" s="53"/>
      <x:c r="S1218" s="53"/>
      <x:c r="T1218" s="53"/>
      <x:c r="U1218" s="53"/>
      <x:c r="V1218" s="53"/>
      <x:c r="W1218" s="53"/>
      <x:c r="X1218" s="53"/>
      <x:c r="Y1218" s="53"/>
      <x:c r="Z1218" s="53"/>
      <x:c r="AA1218" s="53"/>
      <x:c r="AB1218" s="53"/>
      <x:c r="AC1218" s="53"/>
      <x:c r="AD1218" s="53"/>
      <x:c r="AE1218" s="53"/>
      <x:c r="AF1218" s="53"/>
    </x:row>
    <x:row r="1219">
      <x:c r="A1219" s="53"/>
      <x:c r="B1219" s="53"/>
      <x:c r="C1219" s="53"/>
      <x:c r="D1219" s="53"/>
      <x:c r="E1219" s="53"/>
      <x:c r="F1219" s="53"/>
      <x:c r="G1219" s="53"/>
      <x:c r="H1219" s="53"/>
      <x:c r="I1219" s="53"/>
      <x:c r="J1219" s="53"/>
      <x:c r="K1219" s="53"/>
      <x:c r="L1219" s="53"/>
      <x:c r="M1219" s="53"/>
      <x:c r="N1219" s="53"/>
      <x:c r="O1219" s="53"/>
      <x:c r="P1219" s="53"/>
      <x:c r="Q1219" s="53"/>
      <x:c r="R1219" s="53"/>
      <x:c r="S1219" s="53"/>
      <x:c r="T1219" s="53"/>
      <x:c r="U1219" s="53"/>
      <x:c r="V1219" s="53"/>
      <x:c r="W1219" s="53"/>
      <x:c r="X1219" s="53"/>
      <x:c r="Y1219" s="53"/>
      <x:c r="Z1219" s="53"/>
      <x:c r="AA1219" s="53"/>
      <x:c r="AB1219" s="53"/>
      <x:c r="AC1219" s="53"/>
      <x:c r="AD1219" s="53"/>
      <x:c r="AE1219" s="53"/>
      <x:c r="AF1219" s="53"/>
    </x:row>
    <x:row r="1220">
      <x:c r="A1220" s="53"/>
      <x:c r="B1220" s="53"/>
      <x:c r="C1220" s="53"/>
      <x:c r="D1220" s="53"/>
      <x:c r="E1220" s="53"/>
      <x:c r="F1220" s="53"/>
      <x:c r="G1220" s="53"/>
      <x:c r="H1220" s="53"/>
      <x:c r="I1220" s="53"/>
      <x:c r="J1220" s="53"/>
      <x:c r="K1220" s="53"/>
      <x:c r="L1220" s="53"/>
      <x:c r="M1220" s="53"/>
      <x:c r="N1220" s="53"/>
      <x:c r="O1220" s="53"/>
      <x:c r="P1220" s="53"/>
      <x:c r="Q1220" s="53"/>
      <x:c r="R1220" s="53"/>
      <x:c r="S1220" s="53"/>
      <x:c r="T1220" s="53"/>
      <x:c r="U1220" s="53"/>
      <x:c r="V1220" s="53"/>
      <x:c r="W1220" s="53"/>
      <x:c r="X1220" s="53"/>
      <x:c r="Y1220" s="53"/>
      <x:c r="Z1220" s="53"/>
      <x:c r="AA1220" s="53"/>
      <x:c r="AB1220" s="53"/>
      <x:c r="AC1220" s="53"/>
      <x:c r="AD1220" s="53"/>
      <x:c r="AE1220" s="53"/>
      <x:c r="AF1220" s="53"/>
    </x:row>
    <x:row r="1221">
      <x:c r="A1221" s="53"/>
      <x:c r="B1221" s="53"/>
      <x:c r="C1221" s="53"/>
      <x:c r="D1221" s="53"/>
      <x:c r="E1221" s="53"/>
      <x:c r="F1221" s="53"/>
      <x:c r="G1221" s="53"/>
      <x:c r="H1221" s="53"/>
      <x:c r="I1221" s="53"/>
      <x:c r="J1221" s="53"/>
      <x:c r="K1221" s="53"/>
      <x:c r="L1221" s="53"/>
      <x:c r="M1221" s="53"/>
      <x:c r="N1221" s="53"/>
      <x:c r="O1221" s="53"/>
      <x:c r="P1221" s="53"/>
      <x:c r="Q1221" s="53"/>
      <x:c r="R1221" s="53"/>
      <x:c r="S1221" s="53"/>
      <x:c r="T1221" s="53"/>
      <x:c r="U1221" s="53"/>
      <x:c r="V1221" s="53"/>
      <x:c r="W1221" s="53"/>
      <x:c r="X1221" s="53"/>
      <x:c r="Y1221" s="53"/>
      <x:c r="Z1221" s="53"/>
      <x:c r="AA1221" s="53"/>
      <x:c r="AB1221" s="53"/>
      <x:c r="AC1221" s="53"/>
      <x:c r="AD1221" s="53"/>
      <x:c r="AE1221" s="53"/>
      <x:c r="AF1221" s="53"/>
    </x:row>
    <x:row r="1222">
      <x:c r="A1222" s="53"/>
      <x:c r="B1222" s="53"/>
      <x:c r="C1222" s="53"/>
      <x:c r="D1222" s="53"/>
      <x:c r="E1222" s="53"/>
      <x:c r="F1222" s="53"/>
      <x:c r="G1222" s="53"/>
      <x:c r="H1222" s="53"/>
      <x:c r="I1222" s="53"/>
      <x:c r="J1222" s="53"/>
      <x:c r="K1222" s="53"/>
      <x:c r="L1222" s="53"/>
      <x:c r="M1222" s="53"/>
      <x:c r="N1222" s="53"/>
      <x:c r="O1222" s="53"/>
      <x:c r="P1222" s="53"/>
      <x:c r="Q1222" s="53"/>
      <x:c r="R1222" s="53"/>
      <x:c r="S1222" s="53"/>
      <x:c r="T1222" s="53"/>
      <x:c r="U1222" s="53"/>
      <x:c r="V1222" s="53"/>
      <x:c r="W1222" s="53"/>
      <x:c r="X1222" s="53"/>
      <x:c r="Y1222" s="53"/>
      <x:c r="Z1222" s="53"/>
      <x:c r="AA1222" s="53"/>
      <x:c r="AB1222" s="53"/>
      <x:c r="AC1222" s="53"/>
      <x:c r="AD1222" s="53"/>
      <x:c r="AE1222" s="53"/>
      <x:c r="AF1222" s="53"/>
    </x:row>
    <x:row r="1223">
      <x:c r="A1223" s="53"/>
      <x:c r="B1223" s="53"/>
      <x:c r="C1223" s="53"/>
      <x:c r="D1223" s="53"/>
      <x:c r="E1223" s="53"/>
      <x:c r="F1223" s="53"/>
      <x:c r="G1223" s="53"/>
      <x:c r="H1223" s="53"/>
      <x:c r="I1223" s="53"/>
      <x:c r="J1223" s="53"/>
      <x:c r="K1223" s="53"/>
      <x:c r="L1223" s="53"/>
      <x:c r="M1223" s="53"/>
      <x:c r="N1223" s="53"/>
      <x:c r="O1223" s="53"/>
      <x:c r="P1223" s="53"/>
      <x:c r="Q1223" s="53"/>
      <x:c r="R1223" s="53"/>
      <x:c r="S1223" s="53"/>
      <x:c r="T1223" s="53"/>
      <x:c r="U1223" s="53"/>
      <x:c r="V1223" s="53"/>
      <x:c r="W1223" s="53"/>
      <x:c r="X1223" s="53"/>
      <x:c r="Y1223" s="53"/>
      <x:c r="Z1223" s="53"/>
      <x:c r="AA1223" s="53"/>
      <x:c r="AB1223" s="53"/>
      <x:c r="AC1223" s="53"/>
      <x:c r="AD1223" s="53"/>
      <x:c r="AE1223" s="53"/>
      <x:c r="AF1223" s="53"/>
    </x:row>
    <x:row r="1224">
      <x:c r="A1224" s="53"/>
      <x:c r="B1224" s="53"/>
      <x:c r="C1224" s="53"/>
      <x:c r="D1224" s="53"/>
      <x:c r="E1224" s="53"/>
      <x:c r="F1224" s="53"/>
      <x:c r="G1224" s="53"/>
      <x:c r="H1224" s="53"/>
      <x:c r="I1224" s="53"/>
      <x:c r="J1224" s="53"/>
      <x:c r="K1224" s="53"/>
      <x:c r="L1224" s="53"/>
      <x:c r="M1224" s="53"/>
      <x:c r="N1224" s="53"/>
      <x:c r="O1224" s="53"/>
      <x:c r="P1224" s="53"/>
      <x:c r="Q1224" s="53"/>
      <x:c r="R1224" s="53"/>
      <x:c r="S1224" s="53"/>
      <x:c r="T1224" s="53"/>
      <x:c r="U1224" s="53"/>
      <x:c r="V1224" s="53"/>
      <x:c r="W1224" s="53"/>
      <x:c r="X1224" s="53"/>
      <x:c r="Y1224" s="53"/>
      <x:c r="Z1224" s="53"/>
      <x:c r="AA1224" s="53"/>
      <x:c r="AB1224" s="53"/>
      <x:c r="AC1224" s="53"/>
      <x:c r="AD1224" s="53"/>
      <x:c r="AE1224" s="53"/>
      <x:c r="AF1224" s="53"/>
    </x:row>
    <x:row r="1225">
      <x:c r="A1225" s="53"/>
      <x:c r="B1225" s="53"/>
      <x:c r="C1225" s="53"/>
      <x:c r="D1225" s="53"/>
      <x:c r="E1225" s="53"/>
      <x:c r="F1225" s="53"/>
      <x:c r="G1225" s="53"/>
      <x:c r="H1225" s="53"/>
      <x:c r="I1225" s="53"/>
      <x:c r="J1225" s="53"/>
      <x:c r="K1225" s="53"/>
      <x:c r="L1225" s="53"/>
      <x:c r="M1225" s="53"/>
      <x:c r="N1225" s="53"/>
      <x:c r="O1225" s="53"/>
      <x:c r="P1225" s="53"/>
      <x:c r="Q1225" s="53"/>
      <x:c r="R1225" s="53"/>
      <x:c r="S1225" s="53"/>
      <x:c r="T1225" s="53"/>
      <x:c r="U1225" s="53"/>
      <x:c r="V1225" s="53"/>
      <x:c r="W1225" s="53"/>
      <x:c r="X1225" s="53"/>
      <x:c r="Y1225" s="53"/>
      <x:c r="Z1225" s="53"/>
      <x:c r="AA1225" s="53"/>
      <x:c r="AB1225" s="53"/>
      <x:c r="AC1225" s="53"/>
      <x:c r="AD1225" s="53"/>
      <x:c r="AE1225" s="53"/>
      <x:c r="AF1225" s="53"/>
    </x:row>
    <x:row r="1226">
      <x:c r="A1226" s="53"/>
      <x:c r="B1226" s="53"/>
      <x:c r="C1226" s="53"/>
      <x:c r="D1226" s="53"/>
      <x:c r="E1226" s="53"/>
      <x:c r="F1226" s="53"/>
      <x:c r="G1226" s="53"/>
      <x:c r="H1226" s="53"/>
      <x:c r="I1226" s="53"/>
      <x:c r="J1226" s="53"/>
      <x:c r="K1226" s="53"/>
      <x:c r="L1226" s="53"/>
      <x:c r="M1226" s="53"/>
      <x:c r="N1226" s="53"/>
      <x:c r="O1226" s="53"/>
      <x:c r="P1226" s="53"/>
      <x:c r="Q1226" s="53"/>
      <x:c r="R1226" s="53"/>
      <x:c r="S1226" s="53"/>
      <x:c r="T1226" s="53"/>
      <x:c r="U1226" s="53"/>
      <x:c r="V1226" s="53"/>
      <x:c r="W1226" s="53"/>
      <x:c r="X1226" s="53"/>
      <x:c r="Y1226" s="53"/>
      <x:c r="Z1226" s="53"/>
      <x:c r="AA1226" s="53"/>
      <x:c r="AB1226" s="53"/>
      <x:c r="AC1226" s="53"/>
      <x:c r="AD1226" s="53"/>
      <x:c r="AE1226" s="53"/>
      <x:c r="AF1226" s="53"/>
    </x:row>
    <x:row r="1227">
      <x:c r="A1227" s="53"/>
      <x:c r="B1227" s="53"/>
      <x:c r="C1227" s="53"/>
      <x:c r="D1227" s="53"/>
      <x:c r="E1227" s="53"/>
      <x:c r="F1227" s="53"/>
      <x:c r="G1227" s="53"/>
      <x:c r="H1227" s="53"/>
      <x:c r="I1227" s="53"/>
      <x:c r="J1227" s="53"/>
      <x:c r="K1227" s="53"/>
      <x:c r="L1227" s="53"/>
      <x:c r="M1227" s="53"/>
      <x:c r="N1227" s="53"/>
      <x:c r="O1227" s="53"/>
      <x:c r="P1227" s="53"/>
      <x:c r="Q1227" s="53"/>
      <x:c r="R1227" s="53"/>
      <x:c r="S1227" s="53"/>
      <x:c r="T1227" s="53"/>
      <x:c r="U1227" s="53"/>
      <x:c r="V1227" s="53"/>
      <x:c r="W1227" s="53"/>
      <x:c r="X1227" s="53"/>
      <x:c r="Y1227" s="53"/>
      <x:c r="Z1227" s="53"/>
      <x:c r="AA1227" s="53"/>
      <x:c r="AB1227" s="53"/>
      <x:c r="AC1227" s="53"/>
      <x:c r="AD1227" s="53"/>
      <x:c r="AE1227" s="53"/>
      <x:c r="AF1227" s="53"/>
    </x:row>
    <x:row r="1228">
      <x:c r="A1228" s="53"/>
      <x:c r="B1228" s="53"/>
      <x:c r="C1228" s="53"/>
      <x:c r="D1228" s="53"/>
      <x:c r="E1228" s="53"/>
      <x:c r="F1228" s="53"/>
      <x:c r="G1228" s="53"/>
      <x:c r="H1228" s="53"/>
      <x:c r="I1228" s="53"/>
      <x:c r="J1228" s="53"/>
      <x:c r="K1228" s="53"/>
      <x:c r="L1228" s="53"/>
      <x:c r="M1228" s="53"/>
      <x:c r="N1228" s="53"/>
      <x:c r="O1228" s="53"/>
      <x:c r="P1228" s="53"/>
      <x:c r="Q1228" s="53"/>
      <x:c r="R1228" s="53"/>
      <x:c r="S1228" s="53"/>
      <x:c r="T1228" s="53"/>
      <x:c r="U1228" s="53"/>
      <x:c r="V1228" s="53"/>
      <x:c r="W1228" s="53"/>
      <x:c r="X1228" s="53"/>
      <x:c r="Y1228" s="53"/>
      <x:c r="Z1228" s="53"/>
      <x:c r="AA1228" s="53"/>
      <x:c r="AB1228" s="53"/>
      <x:c r="AC1228" s="53"/>
      <x:c r="AD1228" s="53"/>
      <x:c r="AE1228" s="53"/>
      <x:c r="AF1228" s="53"/>
    </x:row>
    <x:row r="1229">
      <x:c r="A1229" s="53"/>
      <x:c r="B1229" s="53"/>
      <x:c r="C1229" s="53"/>
      <x:c r="D1229" s="53"/>
      <x:c r="E1229" s="53"/>
      <x:c r="F1229" s="53"/>
      <x:c r="G1229" s="53"/>
      <x:c r="H1229" s="53"/>
      <x:c r="I1229" s="53"/>
      <x:c r="J1229" s="53"/>
      <x:c r="K1229" s="53"/>
      <x:c r="L1229" s="53"/>
      <x:c r="M1229" s="53"/>
      <x:c r="N1229" s="53"/>
      <x:c r="O1229" s="53"/>
      <x:c r="P1229" s="53"/>
      <x:c r="Q1229" s="53"/>
      <x:c r="R1229" s="53"/>
      <x:c r="S1229" s="53"/>
      <x:c r="T1229" s="53"/>
      <x:c r="U1229" s="53"/>
      <x:c r="V1229" s="53"/>
      <x:c r="W1229" s="53"/>
      <x:c r="X1229" s="53"/>
      <x:c r="Y1229" s="53"/>
      <x:c r="Z1229" s="53"/>
      <x:c r="AA1229" s="53"/>
      <x:c r="AB1229" s="53"/>
      <x:c r="AC1229" s="53"/>
      <x:c r="AD1229" s="53"/>
      <x:c r="AE1229" s="53"/>
      <x:c r="AF1229" s="53"/>
    </x:row>
    <x:row r="1230">
      <x:c r="A1230" s="53"/>
      <x:c r="B1230" s="53"/>
      <x:c r="C1230" s="53"/>
      <x:c r="D1230" s="53"/>
      <x:c r="E1230" s="53"/>
      <x:c r="F1230" s="53"/>
      <x:c r="G1230" s="53"/>
      <x:c r="H1230" s="53"/>
      <x:c r="I1230" s="53"/>
      <x:c r="J1230" s="53"/>
      <x:c r="K1230" s="53"/>
      <x:c r="L1230" s="53"/>
      <x:c r="M1230" s="53"/>
      <x:c r="N1230" s="53"/>
      <x:c r="O1230" s="53"/>
      <x:c r="P1230" s="53"/>
      <x:c r="Q1230" s="53"/>
      <x:c r="R1230" s="53"/>
      <x:c r="S1230" s="53"/>
      <x:c r="T1230" s="53"/>
      <x:c r="U1230" s="53"/>
      <x:c r="V1230" s="53"/>
      <x:c r="W1230" s="53"/>
      <x:c r="X1230" s="53"/>
      <x:c r="Y1230" s="53"/>
      <x:c r="Z1230" s="53"/>
      <x:c r="AA1230" s="53"/>
      <x:c r="AB1230" s="53"/>
      <x:c r="AC1230" s="53"/>
      <x:c r="AD1230" s="53"/>
      <x:c r="AE1230" s="53"/>
      <x:c r="AF1230" s="53"/>
    </x:row>
    <x:row r="1231">
      <x:c r="A1231" s="53"/>
      <x:c r="B1231" s="53"/>
      <x:c r="C1231" s="53"/>
      <x:c r="D1231" s="53"/>
      <x:c r="E1231" s="53"/>
      <x:c r="F1231" s="53"/>
      <x:c r="G1231" s="53"/>
      <x:c r="H1231" s="53"/>
      <x:c r="I1231" s="53"/>
      <x:c r="J1231" s="53"/>
      <x:c r="K1231" s="53"/>
      <x:c r="L1231" s="53"/>
      <x:c r="M1231" s="53"/>
      <x:c r="N1231" s="53"/>
      <x:c r="O1231" s="53"/>
      <x:c r="P1231" s="53"/>
      <x:c r="Q1231" s="53"/>
      <x:c r="R1231" s="53"/>
      <x:c r="S1231" s="53"/>
      <x:c r="T1231" s="53"/>
      <x:c r="U1231" s="53"/>
      <x:c r="V1231" s="53"/>
      <x:c r="W1231" s="53"/>
      <x:c r="X1231" s="53"/>
      <x:c r="Y1231" s="53"/>
      <x:c r="Z1231" s="53"/>
      <x:c r="AA1231" s="53"/>
      <x:c r="AB1231" s="53"/>
      <x:c r="AC1231" s="53"/>
      <x:c r="AD1231" s="53"/>
      <x:c r="AE1231" s="53"/>
      <x:c r="AF1231" s="53"/>
    </x:row>
    <x:row r="1232">
      <x:c r="A1232" s="53"/>
      <x:c r="B1232" s="53"/>
      <x:c r="C1232" s="53"/>
      <x:c r="D1232" s="53"/>
      <x:c r="E1232" s="53"/>
      <x:c r="F1232" s="53"/>
      <x:c r="G1232" s="53"/>
      <x:c r="H1232" s="53"/>
      <x:c r="I1232" s="53"/>
      <x:c r="J1232" s="53"/>
      <x:c r="K1232" s="53"/>
      <x:c r="L1232" s="53"/>
      <x:c r="M1232" s="53"/>
      <x:c r="N1232" s="53"/>
      <x:c r="O1232" s="53"/>
      <x:c r="P1232" s="53"/>
      <x:c r="Q1232" s="53"/>
      <x:c r="R1232" s="53"/>
      <x:c r="S1232" s="53"/>
      <x:c r="T1232" s="53"/>
      <x:c r="U1232" s="53"/>
      <x:c r="V1232" s="53"/>
      <x:c r="W1232" s="53"/>
      <x:c r="X1232" s="53"/>
      <x:c r="Y1232" s="53"/>
      <x:c r="Z1232" s="53"/>
      <x:c r="AA1232" s="53"/>
      <x:c r="AB1232" s="53"/>
      <x:c r="AC1232" s="53"/>
      <x:c r="AD1232" s="53"/>
      <x:c r="AE1232" s="53"/>
      <x:c r="AF1232" s="53"/>
    </x:row>
    <x:row r="1233">
      <x:c r="A1233" s="53"/>
      <x:c r="B1233" s="53"/>
      <x:c r="C1233" s="53"/>
      <x:c r="D1233" s="53"/>
      <x:c r="E1233" s="53"/>
      <x:c r="F1233" s="53"/>
      <x:c r="G1233" s="53"/>
      <x:c r="H1233" s="53"/>
      <x:c r="I1233" s="53"/>
      <x:c r="J1233" s="53"/>
      <x:c r="K1233" s="53"/>
      <x:c r="L1233" s="53"/>
      <x:c r="M1233" s="53"/>
      <x:c r="N1233" s="53"/>
      <x:c r="O1233" s="53"/>
      <x:c r="P1233" s="53"/>
      <x:c r="Q1233" s="53"/>
      <x:c r="R1233" s="53"/>
      <x:c r="S1233" s="53"/>
      <x:c r="T1233" s="53"/>
      <x:c r="U1233" s="53"/>
      <x:c r="V1233" s="53"/>
      <x:c r="W1233" s="53"/>
      <x:c r="X1233" s="53"/>
      <x:c r="Y1233" s="53"/>
      <x:c r="Z1233" s="53"/>
      <x:c r="AA1233" s="53"/>
      <x:c r="AB1233" s="53"/>
      <x:c r="AC1233" s="53"/>
      <x:c r="AD1233" s="53"/>
      <x:c r="AE1233" s="53"/>
      <x:c r="AF1233" s="53"/>
    </x:row>
    <x:row r="1234">
      <x:c r="A1234" s="53"/>
      <x:c r="B1234" s="53"/>
      <x:c r="C1234" s="53"/>
      <x:c r="D1234" s="53"/>
      <x:c r="E1234" s="53"/>
      <x:c r="F1234" s="53"/>
      <x:c r="G1234" s="53"/>
      <x:c r="H1234" s="53"/>
      <x:c r="I1234" s="53"/>
      <x:c r="J1234" s="53"/>
      <x:c r="K1234" s="53"/>
      <x:c r="L1234" s="53"/>
      <x:c r="M1234" s="53"/>
      <x:c r="N1234" s="53"/>
      <x:c r="O1234" s="53"/>
      <x:c r="P1234" s="53"/>
      <x:c r="Q1234" s="53"/>
      <x:c r="R1234" s="53"/>
      <x:c r="S1234" s="53"/>
      <x:c r="T1234" s="53"/>
      <x:c r="U1234" s="53"/>
      <x:c r="V1234" s="53"/>
      <x:c r="W1234" s="53"/>
      <x:c r="X1234" s="53"/>
      <x:c r="Y1234" s="53"/>
      <x:c r="Z1234" s="53"/>
      <x:c r="AA1234" s="53"/>
      <x:c r="AB1234" s="53"/>
      <x:c r="AC1234" s="53"/>
      <x:c r="AD1234" s="53"/>
      <x:c r="AE1234" s="53"/>
      <x:c r="AF1234" s="53"/>
    </x:row>
    <x:row r="1235">
      <x:c r="A1235" s="53"/>
      <x:c r="B1235" s="53"/>
      <x:c r="C1235" s="53"/>
      <x:c r="D1235" s="53"/>
      <x:c r="E1235" s="53"/>
      <x:c r="F1235" s="53"/>
      <x:c r="G1235" s="53"/>
      <x:c r="H1235" s="53"/>
      <x:c r="I1235" s="53"/>
      <x:c r="J1235" s="53"/>
      <x:c r="K1235" s="53"/>
      <x:c r="L1235" s="53"/>
      <x:c r="M1235" s="53"/>
      <x:c r="N1235" s="53"/>
      <x:c r="O1235" s="53"/>
      <x:c r="P1235" s="53"/>
      <x:c r="Q1235" s="53"/>
      <x:c r="R1235" s="53"/>
      <x:c r="S1235" s="53"/>
      <x:c r="T1235" s="53"/>
      <x:c r="U1235" s="53"/>
      <x:c r="V1235" s="53"/>
      <x:c r="W1235" s="53"/>
      <x:c r="X1235" s="53"/>
      <x:c r="Y1235" s="53"/>
      <x:c r="Z1235" s="53"/>
      <x:c r="AA1235" s="53"/>
      <x:c r="AB1235" s="53"/>
      <x:c r="AC1235" s="53"/>
      <x:c r="AD1235" s="53"/>
      <x:c r="AE1235" s="53"/>
      <x:c r="AF1235" s="53"/>
    </x:row>
    <x:row r="1236">
      <x:c r="A1236" s="53"/>
      <x:c r="B1236" s="53"/>
      <x:c r="C1236" s="53"/>
      <x:c r="D1236" s="53"/>
      <x:c r="E1236" s="53"/>
      <x:c r="F1236" s="53"/>
      <x:c r="G1236" s="53"/>
      <x:c r="H1236" s="53"/>
      <x:c r="I1236" s="53"/>
      <x:c r="J1236" s="53"/>
      <x:c r="K1236" s="53"/>
      <x:c r="L1236" s="53"/>
      <x:c r="M1236" s="53"/>
      <x:c r="N1236" s="53"/>
      <x:c r="O1236" s="53"/>
      <x:c r="P1236" s="53"/>
      <x:c r="Q1236" s="53"/>
      <x:c r="R1236" s="53"/>
      <x:c r="S1236" s="53"/>
      <x:c r="T1236" s="53"/>
      <x:c r="U1236" s="53"/>
      <x:c r="V1236" s="53"/>
      <x:c r="W1236" s="53"/>
      <x:c r="X1236" s="53"/>
      <x:c r="Y1236" s="53"/>
      <x:c r="Z1236" s="53"/>
      <x:c r="AA1236" s="53"/>
      <x:c r="AB1236" s="53"/>
      <x:c r="AC1236" s="53"/>
      <x:c r="AD1236" s="53"/>
      <x:c r="AE1236" s="53"/>
      <x:c r="AF1236" s="53"/>
    </x:row>
    <x:row r="1237">
      <x:c r="A1237" s="53"/>
      <x:c r="B1237" s="53"/>
      <x:c r="C1237" s="53"/>
      <x:c r="D1237" s="53"/>
      <x:c r="E1237" s="53"/>
      <x:c r="F1237" s="53"/>
      <x:c r="G1237" s="53"/>
      <x:c r="H1237" s="53"/>
      <x:c r="I1237" s="53"/>
      <x:c r="J1237" s="53"/>
      <x:c r="K1237" s="53"/>
      <x:c r="L1237" s="53"/>
      <x:c r="M1237" s="53"/>
      <x:c r="N1237" s="53"/>
      <x:c r="O1237" s="53"/>
      <x:c r="P1237" s="53"/>
      <x:c r="Q1237" s="53"/>
      <x:c r="R1237" s="53"/>
      <x:c r="S1237" s="53"/>
      <x:c r="T1237" s="53"/>
      <x:c r="U1237" s="53"/>
      <x:c r="V1237" s="53"/>
      <x:c r="W1237" s="53"/>
      <x:c r="X1237" s="53"/>
      <x:c r="Y1237" s="53"/>
      <x:c r="Z1237" s="53"/>
      <x:c r="AA1237" s="53"/>
      <x:c r="AB1237" s="53"/>
      <x:c r="AC1237" s="53"/>
      <x:c r="AD1237" s="53"/>
      <x:c r="AE1237" s="53"/>
      <x:c r="AF1237" s="53"/>
    </x:row>
    <x:row r="1238">
      <x:c r="A1238" s="53"/>
      <x:c r="B1238" s="53"/>
      <x:c r="C1238" s="53"/>
      <x:c r="D1238" s="53"/>
      <x:c r="E1238" s="53"/>
      <x:c r="F1238" s="53"/>
      <x:c r="G1238" s="53"/>
      <x:c r="H1238" s="53"/>
      <x:c r="I1238" s="53"/>
      <x:c r="J1238" s="53"/>
      <x:c r="K1238" s="53"/>
      <x:c r="L1238" s="53"/>
      <x:c r="M1238" s="53"/>
      <x:c r="N1238" s="53"/>
      <x:c r="O1238" s="53"/>
      <x:c r="P1238" s="53"/>
      <x:c r="Q1238" s="53"/>
      <x:c r="R1238" s="53"/>
      <x:c r="S1238" s="53"/>
      <x:c r="T1238" s="53"/>
      <x:c r="U1238" s="53"/>
      <x:c r="V1238" s="53"/>
      <x:c r="W1238" s="53"/>
      <x:c r="X1238" s="53"/>
      <x:c r="Y1238" s="53"/>
      <x:c r="Z1238" s="53"/>
      <x:c r="AA1238" s="53"/>
      <x:c r="AB1238" s="53"/>
      <x:c r="AC1238" s="53"/>
      <x:c r="AD1238" s="53"/>
      <x:c r="AE1238" s="53"/>
      <x:c r="AF1238" s="53"/>
    </x:row>
    <x:row r="1239">
      <x:c r="A1239" s="53"/>
      <x:c r="B1239" s="53"/>
      <x:c r="C1239" s="53"/>
      <x:c r="D1239" s="53"/>
      <x:c r="E1239" s="53"/>
      <x:c r="F1239" s="53"/>
      <x:c r="G1239" s="53"/>
      <x:c r="H1239" s="53"/>
      <x:c r="I1239" s="53"/>
      <x:c r="J1239" s="53"/>
      <x:c r="K1239" s="53"/>
      <x:c r="L1239" s="53"/>
      <x:c r="M1239" s="53"/>
      <x:c r="N1239" s="53"/>
      <x:c r="O1239" s="53"/>
      <x:c r="P1239" s="53"/>
      <x:c r="Q1239" s="53"/>
      <x:c r="R1239" s="53"/>
      <x:c r="S1239" s="53"/>
      <x:c r="T1239" s="53"/>
      <x:c r="U1239" s="53"/>
      <x:c r="V1239" s="53"/>
      <x:c r="W1239" s="53"/>
      <x:c r="X1239" s="53"/>
      <x:c r="Y1239" s="53"/>
      <x:c r="Z1239" s="53"/>
      <x:c r="AA1239" s="53"/>
      <x:c r="AB1239" s="53"/>
      <x:c r="AC1239" s="53"/>
      <x:c r="AD1239" s="53"/>
      <x:c r="AE1239" s="53"/>
      <x:c r="AF1239" s="53"/>
    </x:row>
    <x:row r="1240">
      <x:c r="A1240" s="53"/>
      <x:c r="B1240" s="53"/>
      <x:c r="C1240" s="53"/>
      <x:c r="D1240" s="53"/>
      <x:c r="E1240" s="53"/>
      <x:c r="F1240" s="53"/>
      <x:c r="G1240" s="53"/>
      <x:c r="H1240" s="53"/>
      <x:c r="I1240" s="53"/>
      <x:c r="J1240" s="53"/>
      <x:c r="K1240" s="53"/>
      <x:c r="L1240" s="53"/>
      <x:c r="M1240" s="53"/>
      <x:c r="N1240" s="53"/>
      <x:c r="O1240" s="53"/>
      <x:c r="P1240" s="53"/>
      <x:c r="Q1240" s="53"/>
      <x:c r="R1240" s="53"/>
      <x:c r="S1240" s="53"/>
      <x:c r="T1240" s="53"/>
      <x:c r="U1240" s="53"/>
      <x:c r="V1240" s="53"/>
      <x:c r="W1240" s="53"/>
      <x:c r="X1240" s="53"/>
      <x:c r="Y1240" s="53"/>
      <x:c r="Z1240" s="53"/>
      <x:c r="AA1240" s="53"/>
      <x:c r="AB1240" s="53"/>
      <x:c r="AC1240" s="53"/>
      <x:c r="AD1240" s="53"/>
      <x:c r="AE1240" s="53"/>
      <x:c r="AF1240" s="53"/>
    </x:row>
    <x:row r="1241">
      <x:c r="A1241" s="53"/>
      <x:c r="B1241" s="53"/>
      <x:c r="C1241" s="53"/>
      <x:c r="D1241" s="53"/>
      <x:c r="E1241" s="53"/>
      <x:c r="F1241" s="53"/>
      <x:c r="G1241" s="53"/>
      <x:c r="H1241" s="53"/>
      <x:c r="I1241" s="53"/>
      <x:c r="J1241" s="53"/>
      <x:c r="K1241" s="53"/>
      <x:c r="L1241" s="53"/>
      <x:c r="M1241" s="53"/>
      <x:c r="N1241" s="53"/>
      <x:c r="O1241" s="53"/>
      <x:c r="P1241" s="53"/>
      <x:c r="Q1241" s="53"/>
      <x:c r="R1241" s="53"/>
      <x:c r="S1241" s="53"/>
      <x:c r="T1241" s="53"/>
      <x:c r="U1241" s="53"/>
      <x:c r="V1241" s="53"/>
      <x:c r="W1241" s="53"/>
      <x:c r="X1241" s="53"/>
      <x:c r="Y1241" s="53"/>
      <x:c r="Z1241" s="53"/>
      <x:c r="AA1241" s="53"/>
      <x:c r="AB1241" s="53"/>
      <x:c r="AC1241" s="53"/>
      <x:c r="AD1241" s="53"/>
      <x:c r="AE1241" s="53"/>
      <x:c r="AF1241" s="53"/>
    </x:row>
    <x:row r="1242">
      <x:c r="A1242" s="53"/>
      <x:c r="B1242" s="53"/>
      <x:c r="C1242" s="53"/>
      <x:c r="D1242" s="53"/>
      <x:c r="E1242" s="53"/>
      <x:c r="F1242" s="53"/>
      <x:c r="G1242" s="53"/>
      <x:c r="H1242" s="53"/>
      <x:c r="I1242" s="53"/>
      <x:c r="J1242" s="53"/>
      <x:c r="K1242" s="53"/>
      <x:c r="L1242" s="53"/>
      <x:c r="M1242" s="53"/>
      <x:c r="N1242" s="53"/>
      <x:c r="O1242" s="53"/>
      <x:c r="P1242" s="53"/>
      <x:c r="Q1242" s="53"/>
      <x:c r="R1242" s="53"/>
      <x:c r="S1242" s="53"/>
      <x:c r="T1242" s="53"/>
      <x:c r="U1242" s="53"/>
      <x:c r="V1242" s="53"/>
      <x:c r="W1242" s="53"/>
      <x:c r="X1242" s="53"/>
      <x:c r="Y1242" s="53"/>
      <x:c r="Z1242" s="53"/>
      <x:c r="AA1242" s="53"/>
      <x:c r="AB1242" s="53"/>
      <x:c r="AC1242" s="53"/>
      <x:c r="AD1242" s="53"/>
      <x:c r="AE1242" s="53"/>
      <x:c r="AF1242" s="53"/>
    </x:row>
    <x:row r="1243">
      <x:c r="A1243" s="53"/>
      <x:c r="B1243" s="53"/>
      <x:c r="C1243" s="53"/>
      <x:c r="D1243" s="53"/>
      <x:c r="E1243" s="53"/>
      <x:c r="F1243" s="53"/>
      <x:c r="G1243" s="53"/>
      <x:c r="H1243" s="53"/>
      <x:c r="I1243" s="53"/>
      <x:c r="J1243" s="53"/>
      <x:c r="K1243" s="53"/>
      <x:c r="L1243" s="53"/>
      <x:c r="M1243" s="53"/>
      <x:c r="N1243" s="53"/>
      <x:c r="O1243" s="53"/>
      <x:c r="P1243" s="53"/>
      <x:c r="Q1243" s="53"/>
      <x:c r="R1243" s="53"/>
      <x:c r="S1243" s="53"/>
      <x:c r="T1243" s="53"/>
      <x:c r="U1243" s="53"/>
      <x:c r="V1243" s="53"/>
      <x:c r="W1243" s="53"/>
      <x:c r="X1243" s="53"/>
      <x:c r="Y1243" s="53"/>
      <x:c r="Z1243" s="53"/>
      <x:c r="AA1243" s="53"/>
      <x:c r="AB1243" s="53"/>
      <x:c r="AC1243" s="53"/>
      <x:c r="AD1243" s="53"/>
      <x:c r="AE1243" s="53"/>
      <x:c r="AF1243" s="53"/>
    </x:row>
    <x:row r="1244">
      <x:c r="A1244" s="53"/>
      <x:c r="B1244" s="53"/>
      <x:c r="C1244" s="53"/>
      <x:c r="D1244" s="53"/>
      <x:c r="E1244" s="53"/>
      <x:c r="F1244" s="53"/>
      <x:c r="G1244" s="53"/>
      <x:c r="H1244" s="53"/>
      <x:c r="I1244" s="53"/>
      <x:c r="J1244" s="53"/>
      <x:c r="K1244" s="53"/>
      <x:c r="L1244" s="53"/>
      <x:c r="M1244" s="53"/>
      <x:c r="N1244" s="53"/>
      <x:c r="O1244" s="53"/>
      <x:c r="P1244" s="53"/>
      <x:c r="Q1244" s="53"/>
      <x:c r="R1244" s="53"/>
      <x:c r="S1244" s="53"/>
      <x:c r="T1244" s="53"/>
      <x:c r="U1244" s="53"/>
      <x:c r="V1244" s="53"/>
      <x:c r="W1244" s="53"/>
      <x:c r="X1244" s="53"/>
      <x:c r="Y1244" s="53"/>
      <x:c r="Z1244" s="53"/>
      <x:c r="AA1244" s="53"/>
      <x:c r="AB1244" s="53"/>
      <x:c r="AC1244" s="53"/>
      <x:c r="AD1244" s="53"/>
      <x:c r="AE1244" s="53"/>
      <x:c r="AF1244" s="53"/>
    </x:row>
    <x:row r="1245">
      <x:c r="A1245" s="53"/>
      <x:c r="B1245" s="53"/>
      <x:c r="C1245" s="53"/>
      <x:c r="D1245" s="53"/>
      <x:c r="E1245" s="53"/>
      <x:c r="F1245" s="53"/>
      <x:c r="G1245" s="53"/>
      <x:c r="H1245" s="53"/>
      <x:c r="I1245" s="53"/>
      <x:c r="J1245" s="53"/>
      <x:c r="K1245" s="53"/>
      <x:c r="L1245" s="53"/>
      <x:c r="M1245" s="53"/>
      <x:c r="N1245" s="53"/>
      <x:c r="O1245" s="53"/>
      <x:c r="P1245" s="53"/>
      <x:c r="Q1245" s="53"/>
      <x:c r="R1245" s="53"/>
      <x:c r="S1245" s="53"/>
      <x:c r="T1245" s="53"/>
      <x:c r="U1245" s="53"/>
      <x:c r="V1245" s="53"/>
      <x:c r="W1245" s="53"/>
      <x:c r="X1245" s="53"/>
      <x:c r="Y1245" s="53"/>
      <x:c r="Z1245" s="53"/>
      <x:c r="AA1245" s="53"/>
      <x:c r="AB1245" s="53"/>
      <x:c r="AC1245" s="53"/>
      <x:c r="AD1245" s="53"/>
      <x:c r="AE1245" s="53"/>
      <x:c r="AF1245" s="53"/>
    </x:row>
    <x:row r="1246">
      <x:c r="A1246" s="53"/>
      <x:c r="B1246" s="53"/>
      <x:c r="C1246" s="53"/>
      <x:c r="D1246" s="53"/>
      <x:c r="E1246" s="53"/>
      <x:c r="F1246" s="53"/>
      <x:c r="G1246" s="53"/>
      <x:c r="H1246" s="53"/>
      <x:c r="I1246" s="53"/>
      <x:c r="J1246" s="53"/>
      <x:c r="K1246" s="53"/>
      <x:c r="L1246" s="53"/>
      <x:c r="M1246" s="53"/>
      <x:c r="N1246" s="53"/>
      <x:c r="O1246" s="53"/>
      <x:c r="P1246" s="53"/>
      <x:c r="Q1246" s="53"/>
      <x:c r="R1246" s="53"/>
      <x:c r="S1246" s="53"/>
      <x:c r="T1246" s="53"/>
      <x:c r="U1246" s="53"/>
      <x:c r="V1246" s="53"/>
      <x:c r="W1246" s="53"/>
      <x:c r="X1246" s="53"/>
      <x:c r="Y1246" s="53"/>
      <x:c r="Z1246" s="53"/>
      <x:c r="AA1246" s="53"/>
      <x:c r="AB1246" s="53"/>
      <x:c r="AC1246" s="53"/>
      <x:c r="AD1246" s="53"/>
      <x:c r="AE1246" s="53"/>
      <x:c r="AF1246" s="53"/>
    </x:row>
    <x:row r="1247">
      <x:c r="A1247" s="53"/>
      <x:c r="B1247" s="53"/>
      <x:c r="C1247" s="53"/>
      <x:c r="D1247" s="53"/>
      <x:c r="E1247" s="53"/>
      <x:c r="F1247" s="53"/>
      <x:c r="G1247" s="53"/>
      <x:c r="H1247" s="53"/>
      <x:c r="I1247" s="53"/>
      <x:c r="J1247" s="53"/>
      <x:c r="K1247" s="53"/>
      <x:c r="L1247" s="53"/>
      <x:c r="M1247" s="53"/>
      <x:c r="N1247" s="53"/>
      <x:c r="O1247" s="53"/>
      <x:c r="P1247" s="53"/>
      <x:c r="Q1247" s="53"/>
      <x:c r="R1247" s="53"/>
      <x:c r="S1247" s="53"/>
      <x:c r="T1247" s="53"/>
      <x:c r="U1247" s="53"/>
      <x:c r="V1247" s="53"/>
      <x:c r="W1247" s="53"/>
      <x:c r="X1247" s="53"/>
      <x:c r="Y1247" s="53"/>
      <x:c r="Z1247" s="53"/>
      <x:c r="AA1247" s="53"/>
      <x:c r="AB1247" s="53"/>
      <x:c r="AC1247" s="53"/>
      <x:c r="AD1247" s="53"/>
      <x:c r="AE1247" s="53"/>
      <x:c r="AF1247" s="53"/>
    </x:row>
    <x:row r="1248">
      <x:c r="A1248" s="53"/>
      <x:c r="B1248" s="53"/>
      <x:c r="C1248" s="53"/>
      <x:c r="D1248" s="53"/>
      <x:c r="E1248" s="53"/>
      <x:c r="F1248" s="53"/>
      <x:c r="G1248" s="53"/>
      <x:c r="H1248" s="53"/>
      <x:c r="I1248" s="53"/>
      <x:c r="J1248" s="53"/>
      <x:c r="K1248" s="53"/>
      <x:c r="L1248" s="53"/>
      <x:c r="M1248" s="53"/>
      <x:c r="N1248" s="53"/>
      <x:c r="O1248" s="53"/>
      <x:c r="P1248" s="53"/>
      <x:c r="Q1248" s="53"/>
      <x:c r="R1248" s="53"/>
      <x:c r="S1248" s="53"/>
      <x:c r="T1248" s="53"/>
      <x:c r="U1248" s="53"/>
      <x:c r="V1248" s="53"/>
      <x:c r="W1248" s="53"/>
      <x:c r="X1248" s="53"/>
      <x:c r="Y1248" s="53"/>
      <x:c r="Z1248" s="53"/>
      <x:c r="AA1248" s="53"/>
      <x:c r="AB1248" s="53"/>
      <x:c r="AC1248" s="53"/>
      <x:c r="AD1248" s="53"/>
      <x:c r="AE1248" s="53"/>
      <x:c r="AF1248" s="53"/>
    </x:row>
    <x:row r="1249">
      <x:c r="A1249" s="53"/>
      <x:c r="B1249" s="53"/>
      <x:c r="C1249" s="53"/>
      <x:c r="D1249" s="53"/>
      <x:c r="E1249" s="53"/>
      <x:c r="F1249" s="53"/>
      <x:c r="G1249" s="53"/>
      <x:c r="H1249" s="53"/>
      <x:c r="I1249" s="53"/>
      <x:c r="J1249" s="53"/>
      <x:c r="K1249" s="53"/>
      <x:c r="L1249" s="53"/>
      <x:c r="M1249" s="53"/>
      <x:c r="N1249" s="53"/>
      <x:c r="O1249" s="53"/>
      <x:c r="P1249" s="53"/>
      <x:c r="Q1249" s="53"/>
      <x:c r="R1249" s="53"/>
      <x:c r="S1249" s="53"/>
      <x:c r="T1249" s="53"/>
      <x:c r="U1249" s="53"/>
      <x:c r="V1249" s="53"/>
      <x:c r="W1249" s="53"/>
      <x:c r="X1249" s="53"/>
      <x:c r="Y1249" s="53"/>
      <x:c r="Z1249" s="53"/>
      <x:c r="AA1249" s="53"/>
      <x:c r="AB1249" s="53"/>
      <x:c r="AC1249" s="53"/>
      <x:c r="AD1249" s="53"/>
      <x:c r="AE1249" s="53"/>
      <x:c r="AF1249" s="53"/>
    </x:row>
    <x:row r="1250">
      <x:c r="A1250" s="53"/>
      <x:c r="B1250" s="53"/>
      <x:c r="C1250" s="53"/>
      <x:c r="D1250" s="53"/>
      <x:c r="E1250" s="53"/>
      <x:c r="F1250" s="53"/>
      <x:c r="G1250" s="53"/>
      <x:c r="H1250" s="53"/>
      <x:c r="I1250" s="53"/>
      <x:c r="J1250" s="53"/>
      <x:c r="K1250" s="53"/>
      <x:c r="L1250" s="53"/>
      <x:c r="M1250" s="53"/>
      <x:c r="N1250" s="53"/>
      <x:c r="O1250" s="53"/>
      <x:c r="P1250" s="53"/>
      <x:c r="Q1250" s="53"/>
      <x:c r="R1250" s="53"/>
      <x:c r="S1250" s="53"/>
      <x:c r="T1250" s="53"/>
      <x:c r="U1250" s="53"/>
      <x:c r="V1250" s="53"/>
      <x:c r="W1250" s="53"/>
      <x:c r="X1250" s="53"/>
      <x:c r="Y1250" s="53"/>
      <x:c r="Z1250" s="53"/>
      <x:c r="AA1250" s="53"/>
      <x:c r="AB1250" s="53"/>
      <x:c r="AC1250" s="53"/>
      <x:c r="AD1250" s="53"/>
      <x:c r="AE1250" s="53"/>
      <x:c r="AF1250" s="53"/>
    </x:row>
    <x:row r="1251">
      <x:c r="A1251" s="53"/>
      <x:c r="B1251" s="53"/>
      <x:c r="C1251" s="53"/>
      <x:c r="D1251" s="53"/>
      <x:c r="E1251" s="53"/>
      <x:c r="F1251" s="53"/>
      <x:c r="G1251" s="53"/>
      <x:c r="H1251" s="53"/>
      <x:c r="I1251" s="53"/>
      <x:c r="J1251" s="53"/>
      <x:c r="K1251" s="53"/>
      <x:c r="L1251" s="53"/>
      <x:c r="M1251" s="53"/>
      <x:c r="N1251" s="53"/>
      <x:c r="O1251" s="53"/>
      <x:c r="P1251" s="53"/>
      <x:c r="Q1251" s="53"/>
      <x:c r="R1251" s="53"/>
      <x:c r="S1251" s="53"/>
      <x:c r="T1251" s="53"/>
      <x:c r="U1251" s="53"/>
      <x:c r="V1251" s="53"/>
      <x:c r="W1251" s="53"/>
      <x:c r="X1251" s="53"/>
      <x:c r="Y1251" s="53"/>
      <x:c r="Z1251" s="53"/>
      <x:c r="AA1251" s="53"/>
      <x:c r="AB1251" s="53"/>
      <x:c r="AC1251" s="53"/>
      <x:c r="AD1251" s="53"/>
      <x:c r="AE1251" s="53"/>
      <x:c r="AF1251" s="53"/>
    </x:row>
    <x:row r="1252">
      <x:c r="A1252" s="53"/>
      <x:c r="B1252" s="53"/>
      <x:c r="C1252" s="53"/>
      <x:c r="D1252" s="53"/>
      <x:c r="E1252" s="53"/>
      <x:c r="F1252" s="53"/>
      <x:c r="G1252" s="53"/>
      <x:c r="H1252" s="53"/>
      <x:c r="I1252" s="53"/>
      <x:c r="J1252" s="53"/>
      <x:c r="K1252" s="53"/>
      <x:c r="L1252" s="53"/>
      <x:c r="M1252" s="53"/>
      <x:c r="N1252" s="53"/>
      <x:c r="O1252" s="53"/>
      <x:c r="P1252" s="53"/>
      <x:c r="Q1252" s="53"/>
      <x:c r="R1252" s="53"/>
      <x:c r="S1252" s="53"/>
      <x:c r="T1252" s="53"/>
      <x:c r="U1252" s="53"/>
      <x:c r="V1252" s="53"/>
      <x:c r="W1252" s="53"/>
      <x:c r="X1252" s="53"/>
      <x:c r="Y1252" s="53"/>
      <x:c r="Z1252" s="53"/>
      <x:c r="AA1252" s="53"/>
      <x:c r="AB1252" s="53"/>
      <x:c r="AC1252" s="53"/>
      <x:c r="AD1252" s="53"/>
      <x:c r="AE1252" s="53"/>
      <x:c r="AF1252" s="53"/>
    </x:row>
    <x:row r="1253">
      <x:c r="A1253" s="53"/>
      <x:c r="B1253" s="53"/>
      <x:c r="C1253" s="53"/>
      <x:c r="D1253" s="53"/>
      <x:c r="E1253" s="53"/>
      <x:c r="F1253" s="53"/>
      <x:c r="G1253" s="53"/>
      <x:c r="H1253" s="53"/>
      <x:c r="I1253" s="53"/>
      <x:c r="J1253" s="53"/>
      <x:c r="K1253" s="53"/>
      <x:c r="L1253" s="53"/>
      <x:c r="M1253" s="53"/>
      <x:c r="N1253" s="53"/>
      <x:c r="O1253" s="53"/>
      <x:c r="P1253" s="53"/>
      <x:c r="Q1253" s="53"/>
      <x:c r="R1253" s="53"/>
      <x:c r="S1253" s="53"/>
      <x:c r="T1253" s="53"/>
      <x:c r="U1253" s="53"/>
      <x:c r="V1253" s="53"/>
      <x:c r="W1253" s="53"/>
      <x:c r="X1253" s="53"/>
      <x:c r="Y1253" s="53"/>
      <x:c r="Z1253" s="53"/>
      <x:c r="AA1253" s="53"/>
      <x:c r="AB1253" s="53"/>
      <x:c r="AC1253" s="53"/>
      <x:c r="AD1253" s="53"/>
      <x:c r="AE1253" s="53"/>
      <x:c r="AF1253" s="53"/>
    </x:row>
    <x:row r="1254">
      <x:c r="A1254" s="53"/>
      <x:c r="B1254" s="53"/>
      <x:c r="C1254" s="53"/>
      <x:c r="D1254" s="53"/>
      <x:c r="E1254" s="53"/>
      <x:c r="F1254" s="53"/>
      <x:c r="G1254" s="53"/>
      <x:c r="H1254" s="53"/>
      <x:c r="I1254" s="53"/>
      <x:c r="J1254" s="53"/>
      <x:c r="K1254" s="53"/>
      <x:c r="L1254" s="53"/>
      <x:c r="M1254" s="53"/>
      <x:c r="N1254" s="53"/>
      <x:c r="O1254" s="53"/>
      <x:c r="P1254" s="53"/>
      <x:c r="Q1254" s="53"/>
      <x:c r="R1254" s="53"/>
      <x:c r="S1254" s="53"/>
      <x:c r="T1254" s="53"/>
      <x:c r="U1254" s="53"/>
      <x:c r="V1254" s="53"/>
      <x:c r="W1254" s="53"/>
      <x:c r="X1254" s="53"/>
      <x:c r="Y1254" s="53"/>
      <x:c r="Z1254" s="53"/>
      <x:c r="AA1254" s="53"/>
      <x:c r="AB1254" s="53"/>
      <x:c r="AC1254" s="53"/>
      <x:c r="AD1254" s="53"/>
      <x:c r="AE1254" s="53"/>
      <x:c r="AF1254" s="53"/>
    </x:row>
    <x:row r="1255">
      <x:c r="A1255" s="53"/>
      <x:c r="B1255" s="53"/>
      <x:c r="C1255" s="53"/>
      <x:c r="D1255" s="53"/>
      <x:c r="E1255" s="53"/>
      <x:c r="F1255" s="53"/>
      <x:c r="G1255" s="53"/>
      <x:c r="H1255" s="53"/>
      <x:c r="I1255" s="53"/>
      <x:c r="J1255" s="53"/>
      <x:c r="K1255" s="53"/>
      <x:c r="L1255" s="53"/>
      <x:c r="M1255" s="53"/>
      <x:c r="N1255" s="53"/>
      <x:c r="O1255" s="53"/>
      <x:c r="P1255" s="53"/>
      <x:c r="Q1255" s="53"/>
      <x:c r="R1255" s="53"/>
      <x:c r="S1255" s="53"/>
      <x:c r="T1255" s="53"/>
      <x:c r="U1255" s="53"/>
      <x:c r="V1255" s="53"/>
      <x:c r="W1255" s="53"/>
      <x:c r="X1255" s="53"/>
      <x:c r="Y1255" s="53"/>
      <x:c r="Z1255" s="53"/>
      <x:c r="AA1255" s="53"/>
      <x:c r="AB1255" s="53"/>
      <x:c r="AC1255" s="53"/>
      <x:c r="AD1255" s="53"/>
      <x:c r="AE1255" s="53"/>
      <x:c r="AF1255" s="53"/>
    </x:row>
    <x:row r="1256">
      <x:c r="A1256" s="53"/>
      <x:c r="B1256" s="53"/>
      <x:c r="C1256" s="53"/>
      <x:c r="D1256" s="53"/>
      <x:c r="E1256" s="53"/>
      <x:c r="F1256" s="53"/>
      <x:c r="G1256" s="53"/>
      <x:c r="H1256" s="53"/>
      <x:c r="I1256" s="53"/>
      <x:c r="J1256" s="53"/>
      <x:c r="K1256" s="53"/>
      <x:c r="L1256" s="53"/>
      <x:c r="M1256" s="53"/>
      <x:c r="N1256" s="53"/>
      <x:c r="O1256" s="53"/>
      <x:c r="P1256" s="53"/>
      <x:c r="Q1256" s="53"/>
      <x:c r="R1256" s="53"/>
      <x:c r="S1256" s="53"/>
      <x:c r="T1256" s="53"/>
      <x:c r="U1256" s="53"/>
      <x:c r="V1256" s="53"/>
      <x:c r="W1256" s="53"/>
      <x:c r="X1256" s="53"/>
      <x:c r="Y1256" s="53"/>
      <x:c r="Z1256" s="53"/>
      <x:c r="AA1256" s="53"/>
      <x:c r="AB1256" s="53"/>
      <x:c r="AC1256" s="53"/>
      <x:c r="AD1256" s="53"/>
      <x:c r="AE1256" s="53"/>
      <x:c r="AF1256" s="53"/>
    </x:row>
    <x:row r="1257">
      <x:c r="A1257" s="53"/>
      <x:c r="B1257" s="53"/>
      <x:c r="C1257" s="53"/>
      <x:c r="D1257" s="53"/>
      <x:c r="E1257" s="53"/>
      <x:c r="F1257" s="53"/>
      <x:c r="G1257" s="53"/>
      <x:c r="H1257" s="53"/>
      <x:c r="I1257" s="53"/>
      <x:c r="J1257" s="53"/>
      <x:c r="K1257" s="53"/>
      <x:c r="L1257" s="53"/>
      <x:c r="M1257" s="53"/>
      <x:c r="N1257" s="53"/>
      <x:c r="O1257" s="53"/>
      <x:c r="P1257" s="53"/>
      <x:c r="Q1257" s="53"/>
      <x:c r="R1257" s="53"/>
      <x:c r="S1257" s="53"/>
      <x:c r="T1257" s="53"/>
      <x:c r="U1257" s="53"/>
      <x:c r="V1257" s="53"/>
      <x:c r="W1257" s="53"/>
      <x:c r="X1257" s="53"/>
      <x:c r="Y1257" s="53"/>
      <x:c r="Z1257" s="53"/>
      <x:c r="AA1257" s="53"/>
      <x:c r="AB1257" s="53"/>
      <x:c r="AC1257" s="53"/>
      <x:c r="AD1257" s="53"/>
      <x:c r="AE1257" s="53"/>
      <x:c r="AF1257" s="53"/>
    </x:row>
    <x:row r="1258">
      <x:c r="A1258" s="53"/>
      <x:c r="B1258" s="53"/>
      <x:c r="C1258" s="53"/>
      <x:c r="D1258" s="53"/>
      <x:c r="E1258" s="53"/>
      <x:c r="F1258" s="53"/>
      <x:c r="G1258" s="53"/>
      <x:c r="H1258" s="53"/>
      <x:c r="I1258" s="53"/>
      <x:c r="J1258" s="53"/>
      <x:c r="K1258" s="53"/>
      <x:c r="L1258" s="53"/>
      <x:c r="M1258" s="53"/>
      <x:c r="N1258" s="53"/>
      <x:c r="O1258" s="53"/>
      <x:c r="P1258" s="53"/>
      <x:c r="Q1258" s="53"/>
      <x:c r="R1258" s="53"/>
      <x:c r="S1258" s="53"/>
      <x:c r="T1258" s="53"/>
      <x:c r="U1258" s="53"/>
      <x:c r="V1258" s="53"/>
      <x:c r="W1258" s="53"/>
      <x:c r="X1258" s="53"/>
      <x:c r="Y1258" s="53"/>
      <x:c r="Z1258" s="53"/>
      <x:c r="AA1258" s="53"/>
      <x:c r="AB1258" s="53"/>
      <x:c r="AC1258" s="53"/>
      <x:c r="AD1258" s="53"/>
      <x:c r="AE1258" s="53"/>
      <x:c r="AF1258" s="53"/>
    </x:row>
    <x:row r="1259">
      <x:c r="A1259" s="53"/>
      <x:c r="B1259" s="53"/>
      <x:c r="C1259" s="53"/>
      <x:c r="D1259" s="53"/>
      <x:c r="E1259" s="53"/>
      <x:c r="F1259" s="53"/>
      <x:c r="G1259" s="53"/>
      <x:c r="H1259" s="53"/>
      <x:c r="I1259" s="53"/>
      <x:c r="J1259" s="53"/>
      <x:c r="K1259" s="53"/>
      <x:c r="L1259" s="53"/>
      <x:c r="M1259" s="53"/>
      <x:c r="N1259" s="53"/>
      <x:c r="O1259" s="53"/>
      <x:c r="P1259" s="53"/>
      <x:c r="Q1259" s="53"/>
      <x:c r="R1259" s="53"/>
      <x:c r="S1259" s="53"/>
      <x:c r="T1259" s="53"/>
      <x:c r="U1259" s="53"/>
      <x:c r="V1259" s="53"/>
      <x:c r="W1259" s="53"/>
      <x:c r="X1259" s="53"/>
      <x:c r="Y1259" s="53"/>
      <x:c r="Z1259" s="53"/>
      <x:c r="AA1259" s="53"/>
      <x:c r="AB1259" s="53"/>
      <x:c r="AC1259" s="53"/>
      <x:c r="AD1259" s="53"/>
      <x:c r="AE1259" s="53"/>
      <x:c r="AF1259" s="53"/>
    </x:row>
    <x:row r="1260">
      <x:c r="A1260" s="53"/>
      <x:c r="B1260" s="53"/>
      <x:c r="C1260" s="53"/>
      <x:c r="D1260" s="53"/>
      <x:c r="E1260" s="53"/>
      <x:c r="F1260" s="53"/>
      <x:c r="G1260" s="53"/>
      <x:c r="H1260" s="53"/>
      <x:c r="I1260" s="53"/>
      <x:c r="J1260" s="53"/>
      <x:c r="K1260" s="53"/>
      <x:c r="L1260" s="53"/>
      <x:c r="M1260" s="53"/>
      <x:c r="N1260" s="53"/>
      <x:c r="O1260" s="53"/>
      <x:c r="P1260" s="53"/>
      <x:c r="Q1260" s="53"/>
      <x:c r="R1260" s="53"/>
      <x:c r="S1260" s="53"/>
      <x:c r="T1260" s="53"/>
      <x:c r="U1260" s="53"/>
      <x:c r="V1260" s="53"/>
      <x:c r="W1260" s="53"/>
      <x:c r="X1260" s="53"/>
      <x:c r="Y1260" s="53"/>
      <x:c r="Z1260" s="53"/>
      <x:c r="AA1260" s="53"/>
      <x:c r="AB1260" s="53"/>
      <x:c r="AC1260" s="53"/>
      <x:c r="AD1260" s="53"/>
      <x:c r="AE1260" s="53"/>
      <x:c r="AF1260" s="53"/>
    </x:row>
    <x:row r="1261">
      <x:c r="A1261" s="53"/>
      <x:c r="B1261" s="53"/>
      <x:c r="C1261" s="53"/>
      <x:c r="D1261" s="53"/>
      <x:c r="E1261" s="53"/>
      <x:c r="F1261" s="53"/>
      <x:c r="G1261" s="53"/>
      <x:c r="H1261" s="53"/>
      <x:c r="I1261" s="53"/>
      <x:c r="J1261" s="53"/>
      <x:c r="K1261" s="53"/>
      <x:c r="L1261" s="53"/>
      <x:c r="M1261" s="53"/>
      <x:c r="N1261" s="53"/>
      <x:c r="O1261" s="53"/>
      <x:c r="P1261" s="53"/>
      <x:c r="Q1261" s="53"/>
      <x:c r="R1261" s="53"/>
      <x:c r="S1261" s="53"/>
      <x:c r="T1261" s="53"/>
      <x:c r="U1261" s="53"/>
      <x:c r="V1261" s="53"/>
      <x:c r="W1261" s="53"/>
      <x:c r="X1261" s="53"/>
      <x:c r="Y1261" s="53"/>
      <x:c r="Z1261" s="53"/>
      <x:c r="AA1261" s="53"/>
      <x:c r="AB1261" s="53"/>
      <x:c r="AC1261" s="53"/>
      <x:c r="AD1261" s="53"/>
      <x:c r="AE1261" s="53"/>
      <x:c r="AF1261" s="53"/>
    </x:row>
    <x:row r="1262">
      <x:c r="A1262" s="53"/>
      <x:c r="B1262" s="53"/>
      <x:c r="C1262" s="53"/>
      <x:c r="D1262" s="53"/>
      <x:c r="E1262" s="53"/>
      <x:c r="F1262" s="53"/>
      <x:c r="G1262" s="53"/>
      <x:c r="H1262" s="53"/>
      <x:c r="I1262" s="53"/>
      <x:c r="J1262" s="53"/>
      <x:c r="K1262" s="53"/>
      <x:c r="L1262" s="53"/>
      <x:c r="M1262" s="53"/>
      <x:c r="N1262" s="53"/>
      <x:c r="O1262" s="53"/>
      <x:c r="P1262" s="53"/>
      <x:c r="Q1262" s="53"/>
      <x:c r="R1262" s="53"/>
      <x:c r="S1262" s="53"/>
      <x:c r="T1262" s="53"/>
      <x:c r="U1262" s="53"/>
      <x:c r="V1262" s="53"/>
      <x:c r="W1262" s="53"/>
      <x:c r="X1262" s="53"/>
      <x:c r="Y1262" s="53"/>
      <x:c r="Z1262" s="53"/>
      <x:c r="AA1262" s="53"/>
      <x:c r="AB1262" s="53"/>
      <x:c r="AC1262" s="53"/>
      <x:c r="AD1262" s="53"/>
      <x:c r="AE1262" s="53"/>
      <x:c r="AF1262" s="53"/>
    </x:row>
    <x:row r="1263">
      <x:c r="A1263" s="53"/>
      <x:c r="B1263" s="53"/>
      <x:c r="C1263" s="53"/>
      <x:c r="D1263" s="53"/>
      <x:c r="E1263" s="53"/>
      <x:c r="F1263" s="53"/>
      <x:c r="G1263" s="53"/>
      <x:c r="H1263" s="53"/>
      <x:c r="I1263" s="53"/>
      <x:c r="J1263" s="53"/>
      <x:c r="K1263" s="53"/>
      <x:c r="L1263" s="53"/>
      <x:c r="M1263" s="53"/>
      <x:c r="N1263" s="53"/>
      <x:c r="O1263" s="53"/>
      <x:c r="P1263" s="53"/>
      <x:c r="Q1263" s="53"/>
      <x:c r="R1263" s="53"/>
      <x:c r="S1263" s="53"/>
      <x:c r="T1263" s="53"/>
      <x:c r="U1263" s="53"/>
      <x:c r="V1263" s="53"/>
      <x:c r="W1263" s="53"/>
      <x:c r="X1263" s="53"/>
      <x:c r="Y1263" s="53"/>
      <x:c r="Z1263" s="53"/>
      <x:c r="AA1263" s="53"/>
      <x:c r="AB1263" s="53"/>
      <x:c r="AC1263" s="53"/>
      <x:c r="AD1263" s="53"/>
      <x:c r="AE1263" s="53"/>
      <x:c r="AF1263" s="53"/>
    </x:row>
    <x:row r="1264">
      <x:c r="A1264" s="53"/>
      <x:c r="B1264" s="53"/>
      <x:c r="C1264" s="53"/>
      <x:c r="D1264" s="53"/>
      <x:c r="E1264" s="53"/>
      <x:c r="F1264" s="53"/>
      <x:c r="G1264" s="53"/>
      <x:c r="H1264" s="53"/>
      <x:c r="I1264" s="53"/>
      <x:c r="J1264" s="53"/>
      <x:c r="K1264" s="53"/>
      <x:c r="L1264" s="53"/>
      <x:c r="M1264" s="53"/>
      <x:c r="N1264" s="53"/>
      <x:c r="O1264" s="53"/>
      <x:c r="P1264" s="53"/>
      <x:c r="Q1264" s="53"/>
      <x:c r="R1264" s="53"/>
      <x:c r="S1264" s="53"/>
      <x:c r="T1264" s="53"/>
      <x:c r="U1264" s="53"/>
      <x:c r="V1264" s="53"/>
      <x:c r="W1264" s="53"/>
      <x:c r="X1264" s="53"/>
      <x:c r="Y1264" s="53"/>
      <x:c r="Z1264" s="53"/>
      <x:c r="AA1264" s="53"/>
      <x:c r="AB1264" s="53"/>
      <x:c r="AC1264" s="53"/>
      <x:c r="AD1264" s="53"/>
      <x:c r="AE1264" s="53"/>
      <x:c r="AF1264" s="53"/>
    </x:row>
    <x:row r="1265">
      <x:c r="A1265" s="53"/>
      <x:c r="B1265" s="53"/>
      <x:c r="C1265" s="53"/>
      <x:c r="D1265" s="53"/>
      <x:c r="E1265" s="53"/>
      <x:c r="F1265" s="53"/>
      <x:c r="G1265" s="53"/>
      <x:c r="H1265" s="53"/>
      <x:c r="I1265" s="53"/>
      <x:c r="J1265" s="53"/>
      <x:c r="K1265" s="53"/>
      <x:c r="L1265" s="53"/>
      <x:c r="M1265" s="53"/>
      <x:c r="N1265" s="53"/>
      <x:c r="O1265" s="53"/>
      <x:c r="P1265" s="53"/>
      <x:c r="Q1265" s="53"/>
      <x:c r="R1265" s="53"/>
      <x:c r="S1265" s="53"/>
      <x:c r="T1265" s="53"/>
      <x:c r="U1265" s="53"/>
      <x:c r="V1265" s="53"/>
      <x:c r="W1265" s="53"/>
      <x:c r="X1265" s="53"/>
      <x:c r="Y1265" s="53"/>
      <x:c r="Z1265" s="53"/>
      <x:c r="AA1265" s="53"/>
      <x:c r="AB1265" s="53"/>
      <x:c r="AC1265" s="53"/>
      <x:c r="AD1265" s="53"/>
      <x:c r="AE1265" s="53"/>
      <x:c r="AF1265" s="53"/>
    </x:row>
    <x:row r="1266">
      <x:c r="A1266" s="53"/>
      <x:c r="B1266" s="53"/>
      <x:c r="C1266" s="53"/>
      <x:c r="D1266" s="53"/>
      <x:c r="E1266" s="53"/>
      <x:c r="F1266" s="53"/>
      <x:c r="G1266" s="53"/>
      <x:c r="H1266" s="53"/>
      <x:c r="I1266" s="53"/>
      <x:c r="J1266" s="53"/>
      <x:c r="K1266" s="53"/>
      <x:c r="L1266" s="53"/>
      <x:c r="M1266" s="53"/>
      <x:c r="N1266" s="53"/>
      <x:c r="O1266" s="53"/>
      <x:c r="P1266" s="53"/>
      <x:c r="Q1266" s="53"/>
      <x:c r="R1266" s="53"/>
      <x:c r="S1266" s="53"/>
      <x:c r="T1266" s="53"/>
      <x:c r="U1266" s="53"/>
      <x:c r="V1266" s="53"/>
      <x:c r="W1266" s="53"/>
      <x:c r="X1266" s="53"/>
      <x:c r="Y1266" s="53"/>
      <x:c r="Z1266" s="53"/>
      <x:c r="AA1266" s="53"/>
      <x:c r="AB1266" s="53"/>
      <x:c r="AC1266" s="53"/>
      <x:c r="AD1266" s="53"/>
      <x:c r="AE1266" s="53"/>
      <x:c r="AF1266" s="53"/>
    </x:row>
    <x:row r="1267">
      <x:c r="A1267" s="53"/>
      <x:c r="B1267" s="53"/>
      <x:c r="C1267" s="53"/>
      <x:c r="D1267" s="53"/>
      <x:c r="E1267" s="53"/>
      <x:c r="F1267" s="53"/>
      <x:c r="G1267" s="53"/>
      <x:c r="H1267" s="53"/>
      <x:c r="I1267" s="53"/>
      <x:c r="J1267" s="53"/>
      <x:c r="K1267" s="53"/>
      <x:c r="L1267" s="53"/>
      <x:c r="M1267" s="53"/>
      <x:c r="N1267" s="53"/>
      <x:c r="O1267" s="53"/>
      <x:c r="P1267" s="53"/>
      <x:c r="Q1267" s="53"/>
      <x:c r="R1267" s="53"/>
      <x:c r="S1267" s="53"/>
      <x:c r="T1267" s="53"/>
      <x:c r="U1267" s="53"/>
      <x:c r="V1267" s="53"/>
      <x:c r="W1267" s="53"/>
      <x:c r="X1267" s="53"/>
      <x:c r="Y1267" s="53"/>
      <x:c r="Z1267" s="53"/>
      <x:c r="AA1267" s="53"/>
      <x:c r="AB1267" s="53"/>
      <x:c r="AC1267" s="53"/>
      <x:c r="AD1267" s="53"/>
      <x:c r="AE1267" s="53"/>
      <x:c r="AF1267" s="53"/>
    </x:row>
    <x:row r="1268">
      <x:c r="A1268" s="53"/>
      <x:c r="B1268" s="53"/>
      <x:c r="C1268" s="53"/>
      <x:c r="D1268" s="53"/>
      <x:c r="E1268" s="53"/>
      <x:c r="F1268" s="53"/>
      <x:c r="G1268" s="53"/>
      <x:c r="H1268" s="53"/>
      <x:c r="I1268" s="53"/>
      <x:c r="J1268" s="53"/>
      <x:c r="K1268" s="53"/>
      <x:c r="L1268" s="53"/>
      <x:c r="M1268" s="53"/>
      <x:c r="N1268" s="53"/>
      <x:c r="O1268" s="53"/>
      <x:c r="P1268" s="53"/>
      <x:c r="Q1268" s="53"/>
      <x:c r="R1268" s="53"/>
      <x:c r="S1268" s="53"/>
      <x:c r="T1268" s="53"/>
      <x:c r="U1268" s="53"/>
      <x:c r="V1268" s="53"/>
      <x:c r="W1268" s="53"/>
      <x:c r="X1268" s="53"/>
      <x:c r="Y1268" s="53"/>
      <x:c r="Z1268" s="53"/>
      <x:c r="AA1268" s="53"/>
      <x:c r="AB1268" s="53"/>
      <x:c r="AC1268" s="53"/>
      <x:c r="AD1268" s="53"/>
      <x:c r="AE1268" s="53"/>
      <x:c r="AF1268" s="53"/>
    </x:row>
    <x:row r="1269">
      <x:c r="A1269" s="53"/>
      <x:c r="B1269" s="53"/>
      <x:c r="C1269" s="53"/>
      <x:c r="D1269" s="53"/>
      <x:c r="E1269" s="53"/>
      <x:c r="F1269" s="53"/>
      <x:c r="G1269" s="53"/>
      <x:c r="H1269" s="53"/>
      <x:c r="I1269" s="53"/>
      <x:c r="J1269" s="53"/>
      <x:c r="K1269" s="53"/>
      <x:c r="L1269" s="53"/>
      <x:c r="M1269" s="53"/>
      <x:c r="N1269" s="53"/>
      <x:c r="O1269" s="53"/>
      <x:c r="P1269" s="53"/>
      <x:c r="Q1269" s="53"/>
      <x:c r="R1269" s="53"/>
      <x:c r="S1269" s="53"/>
      <x:c r="T1269" s="53"/>
      <x:c r="U1269" s="53"/>
      <x:c r="V1269" s="53"/>
      <x:c r="W1269" s="53"/>
      <x:c r="X1269" s="53"/>
      <x:c r="Y1269" s="53"/>
      <x:c r="Z1269" s="53"/>
      <x:c r="AA1269" s="53"/>
      <x:c r="AB1269" s="53"/>
      <x:c r="AC1269" s="53"/>
      <x:c r="AD1269" s="53"/>
      <x:c r="AE1269" s="53"/>
      <x:c r="AF1269" s="53"/>
    </x:row>
    <x:row r="1270">
      <x:c r="A1270" s="53"/>
      <x:c r="B1270" s="53"/>
      <x:c r="C1270" s="53"/>
      <x:c r="D1270" s="53"/>
      <x:c r="E1270" s="53"/>
      <x:c r="F1270" s="53"/>
      <x:c r="G1270" s="53"/>
      <x:c r="H1270" s="53"/>
      <x:c r="I1270" s="53"/>
      <x:c r="J1270" s="53"/>
      <x:c r="K1270" s="53"/>
      <x:c r="L1270" s="53"/>
      <x:c r="M1270" s="53"/>
      <x:c r="N1270" s="53"/>
      <x:c r="O1270" s="53"/>
      <x:c r="P1270" s="53"/>
      <x:c r="Q1270" s="53"/>
      <x:c r="R1270" s="53"/>
      <x:c r="S1270" s="53"/>
      <x:c r="T1270" s="53"/>
      <x:c r="U1270" s="53"/>
      <x:c r="V1270" s="53"/>
      <x:c r="W1270" s="53"/>
      <x:c r="X1270" s="53"/>
      <x:c r="Y1270" s="53"/>
      <x:c r="Z1270" s="53"/>
      <x:c r="AA1270" s="53"/>
      <x:c r="AB1270" s="53"/>
      <x:c r="AC1270" s="53"/>
      <x:c r="AD1270" s="53"/>
      <x:c r="AE1270" s="53"/>
      <x:c r="AF1270" s="53"/>
    </x:row>
    <x:row r="1271">
      <x:c r="A1271" s="53"/>
      <x:c r="B1271" s="53"/>
      <x:c r="C1271" s="53"/>
      <x:c r="D1271" s="53"/>
      <x:c r="E1271" s="53"/>
      <x:c r="F1271" s="53"/>
      <x:c r="G1271" s="53"/>
      <x:c r="H1271" s="53"/>
      <x:c r="I1271" s="53"/>
      <x:c r="J1271" s="53"/>
      <x:c r="K1271" s="53"/>
      <x:c r="L1271" s="53"/>
      <x:c r="M1271" s="53"/>
      <x:c r="N1271" s="53"/>
      <x:c r="O1271" s="53"/>
      <x:c r="P1271" s="53"/>
      <x:c r="Q1271" s="53"/>
      <x:c r="R1271" s="53"/>
      <x:c r="S1271" s="53"/>
      <x:c r="T1271" s="53"/>
      <x:c r="U1271" s="53"/>
      <x:c r="V1271" s="53"/>
      <x:c r="W1271" s="53"/>
      <x:c r="X1271" s="53"/>
      <x:c r="Y1271" s="53"/>
      <x:c r="Z1271" s="53"/>
      <x:c r="AA1271" s="53"/>
      <x:c r="AB1271" s="53"/>
      <x:c r="AC1271" s="53"/>
      <x:c r="AD1271" s="53"/>
      <x:c r="AE1271" s="53"/>
      <x:c r="AF1271" s="53"/>
    </x:row>
    <x:row r="1272">
      <x:c r="A1272" s="53"/>
      <x:c r="B1272" s="53"/>
      <x:c r="C1272" s="53"/>
      <x:c r="D1272" s="53"/>
      <x:c r="E1272" s="53"/>
      <x:c r="F1272" s="53"/>
      <x:c r="G1272" s="53"/>
      <x:c r="H1272" s="53"/>
      <x:c r="I1272" s="53"/>
      <x:c r="J1272" s="53"/>
      <x:c r="K1272" s="53"/>
      <x:c r="L1272" s="53"/>
      <x:c r="M1272" s="53"/>
      <x:c r="N1272" s="53"/>
      <x:c r="O1272" s="53"/>
      <x:c r="P1272" s="53"/>
      <x:c r="Q1272" s="53"/>
      <x:c r="R1272" s="53"/>
      <x:c r="S1272" s="53"/>
      <x:c r="T1272" s="53"/>
      <x:c r="U1272" s="53"/>
      <x:c r="V1272" s="53"/>
      <x:c r="W1272" s="53"/>
      <x:c r="X1272" s="53"/>
      <x:c r="Y1272" s="53"/>
      <x:c r="Z1272" s="53"/>
      <x:c r="AA1272" s="53"/>
      <x:c r="AB1272" s="53"/>
      <x:c r="AC1272" s="53"/>
      <x:c r="AD1272" s="53"/>
      <x:c r="AE1272" s="53"/>
      <x:c r="AF1272" s="53"/>
    </x:row>
    <x:row r="1273">
      <x:c r="A1273" s="53"/>
      <x:c r="B1273" s="53"/>
      <x:c r="C1273" s="53"/>
      <x:c r="D1273" s="53"/>
      <x:c r="E1273" s="53"/>
      <x:c r="F1273" s="53"/>
      <x:c r="G1273" s="53"/>
      <x:c r="H1273" s="53"/>
      <x:c r="I1273" s="53"/>
      <x:c r="J1273" s="53"/>
      <x:c r="K1273" s="53"/>
      <x:c r="L1273" s="53"/>
      <x:c r="M1273" s="53"/>
      <x:c r="N1273" s="53"/>
      <x:c r="O1273" s="53"/>
      <x:c r="P1273" s="53"/>
      <x:c r="Q1273" s="53"/>
      <x:c r="R1273" s="53"/>
      <x:c r="S1273" s="53"/>
      <x:c r="T1273" s="53"/>
      <x:c r="U1273" s="53"/>
      <x:c r="V1273" s="53"/>
      <x:c r="W1273" s="53"/>
      <x:c r="X1273" s="53"/>
      <x:c r="Y1273" s="53"/>
      <x:c r="Z1273" s="53"/>
      <x:c r="AA1273" s="53"/>
      <x:c r="AB1273" s="53"/>
      <x:c r="AC1273" s="53"/>
      <x:c r="AD1273" s="53"/>
      <x:c r="AE1273" s="53"/>
      <x:c r="AF1273" s="53"/>
    </x:row>
    <x:row r="1274">
      <x:c r="A1274" s="53"/>
      <x:c r="B1274" s="53"/>
      <x:c r="C1274" s="53"/>
      <x:c r="D1274" s="53"/>
      <x:c r="E1274" s="53"/>
      <x:c r="F1274" s="53"/>
      <x:c r="G1274" s="53"/>
      <x:c r="H1274" s="53"/>
      <x:c r="I1274" s="53"/>
      <x:c r="J1274" s="53"/>
      <x:c r="K1274" s="53"/>
      <x:c r="L1274" s="53"/>
      <x:c r="M1274" s="53"/>
      <x:c r="N1274" s="53"/>
      <x:c r="O1274" s="53"/>
      <x:c r="P1274" s="53"/>
      <x:c r="Q1274" s="53"/>
      <x:c r="R1274" s="53"/>
      <x:c r="S1274" s="53"/>
      <x:c r="T1274" s="53"/>
      <x:c r="U1274" s="53"/>
      <x:c r="V1274" s="53"/>
      <x:c r="W1274" s="53"/>
      <x:c r="X1274" s="53"/>
      <x:c r="Y1274" s="53"/>
      <x:c r="Z1274" s="53"/>
      <x:c r="AA1274" s="53"/>
      <x:c r="AB1274" s="53"/>
      <x:c r="AC1274" s="53"/>
      <x:c r="AD1274" s="53"/>
      <x:c r="AE1274" s="53"/>
      <x:c r="AF1274" s="53"/>
    </x:row>
    <x:row r="1275">
      <x:c r="A1275" s="53"/>
      <x:c r="B1275" s="53"/>
      <x:c r="C1275" s="53"/>
      <x:c r="D1275" s="53"/>
      <x:c r="E1275" s="53"/>
      <x:c r="F1275" s="53"/>
      <x:c r="G1275" s="53"/>
      <x:c r="H1275" s="53"/>
      <x:c r="I1275" s="53"/>
      <x:c r="J1275" s="53"/>
      <x:c r="K1275" s="53"/>
      <x:c r="L1275" s="53"/>
      <x:c r="M1275" s="53"/>
      <x:c r="N1275" s="53"/>
      <x:c r="O1275" s="53"/>
      <x:c r="P1275" s="53"/>
      <x:c r="Q1275" s="53"/>
      <x:c r="R1275" s="53"/>
      <x:c r="S1275" s="53"/>
      <x:c r="T1275" s="53"/>
      <x:c r="U1275" s="53"/>
      <x:c r="V1275" s="53"/>
      <x:c r="W1275" s="53"/>
      <x:c r="X1275" s="53"/>
      <x:c r="Y1275" s="53"/>
      <x:c r="Z1275" s="53"/>
      <x:c r="AA1275" s="53"/>
      <x:c r="AB1275" s="53"/>
      <x:c r="AC1275" s="53"/>
      <x:c r="AD1275" s="53"/>
      <x:c r="AE1275" s="53"/>
      <x:c r="AF1275" s="53"/>
    </x:row>
    <x:row r="1276">
      <x:c r="A1276" s="53"/>
      <x:c r="B1276" s="53"/>
      <x:c r="C1276" s="53"/>
      <x:c r="D1276" s="53"/>
      <x:c r="E1276" s="53"/>
      <x:c r="F1276" s="53"/>
      <x:c r="G1276" s="53"/>
      <x:c r="H1276" s="53"/>
      <x:c r="I1276" s="53"/>
      <x:c r="J1276" s="53"/>
      <x:c r="K1276" s="53"/>
      <x:c r="L1276" s="53"/>
      <x:c r="M1276" s="53"/>
      <x:c r="N1276" s="53"/>
      <x:c r="O1276" s="53"/>
      <x:c r="P1276" s="53"/>
      <x:c r="Q1276" s="53"/>
      <x:c r="R1276" s="53"/>
      <x:c r="S1276" s="53"/>
      <x:c r="T1276" s="53"/>
      <x:c r="U1276" s="53"/>
      <x:c r="V1276" s="53"/>
      <x:c r="W1276" s="53"/>
      <x:c r="X1276" s="53"/>
      <x:c r="Y1276" s="53"/>
      <x:c r="Z1276" s="53"/>
      <x:c r="AA1276" s="53"/>
      <x:c r="AB1276" s="53"/>
      <x:c r="AC1276" s="53"/>
      <x:c r="AD1276" s="53"/>
      <x:c r="AE1276" s="53"/>
      <x:c r="AF1276" s="53"/>
    </x:row>
    <x:row r="1277">
      <x:c r="A1277" s="53"/>
      <x:c r="B1277" s="53"/>
      <x:c r="C1277" s="53"/>
      <x:c r="D1277" s="53"/>
      <x:c r="E1277" s="53"/>
      <x:c r="F1277" s="53"/>
      <x:c r="G1277" s="53"/>
      <x:c r="H1277" s="53"/>
      <x:c r="I1277" s="53"/>
      <x:c r="J1277" s="53"/>
      <x:c r="K1277" s="53"/>
      <x:c r="L1277" s="53"/>
      <x:c r="M1277" s="53"/>
      <x:c r="N1277" s="53"/>
      <x:c r="O1277" s="53"/>
      <x:c r="P1277" s="53"/>
      <x:c r="Q1277" s="53"/>
      <x:c r="R1277" s="53"/>
      <x:c r="S1277" s="53"/>
      <x:c r="T1277" s="53"/>
      <x:c r="U1277" s="53"/>
      <x:c r="V1277" s="53"/>
      <x:c r="W1277" s="53"/>
      <x:c r="X1277" s="53"/>
      <x:c r="Y1277" s="53"/>
      <x:c r="Z1277" s="53"/>
      <x:c r="AA1277" s="53"/>
      <x:c r="AB1277" s="53"/>
      <x:c r="AC1277" s="53"/>
      <x:c r="AD1277" s="53"/>
      <x:c r="AE1277" s="53"/>
      <x:c r="AF1277" s="53"/>
    </x:row>
    <x:row r="1278">
      <x:c r="A1278" s="53"/>
      <x:c r="B1278" s="53"/>
      <x:c r="C1278" s="53"/>
      <x:c r="D1278" s="53"/>
      <x:c r="E1278" s="53"/>
      <x:c r="F1278" s="53"/>
      <x:c r="G1278" s="53"/>
      <x:c r="H1278" s="53"/>
      <x:c r="I1278" s="53"/>
      <x:c r="J1278" s="53"/>
      <x:c r="K1278" s="53"/>
      <x:c r="L1278" s="53"/>
      <x:c r="M1278" s="53"/>
      <x:c r="N1278" s="53"/>
      <x:c r="O1278" s="53"/>
      <x:c r="P1278" s="53"/>
      <x:c r="Q1278" s="53"/>
      <x:c r="R1278" s="53"/>
      <x:c r="S1278" s="53"/>
      <x:c r="T1278" s="53"/>
      <x:c r="U1278" s="53"/>
      <x:c r="V1278" s="53"/>
      <x:c r="W1278" s="53"/>
      <x:c r="X1278" s="53"/>
      <x:c r="Y1278" s="53"/>
      <x:c r="Z1278" s="53"/>
      <x:c r="AA1278" s="53"/>
      <x:c r="AB1278" s="53"/>
      <x:c r="AC1278" s="53"/>
      <x:c r="AD1278" s="53"/>
      <x:c r="AE1278" s="53"/>
      <x:c r="AF1278" s="53"/>
    </x:row>
    <x:row r="1279">
      <x:c r="A1279" s="53"/>
      <x:c r="B1279" s="53"/>
      <x:c r="C1279" s="53"/>
      <x:c r="D1279" s="53"/>
      <x:c r="E1279" s="53"/>
      <x:c r="F1279" s="53"/>
      <x:c r="G1279" s="53"/>
      <x:c r="H1279" s="53"/>
      <x:c r="I1279" s="53"/>
      <x:c r="J1279" s="53"/>
      <x:c r="K1279" s="53"/>
      <x:c r="L1279" s="53"/>
      <x:c r="M1279" s="53"/>
      <x:c r="N1279" s="53"/>
      <x:c r="O1279" s="53"/>
      <x:c r="P1279" s="53"/>
      <x:c r="Q1279" s="53"/>
      <x:c r="R1279" s="53"/>
      <x:c r="S1279" s="53"/>
      <x:c r="T1279" s="53"/>
      <x:c r="U1279" s="53"/>
      <x:c r="V1279" s="53"/>
      <x:c r="W1279" s="53"/>
      <x:c r="X1279" s="53"/>
      <x:c r="Y1279" s="53"/>
      <x:c r="Z1279" s="53"/>
      <x:c r="AA1279" s="53"/>
      <x:c r="AB1279" s="53"/>
      <x:c r="AC1279" s="53"/>
      <x:c r="AD1279" s="53"/>
      <x:c r="AE1279" s="53"/>
      <x:c r="AF1279" s="53"/>
    </x:row>
    <x:row r="1280">
      <x:c r="A1280" s="53"/>
      <x:c r="B1280" s="53"/>
      <x:c r="C1280" s="53"/>
      <x:c r="D1280" s="53"/>
      <x:c r="E1280" s="53"/>
      <x:c r="F1280" s="53"/>
      <x:c r="G1280" s="53"/>
      <x:c r="H1280" s="53"/>
      <x:c r="I1280" s="53"/>
      <x:c r="J1280" s="53"/>
      <x:c r="K1280" s="53"/>
      <x:c r="L1280" s="53"/>
      <x:c r="M1280" s="53"/>
      <x:c r="N1280" s="53"/>
      <x:c r="O1280" s="53"/>
      <x:c r="P1280" s="53"/>
      <x:c r="Q1280" s="53"/>
      <x:c r="R1280" s="53"/>
      <x:c r="S1280" s="53"/>
      <x:c r="T1280" s="53"/>
      <x:c r="U1280" s="53"/>
      <x:c r="V1280" s="53"/>
      <x:c r="W1280" s="53"/>
      <x:c r="X1280" s="53"/>
      <x:c r="Y1280" s="53"/>
      <x:c r="Z1280" s="53"/>
      <x:c r="AA1280" s="53"/>
      <x:c r="AB1280" s="53"/>
      <x:c r="AC1280" s="53"/>
      <x:c r="AD1280" s="53"/>
      <x:c r="AE1280" s="53"/>
      <x:c r="AF1280" s="53"/>
    </x:row>
    <x:row r="1281">
      <x:c r="A1281" s="53"/>
      <x:c r="B1281" s="53"/>
      <x:c r="C1281" s="53"/>
      <x:c r="D1281" s="53"/>
      <x:c r="E1281" s="53"/>
      <x:c r="F1281" s="53"/>
      <x:c r="G1281" s="53"/>
      <x:c r="H1281" s="53"/>
      <x:c r="I1281" s="53"/>
      <x:c r="J1281" s="53"/>
      <x:c r="K1281" s="53"/>
      <x:c r="L1281" s="53"/>
      <x:c r="M1281" s="53"/>
      <x:c r="N1281" s="53"/>
      <x:c r="O1281" s="53"/>
      <x:c r="P1281" s="53"/>
      <x:c r="Q1281" s="53"/>
      <x:c r="R1281" s="53"/>
      <x:c r="S1281" s="53"/>
      <x:c r="T1281" s="53"/>
      <x:c r="U1281" s="53"/>
      <x:c r="V1281" s="53"/>
      <x:c r="W1281" s="53"/>
      <x:c r="X1281" s="53"/>
      <x:c r="Y1281" s="53"/>
      <x:c r="Z1281" s="53"/>
      <x:c r="AA1281" s="53"/>
      <x:c r="AB1281" s="53"/>
      <x:c r="AC1281" s="53"/>
      <x:c r="AD1281" s="53"/>
      <x:c r="AE1281" s="53"/>
      <x:c r="AF1281" s="53"/>
    </x:row>
    <x:row r="1282">
      <x:c r="A1282" s="53"/>
      <x:c r="B1282" s="53"/>
      <x:c r="C1282" s="53"/>
      <x:c r="D1282" s="53"/>
      <x:c r="E1282" s="53"/>
      <x:c r="F1282" s="53"/>
      <x:c r="G1282" s="53"/>
      <x:c r="H1282" s="53"/>
      <x:c r="I1282" s="53"/>
      <x:c r="J1282" s="53"/>
      <x:c r="K1282" s="53"/>
      <x:c r="L1282" s="53"/>
      <x:c r="M1282" s="53"/>
      <x:c r="N1282" s="53"/>
      <x:c r="O1282" s="53"/>
      <x:c r="P1282" s="53"/>
      <x:c r="Q1282" s="53"/>
      <x:c r="R1282" s="53"/>
      <x:c r="S1282" s="53"/>
      <x:c r="T1282" s="53"/>
      <x:c r="U1282" s="53"/>
      <x:c r="V1282" s="53"/>
      <x:c r="W1282" s="53"/>
      <x:c r="X1282" s="53"/>
      <x:c r="Y1282" s="53"/>
      <x:c r="Z1282" s="53"/>
      <x:c r="AA1282" s="53"/>
      <x:c r="AB1282" s="53"/>
      <x:c r="AC1282" s="53"/>
      <x:c r="AD1282" s="53"/>
      <x:c r="AE1282" s="53"/>
      <x:c r="AF1282" s="53"/>
    </x:row>
    <x:row r="1283">
      <x:c r="A1283" s="53"/>
      <x:c r="B1283" s="53"/>
      <x:c r="C1283" s="53"/>
      <x:c r="D1283" s="53"/>
      <x:c r="E1283" s="53"/>
      <x:c r="F1283" s="53"/>
      <x:c r="G1283" s="53"/>
      <x:c r="H1283" s="53"/>
      <x:c r="I1283" s="53"/>
      <x:c r="J1283" s="53"/>
      <x:c r="K1283" s="53"/>
      <x:c r="L1283" s="53"/>
      <x:c r="M1283" s="53"/>
      <x:c r="N1283" s="53"/>
      <x:c r="O1283" s="53"/>
      <x:c r="P1283" s="53"/>
      <x:c r="Q1283" s="53"/>
      <x:c r="R1283" s="53"/>
      <x:c r="S1283" s="53"/>
      <x:c r="T1283" s="53"/>
      <x:c r="U1283" s="53"/>
      <x:c r="V1283" s="53"/>
      <x:c r="W1283" s="53"/>
      <x:c r="X1283" s="53"/>
      <x:c r="Y1283" s="53"/>
      <x:c r="Z1283" s="53"/>
      <x:c r="AA1283" s="53"/>
      <x:c r="AB1283" s="53"/>
      <x:c r="AC1283" s="53"/>
      <x:c r="AD1283" s="53"/>
      <x:c r="AE1283" s="53"/>
      <x:c r="AF1283" s="53"/>
    </x:row>
    <x:row r="1284">
      <x:c r="A1284" s="53"/>
      <x:c r="B1284" s="53"/>
      <x:c r="C1284" s="53"/>
      <x:c r="D1284" s="53"/>
      <x:c r="E1284" s="53"/>
      <x:c r="F1284" s="53"/>
      <x:c r="G1284" s="53"/>
      <x:c r="H1284" s="53"/>
      <x:c r="I1284" s="53"/>
      <x:c r="J1284" s="53"/>
      <x:c r="K1284" s="53"/>
      <x:c r="L1284" s="53"/>
      <x:c r="M1284" s="53"/>
      <x:c r="N1284" s="53"/>
      <x:c r="O1284" s="53"/>
      <x:c r="P1284" s="53"/>
      <x:c r="Q1284" s="53"/>
      <x:c r="R1284" s="53"/>
      <x:c r="S1284" s="53"/>
      <x:c r="T1284" s="53"/>
      <x:c r="U1284" s="53"/>
      <x:c r="V1284" s="53"/>
      <x:c r="W1284" s="53"/>
      <x:c r="X1284" s="53"/>
      <x:c r="Y1284" s="53"/>
      <x:c r="Z1284" s="53"/>
      <x:c r="AA1284" s="53"/>
      <x:c r="AB1284" s="53"/>
      <x:c r="AC1284" s="53"/>
      <x:c r="AD1284" s="53"/>
      <x:c r="AE1284" s="53"/>
      <x:c r="AF1284" s="53"/>
    </x:row>
    <x:row r="1285">
      <x:c r="A1285" s="53"/>
      <x:c r="B1285" s="53"/>
      <x:c r="C1285" s="53"/>
      <x:c r="D1285" s="53"/>
      <x:c r="E1285" s="53"/>
      <x:c r="F1285" s="53"/>
      <x:c r="G1285" s="53"/>
      <x:c r="H1285" s="53"/>
      <x:c r="I1285" s="53"/>
      <x:c r="J1285" s="53"/>
      <x:c r="K1285" s="53"/>
      <x:c r="L1285" s="53"/>
      <x:c r="M1285" s="53"/>
      <x:c r="N1285" s="53"/>
      <x:c r="O1285" s="53"/>
      <x:c r="P1285" s="53"/>
      <x:c r="Q1285" s="53"/>
      <x:c r="R1285" s="53"/>
      <x:c r="S1285" s="53"/>
      <x:c r="T1285" s="53"/>
      <x:c r="U1285" s="53"/>
      <x:c r="V1285" s="53"/>
      <x:c r="W1285" s="53"/>
      <x:c r="X1285" s="53"/>
      <x:c r="Y1285" s="53"/>
      <x:c r="Z1285" s="53"/>
      <x:c r="AA1285" s="53"/>
      <x:c r="AB1285" s="53"/>
      <x:c r="AC1285" s="53"/>
      <x:c r="AD1285" s="53"/>
      <x:c r="AE1285" s="53"/>
      <x:c r="AF1285" s="53"/>
    </x:row>
    <x:row r="1286">
      <x:c r="A1286" s="53"/>
      <x:c r="B1286" s="53"/>
      <x:c r="C1286" s="53"/>
      <x:c r="D1286" s="53"/>
      <x:c r="E1286" s="53"/>
      <x:c r="F1286" s="53"/>
      <x:c r="G1286" s="53"/>
      <x:c r="H1286" s="53"/>
      <x:c r="I1286" s="53"/>
      <x:c r="J1286" s="53"/>
      <x:c r="K1286" s="53"/>
      <x:c r="L1286" s="53"/>
      <x:c r="M1286" s="53"/>
      <x:c r="N1286" s="53"/>
      <x:c r="O1286" s="53"/>
      <x:c r="P1286" s="53"/>
      <x:c r="Q1286" s="53"/>
      <x:c r="R1286" s="53"/>
      <x:c r="S1286" s="53"/>
      <x:c r="T1286" s="53"/>
      <x:c r="U1286" s="53"/>
      <x:c r="V1286" s="53"/>
      <x:c r="W1286" s="53"/>
      <x:c r="X1286" s="53"/>
      <x:c r="Y1286" s="53"/>
      <x:c r="Z1286" s="53"/>
      <x:c r="AA1286" s="53"/>
      <x:c r="AB1286" s="53"/>
      <x:c r="AC1286" s="53"/>
      <x:c r="AD1286" s="53"/>
      <x:c r="AE1286" s="53"/>
      <x:c r="AF1286" s="53"/>
    </x:row>
    <x:row r="1287">
      <x:c r="A1287" s="53"/>
      <x:c r="B1287" s="53"/>
      <x:c r="C1287" s="53"/>
      <x:c r="D1287" s="53"/>
      <x:c r="E1287" s="53"/>
      <x:c r="F1287" s="53"/>
      <x:c r="G1287" s="53"/>
      <x:c r="H1287" s="53"/>
      <x:c r="I1287" s="53"/>
      <x:c r="J1287" s="53"/>
      <x:c r="K1287" s="53"/>
      <x:c r="L1287" s="53"/>
      <x:c r="M1287" s="53"/>
      <x:c r="N1287" s="53"/>
      <x:c r="O1287" s="53"/>
      <x:c r="P1287" s="53"/>
      <x:c r="Q1287" s="53"/>
      <x:c r="R1287" s="53"/>
      <x:c r="S1287" s="53"/>
      <x:c r="T1287" s="53"/>
      <x:c r="U1287" s="53"/>
      <x:c r="V1287" s="53"/>
      <x:c r="W1287" s="53"/>
      <x:c r="X1287" s="53"/>
      <x:c r="Y1287" s="53"/>
      <x:c r="Z1287" s="53"/>
      <x:c r="AA1287" s="53"/>
      <x:c r="AB1287" s="53"/>
      <x:c r="AC1287" s="53"/>
      <x:c r="AD1287" s="53"/>
      <x:c r="AE1287" s="53"/>
      <x:c r="AF1287" s="53"/>
    </x:row>
    <x:row r="1288">
      <x:c r="A1288" s="53"/>
      <x:c r="B1288" s="53"/>
      <x:c r="C1288" s="53"/>
      <x:c r="D1288" s="53"/>
      <x:c r="E1288" s="53"/>
      <x:c r="F1288" s="53"/>
      <x:c r="G1288" s="53"/>
      <x:c r="H1288" s="53"/>
      <x:c r="I1288" s="53"/>
      <x:c r="J1288" s="53"/>
      <x:c r="K1288" s="53"/>
      <x:c r="L1288" s="53"/>
      <x:c r="M1288" s="53"/>
      <x:c r="N1288" s="53"/>
      <x:c r="O1288" s="53"/>
      <x:c r="P1288" s="53"/>
      <x:c r="Q1288" s="53"/>
      <x:c r="R1288" s="53"/>
      <x:c r="S1288" s="53"/>
      <x:c r="T1288" s="53"/>
      <x:c r="U1288" s="53"/>
      <x:c r="V1288" s="53"/>
      <x:c r="W1288" s="53"/>
      <x:c r="X1288" s="53"/>
      <x:c r="Y1288" s="53"/>
      <x:c r="Z1288" s="53"/>
      <x:c r="AA1288" s="53"/>
      <x:c r="AB1288" s="53"/>
      <x:c r="AC1288" s="53"/>
      <x:c r="AD1288" s="53"/>
      <x:c r="AE1288" s="53"/>
      <x:c r="AF1288" s="53"/>
    </x:row>
    <x:row r="1289">
      <x:c r="A1289" s="53"/>
      <x:c r="B1289" s="53"/>
      <x:c r="C1289" s="53"/>
      <x:c r="D1289" s="53"/>
      <x:c r="E1289" s="53"/>
      <x:c r="F1289" s="53"/>
      <x:c r="G1289" s="53"/>
      <x:c r="H1289" s="53"/>
      <x:c r="I1289" s="53"/>
      <x:c r="J1289" s="53"/>
      <x:c r="K1289" s="53"/>
      <x:c r="L1289" s="53"/>
      <x:c r="M1289" s="53"/>
      <x:c r="N1289" s="53"/>
      <x:c r="O1289" s="53"/>
      <x:c r="P1289" s="53"/>
      <x:c r="Q1289" s="53"/>
      <x:c r="R1289" s="53"/>
      <x:c r="S1289" s="53"/>
      <x:c r="T1289" s="53"/>
      <x:c r="U1289" s="53"/>
      <x:c r="V1289" s="53"/>
      <x:c r="W1289" s="53"/>
      <x:c r="X1289" s="53"/>
      <x:c r="Y1289" s="53"/>
      <x:c r="Z1289" s="53"/>
      <x:c r="AA1289" s="53"/>
      <x:c r="AB1289" s="53"/>
      <x:c r="AC1289" s="53"/>
      <x:c r="AD1289" s="53"/>
      <x:c r="AE1289" s="53"/>
      <x:c r="AF1289" s="53"/>
    </x:row>
    <x:row r="1290">
      <x:c r="A1290" s="53"/>
      <x:c r="B1290" s="53"/>
      <x:c r="C1290" s="53"/>
      <x:c r="D1290" s="53"/>
      <x:c r="E1290" s="53"/>
      <x:c r="F1290" s="53"/>
      <x:c r="G1290" s="53"/>
      <x:c r="H1290" s="53"/>
      <x:c r="I1290" s="53"/>
      <x:c r="J1290" s="53"/>
      <x:c r="K1290" s="53"/>
      <x:c r="L1290" s="53"/>
      <x:c r="M1290" s="53"/>
      <x:c r="N1290" s="53"/>
      <x:c r="O1290" s="53"/>
      <x:c r="P1290" s="53"/>
      <x:c r="Q1290" s="53"/>
      <x:c r="R1290" s="53"/>
      <x:c r="S1290" s="53"/>
      <x:c r="T1290" s="53"/>
      <x:c r="U1290" s="53"/>
      <x:c r="V1290" s="53"/>
      <x:c r="W1290" s="53"/>
      <x:c r="X1290" s="53"/>
      <x:c r="Y1290" s="53"/>
      <x:c r="Z1290" s="53"/>
      <x:c r="AA1290" s="53"/>
      <x:c r="AB1290" s="53"/>
      <x:c r="AC1290" s="53"/>
      <x:c r="AD1290" s="53"/>
      <x:c r="AE1290" s="53"/>
      <x:c r="AF1290" s="53"/>
    </x:row>
    <x:row r="1291">
      <x:c r="A1291" s="53"/>
      <x:c r="B1291" s="53"/>
      <x:c r="C1291" s="53"/>
      <x:c r="D1291" s="53"/>
      <x:c r="E1291" s="53"/>
      <x:c r="F1291" s="53"/>
      <x:c r="G1291" s="53"/>
      <x:c r="H1291" s="53"/>
      <x:c r="I1291" s="53"/>
      <x:c r="J1291" s="53"/>
      <x:c r="K1291" s="53"/>
      <x:c r="L1291" s="53"/>
      <x:c r="M1291" s="53"/>
      <x:c r="N1291" s="53"/>
      <x:c r="O1291" s="53"/>
      <x:c r="P1291" s="53"/>
      <x:c r="Q1291" s="53"/>
      <x:c r="R1291" s="53"/>
      <x:c r="S1291" s="53"/>
      <x:c r="T1291" s="53"/>
      <x:c r="U1291" s="53"/>
      <x:c r="V1291" s="53"/>
      <x:c r="W1291" s="53"/>
      <x:c r="X1291" s="53"/>
      <x:c r="Y1291" s="53"/>
      <x:c r="Z1291" s="53"/>
      <x:c r="AA1291" s="53"/>
      <x:c r="AB1291" s="53"/>
      <x:c r="AC1291" s="53"/>
      <x:c r="AD1291" s="53"/>
      <x:c r="AE1291" s="53"/>
      <x:c r="AF1291" s="53"/>
    </x:row>
    <x:row r="1292">
      <x:c r="A1292" s="53"/>
      <x:c r="B1292" s="53"/>
      <x:c r="C1292" s="53"/>
      <x:c r="D1292" s="53"/>
      <x:c r="E1292" s="53"/>
      <x:c r="F1292" s="53"/>
      <x:c r="G1292" s="53"/>
      <x:c r="H1292" s="53"/>
      <x:c r="I1292" s="53"/>
      <x:c r="J1292" s="53"/>
      <x:c r="K1292" s="53"/>
      <x:c r="L1292" s="53"/>
      <x:c r="M1292" s="53"/>
      <x:c r="N1292" s="53"/>
      <x:c r="O1292" s="53"/>
      <x:c r="P1292" s="53"/>
      <x:c r="Q1292" s="53"/>
      <x:c r="R1292" s="53"/>
      <x:c r="S1292" s="53"/>
      <x:c r="T1292" s="53"/>
      <x:c r="U1292" s="53"/>
      <x:c r="V1292" s="53"/>
      <x:c r="W1292" s="53"/>
      <x:c r="X1292" s="53"/>
      <x:c r="Y1292" s="53"/>
      <x:c r="Z1292" s="53"/>
      <x:c r="AA1292" s="53"/>
      <x:c r="AB1292" s="53"/>
      <x:c r="AC1292" s="53"/>
      <x:c r="AD1292" s="53"/>
      <x:c r="AE1292" s="53"/>
      <x:c r="AF1292" s="53"/>
    </x:row>
    <x:row r="1293">
      <x:c r="A1293" s="53"/>
      <x:c r="B1293" s="53"/>
      <x:c r="C1293" s="53"/>
      <x:c r="D1293" s="53"/>
      <x:c r="E1293" s="53"/>
      <x:c r="F1293" s="53"/>
      <x:c r="G1293" s="53"/>
      <x:c r="H1293" s="53"/>
      <x:c r="I1293" s="53"/>
      <x:c r="J1293" s="53"/>
      <x:c r="K1293" s="53"/>
      <x:c r="L1293" s="53"/>
      <x:c r="M1293" s="53"/>
      <x:c r="N1293" s="53"/>
      <x:c r="O1293" s="53"/>
      <x:c r="P1293" s="53"/>
      <x:c r="Q1293" s="53"/>
      <x:c r="R1293" s="53"/>
      <x:c r="S1293" s="53"/>
      <x:c r="T1293" s="53"/>
      <x:c r="U1293" s="53"/>
      <x:c r="V1293" s="53"/>
      <x:c r="W1293" s="53"/>
      <x:c r="X1293" s="53"/>
      <x:c r="Y1293" s="53"/>
      <x:c r="Z1293" s="53"/>
      <x:c r="AA1293" s="53"/>
      <x:c r="AB1293" s="53"/>
      <x:c r="AC1293" s="53"/>
      <x:c r="AD1293" s="53"/>
      <x:c r="AE1293" s="53"/>
      <x:c r="AF1293" s="53"/>
    </x:row>
    <x:row r="1294">
      <x:c r="A1294" s="53"/>
      <x:c r="B1294" s="53"/>
      <x:c r="C1294" s="53"/>
      <x:c r="D1294" s="53"/>
      <x:c r="E1294" s="53"/>
      <x:c r="F1294" s="53"/>
      <x:c r="G1294" s="53"/>
      <x:c r="H1294" s="53"/>
      <x:c r="I1294" s="53"/>
      <x:c r="J1294" s="53"/>
      <x:c r="K1294" s="53"/>
      <x:c r="L1294" s="53"/>
      <x:c r="M1294" s="53"/>
      <x:c r="N1294" s="53"/>
      <x:c r="O1294" s="53"/>
      <x:c r="P1294" s="53"/>
      <x:c r="Q1294" s="53"/>
      <x:c r="R1294" s="53"/>
      <x:c r="S1294" s="53"/>
      <x:c r="T1294" s="53"/>
      <x:c r="U1294" s="53"/>
      <x:c r="V1294" s="53"/>
      <x:c r="W1294" s="53"/>
      <x:c r="X1294" s="53"/>
      <x:c r="Y1294" s="53"/>
      <x:c r="Z1294" s="53"/>
      <x:c r="AA1294" s="53"/>
      <x:c r="AB1294" s="53"/>
      <x:c r="AC1294" s="53"/>
      <x:c r="AD1294" s="53"/>
      <x:c r="AE1294" s="53"/>
      <x:c r="AF1294" s="53"/>
    </x:row>
    <x:row r="1295">
      <x:c r="A1295" s="53"/>
      <x:c r="B1295" s="53"/>
      <x:c r="C1295" s="53"/>
      <x:c r="D1295" s="53"/>
      <x:c r="E1295" s="53"/>
      <x:c r="F1295" s="53"/>
      <x:c r="G1295" s="53"/>
      <x:c r="H1295" s="53"/>
      <x:c r="I1295" s="53"/>
      <x:c r="J1295" s="53"/>
      <x:c r="K1295" s="53"/>
      <x:c r="L1295" s="53"/>
      <x:c r="M1295" s="53"/>
      <x:c r="N1295" s="53"/>
      <x:c r="O1295" s="53"/>
      <x:c r="P1295" s="53"/>
      <x:c r="Q1295" s="53"/>
      <x:c r="R1295" s="53"/>
      <x:c r="S1295" s="53"/>
      <x:c r="T1295" s="53"/>
      <x:c r="U1295" s="53"/>
      <x:c r="V1295" s="53"/>
      <x:c r="W1295" s="53"/>
      <x:c r="X1295" s="53"/>
      <x:c r="Y1295" s="53"/>
      <x:c r="Z1295" s="53"/>
      <x:c r="AA1295" s="53"/>
      <x:c r="AB1295" s="53"/>
      <x:c r="AC1295" s="53"/>
      <x:c r="AD1295" s="53"/>
      <x:c r="AE1295" s="53"/>
      <x:c r="AF1295" s="53"/>
    </x:row>
    <x:row r="1296">
      <x:c r="A1296" s="53"/>
      <x:c r="B1296" s="53"/>
      <x:c r="C1296" s="53"/>
      <x:c r="D1296" s="53"/>
      <x:c r="E1296" s="53"/>
      <x:c r="F1296" s="53"/>
      <x:c r="G1296" s="53"/>
      <x:c r="H1296" s="53"/>
      <x:c r="I1296" s="53"/>
      <x:c r="J1296" s="53"/>
      <x:c r="K1296" s="53"/>
      <x:c r="L1296" s="53"/>
      <x:c r="M1296" s="53"/>
      <x:c r="N1296" s="53"/>
      <x:c r="O1296" s="53"/>
      <x:c r="P1296" s="53"/>
      <x:c r="Q1296" s="53"/>
      <x:c r="R1296" s="53"/>
      <x:c r="S1296" s="53"/>
      <x:c r="T1296" s="53"/>
      <x:c r="U1296" s="53"/>
      <x:c r="V1296" s="53"/>
      <x:c r="W1296" s="53"/>
      <x:c r="X1296" s="53"/>
      <x:c r="Y1296" s="53"/>
      <x:c r="Z1296" s="53"/>
      <x:c r="AA1296" s="53"/>
      <x:c r="AB1296" s="53"/>
      <x:c r="AC1296" s="53"/>
      <x:c r="AD1296" s="53"/>
      <x:c r="AE1296" s="53"/>
      <x:c r="AF1296" s="53"/>
    </x:row>
    <x:row r="1297">
      <x:c r="A1297" s="53"/>
      <x:c r="B1297" s="53"/>
      <x:c r="C1297" s="53"/>
      <x:c r="D1297" s="53"/>
      <x:c r="E1297" s="53"/>
      <x:c r="F1297" s="53"/>
      <x:c r="G1297" s="53"/>
      <x:c r="H1297" s="53"/>
      <x:c r="I1297" s="53"/>
      <x:c r="J1297" s="53"/>
      <x:c r="K1297" s="53"/>
      <x:c r="L1297" s="53"/>
      <x:c r="M1297" s="53"/>
      <x:c r="N1297" s="53"/>
      <x:c r="O1297" s="53"/>
      <x:c r="P1297" s="53"/>
      <x:c r="Q1297" s="53"/>
      <x:c r="R1297" s="53"/>
      <x:c r="S1297" s="53"/>
      <x:c r="T1297" s="53"/>
      <x:c r="U1297" s="53"/>
      <x:c r="V1297" s="53"/>
      <x:c r="W1297" s="53"/>
      <x:c r="X1297" s="53"/>
      <x:c r="Y1297" s="53"/>
      <x:c r="Z1297" s="53"/>
      <x:c r="AA1297" s="53"/>
      <x:c r="AB1297" s="53"/>
      <x:c r="AC1297" s="53"/>
      <x:c r="AD1297" s="53"/>
      <x:c r="AE1297" s="53"/>
      <x:c r="AF1297" s="53"/>
    </x:row>
    <x:row r="1298">
      <x:c r="A1298" s="53"/>
      <x:c r="B1298" s="53"/>
      <x:c r="C1298" s="53"/>
      <x:c r="D1298" s="53"/>
      <x:c r="E1298" s="53"/>
      <x:c r="F1298" s="53"/>
      <x:c r="G1298" s="53"/>
      <x:c r="H1298" s="53"/>
      <x:c r="I1298" s="53"/>
      <x:c r="J1298" s="53"/>
      <x:c r="K1298" s="53"/>
      <x:c r="L1298" s="53"/>
      <x:c r="M1298" s="53"/>
      <x:c r="N1298" s="53"/>
      <x:c r="O1298" s="53"/>
      <x:c r="P1298" s="53"/>
      <x:c r="Q1298" s="53"/>
      <x:c r="R1298" s="53"/>
      <x:c r="S1298" s="53"/>
      <x:c r="T1298" s="53"/>
      <x:c r="U1298" s="53"/>
      <x:c r="V1298" s="53"/>
      <x:c r="W1298" s="53"/>
      <x:c r="X1298" s="53"/>
      <x:c r="Y1298" s="53"/>
      <x:c r="Z1298" s="53"/>
      <x:c r="AA1298" s="53"/>
      <x:c r="AB1298" s="53"/>
      <x:c r="AC1298" s="53"/>
      <x:c r="AD1298" s="53"/>
      <x:c r="AE1298" s="53"/>
      <x:c r="AF1298" s="53"/>
    </x:row>
    <x:row r="1299">
      <x:c r="A1299" s="53"/>
      <x:c r="B1299" s="53"/>
      <x:c r="C1299" s="53"/>
      <x:c r="D1299" s="53"/>
      <x:c r="E1299" s="53"/>
      <x:c r="F1299" s="53"/>
      <x:c r="G1299" s="53"/>
      <x:c r="H1299" s="53"/>
      <x:c r="I1299" s="53"/>
      <x:c r="J1299" s="53"/>
      <x:c r="K1299" s="53"/>
      <x:c r="L1299" s="53"/>
      <x:c r="M1299" s="53"/>
      <x:c r="N1299" s="53"/>
      <x:c r="O1299" s="53"/>
      <x:c r="P1299" s="53"/>
      <x:c r="Q1299" s="53"/>
      <x:c r="R1299" s="53"/>
      <x:c r="S1299" s="53"/>
      <x:c r="T1299" s="53"/>
      <x:c r="U1299" s="53"/>
      <x:c r="V1299" s="53"/>
      <x:c r="W1299" s="53"/>
      <x:c r="X1299" s="53"/>
      <x:c r="Y1299" s="53"/>
      <x:c r="Z1299" s="53"/>
      <x:c r="AA1299" s="53"/>
      <x:c r="AB1299" s="53"/>
      <x:c r="AC1299" s="53"/>
      <x:c r="AD1299" s="53"/>
      <x:c r="AE1299" s="53"/>
      <x:c r="AF1299" s="53"/>
    </x:row>
    <x:row r="1300">
      <x:c r="A1300" s="53"/>
      <x:c r="B1300" s="53"/>
      <x:c r="C1300" s="53"/>
      <x:c r="D1300" s="53"/>
      <x:c r="E1300" s="53"/>
      <x:c r="F1300" s="53"/>
      <x:c r="G1300" s="53"/>
      <x:c r="H1300" s="53"/>
      <x:c r="I1300" s="53"/>
      <x:c r="J1300" s="53"/>
      <x:c r="K1300" s="53"/>
      <x:c r="L1300" s="53"/>
      <x:c r="M1300" s="53"/>
      <x:c r="N1300" s="53"/>
      <x:c r="O1300" s="53"/>
      <x:c r="P1300" s="53"/>
      <x:c r="Q1300" s="53"/>
      <x:c r="R1300" s="53"/>
      <x:c r="S1300" s="53"/>
      <x:c r="T1300" s="53"/>
      <x:c r="U1300" s="53"/>
      <x:c r="V1300" s="53"/>
      <x:c r="W1300" s="53"/>
      <x:c r="X1300" s="53"/>
      <x:c r="Y1300" s="53"/>
      <x:c r="Z1300" s="53"/>
      <x:c r="AA1300" s="53"/>
      <x:c r="AB1300" s="53"/>
      <x:c r="AC1300" s="53"/>
      <x:c r="AD1300" s="53"/>
      <x:c r="AE1300" s="53"/>
      <x:c r="AF1300" s="53"/>
    </x:row>
    <x:row r="1301">
      <x:c r="A1301" s="53"/>
      <x:c r="B1301" s="53"/>
      <x:c r="C1301" s="53"/>
      <x:c r="D1301" s="53"/>
      <x:c r="E1301" s="53"/>
      <x:c r="F1301" s="53"/>
      <x:c r="G1301" s="53"/>
      <x:c r="H1301" s="53"/>
      <x:c r="I1301" s="53"/>
      <x:c r="J1301" s="53"/>
      <x:c r="K1301" s="53"/>
      <x:c r="L1301" s="53"/>
      <x:c r="M1301" s="53"/>
      <x:c r="N1301" s="53"/>
      <x:c r="O1301" s="53"/>
      <x:c r="P1301" s="53"/>
      <x:c r="Q1301" s="53"/>
      <x:c r="R1301" s="53"/>
      <x:c r="S1301" s="53"/>
      <x:c r="T1301" s="53"/>
      <x:c r="U1301" s="53"/>
      <x:c r="V1301" s="53"/>
      <x:c r="W1301" s="53"/>
      <x:c r="X1301" s="53"/>
      <x:c r="Y1301" s="53"/>
      <x:c r="Z1301" s="53"/>
      <x:c r="AA1301" s="53"/>
      <x:c r="AB1301" s="53"/>
      <x:c r="AC1301" s="53"/>
      <x:c r="AD1301" s="53"/>
      <x:c r="AE1301" s="53"/>
      <x:c r="AF1301" s="53"/>
    </x:row>
    <x:row r="1302">
      <x:c r="A1302" s="53"/>
      <x:c r="B1302" s="53"/>
      <x:c r="C1302" s="53"/>
      <x:c r="D1302" s="53"/>
      <x:c r="E1302" s="53"/>
      <x:c r="F1302" s="53"/>
      <x:c r="G1302" s="53"/>
      <x:c r="H1302" s="53"/>
      <x:c r="I1302" s="53"/>
      <x:c r="J1302" s="53"/>
      <x:c r="K1302" s="53"/>
      <x:c r="L1302" s="53"/>
      <x:c r="M1302" s="53"/>
      <x:c r="N1302" s="53"/>
      <x:c r="O1302" s="53"/>
      <x:c r="P1302" s="53"/>
      <x:c r="Q1302" s="53"/>
      <x:c r="R1302" s="53"/>
      <x:c r="S1302" s="53"/>
      <x:c r="T1302" s="53"/>
      <x:c r="U1302" s="53"/>
      <x:c r="V1302" s="53"/>
      <x:c r="W1302" s="53"/>
      <x:c r="X1302" s="53"/>
      <x:c r="Y1302" s="53"/>
      <x:c r="Z1302" s="53"/>
      <x:c r="AA1302" s="53"/>
      <x:c r="AB1302" s="53"/>
      <x:c r="AC1302" s="53"/>
      <x:c r="AD1302" s="53"/>
      <x:c r="AE1302" s="53"/>
      <x:c r="AF1302" s="53"/>
    </x:row>
    <x:row r="1303">
      <x:c r="A1303" s="53"/>
      <x:c r="B1303" s="53"/>
      <x:c r="C1303" s="53"/>
      <x:c r="D1303" s="53"/>
      <x:c r="E1303" s="53"/>
      <x:c r="F1303" s="53"/>
      <x:c r="G1303" s="53"/>
      <x:c r="H1303" s="53"/>
      <x:c r="I1303" s="53"/>
      <x:c r="J1303" s="53"/>
      <x:c r="K1303" s="53"/>
      <x:c r="L1303" s="53"/>
      <x:c r="M1303" s="53"/>
      <x:c r="N1303" s="53"/>
      <x:c r="O1303" s="53"/>
      <x:c r="P1303" s="53"/>
      <x:c r="Q1303" s="53"/>
      <x:c r="R1303" s="53"/>
      <x:c r="S1303" s="53"/>
      <x:c r="T1303" s="53"/>
      <x:c r="U1303" s="53"/>
      <x:c r="V1303" s="53"/>
      <x:c r="W1303" s="53"/>
      <x:c r="X1303" s="53"/>
      <x:c r="Y1303" s="53"/>
      <x:c r="Z1303" s="53"/>
      <x:c r="AA1303" s="53"/>
      <x:c r="AB1303" s="53"/>
      <x:c r="AC1303" s="53"/>
      <x:c r="AD1303" s="53"/>
      <x:c r="AE1303" s="53"/>
      <x:c r="AF1303" s="53"/>
    </x:row>
    <x:row r="1304">
      <x:c r="A1304" s="53"/>
      <x:c r="B1304" s="53"/>
      <x:c r="C1304" s="53"/>
      <x:c r="D1304" s="53"/>
      <x:c r="E1304" s="53"/>
      <x:c r="F1304" s="53"/>
      <x:c r="G1304" s="53"/>
      <x:c r="H1304" s="53"/>
      <x:c r="I1304" s="53"/>
      <x:c r="J1304" s="53"/>
      <x:c r="K1304" s="53"/>
      <x:c r="L1304" s="53"/>
      <x:c r="M1304" s="53"/>
      <x:c r="N1304" s="53"/>
      <x:c r="O1304" s="53"/>
      <x:c r="P1304" s="53"/>
      <x:c r="Q1304" s="53"/>
      <x:c r="R1304" s="53"/>
      <x:c r="S1304" s="53"/>
      <x:c r="T1304" s="53"/>
      <x:c r="U1304" s="53"/>
      <x:c r="V1304" s="53"/>
      <x:c r="W1304" s="53"/>
      <x:c r="X1304" s="53"/>
      <x:c r="Y1304" s="53"/>
      <x:c r="Z1304" s="53"/>
      <x:c r="AA1304" s="53"/>
      <x:c r="AB1304" s="53"/>
      <x:c r="AC1304" s="53"/>
      <x:c r="AD1304" s="53"/>
      <x:c r="AE1304" s="53"/>
      <x:c r="AF1304" s="53"/>
    </x:row>
    <x:row r="1305">
      <x:c r="A1305" s="53"/>
      <x:c r="B1305" s="53"/>
      <x:c r="C1305" s="53"/>
      <x:c r="D1305" s="53"/>
      <x:c r="E1305" s="53"/>
      <x:c r="F1305" s="53"/>
      <x:c r="G1305" s="53"/>
      <x:c r="H1305" s="53"/>
      <x:c r="I1305" s="53"/>
      <x:c r="J1305" s="53"/>
      <x:c r="K1305" s="53"/>
      <x:c r="L1305" s="53"/>
      <x:c r="M1305" s="53"/>
      <x:c r="N1305" s="53"/>
      <x:c r="O1305" s="53"/>
      <x:c r="P1305" s="53"/>
      <x:c r="Q1305" s="53"/>
      <x:c r="R1305" s="53"/>
      <x:c r="S1305" s="53"/>
      <x:c r="T1305" s="53"/>
      <x:c r="U1305" s="53"/>
      <x:c r="V1305" s="53"/>
      <x:c r="W1305" s="53"/>
      <x:c r="X1305" s="53"/>
      <x:c r="Y1305" s="53"/>
      <x:c r="Z1305" s="53"/>
      <x:c r="AA1305" s="53"/>
      <x:c r="AB1305" s="53"/>
      <x:c r="AC1305" s="53"/>
      <x:c r="AD1305" s="53"/>
      <x:c r="AE1305" s="53"/>
      <x:c r="AF1305" s="53"/>
    </x:row>
    <x:row r="1306">
      <x:c r="A1306" s="53"/>
      <x:c r="B1306" s="53"/>
      <x:c r="C1306" s="53"/>
      <x:c r="D1306" s="53"/>
      <x:c r="E1306" s="53"/>
      <x:c r="F1306" s="53"/>
      <x:c r="G1306" s="53"/>
      <x:c r="H1306" s="53"/>
      <x:c r="I1306" s="53"/>
      <x:c r="J1306" s="53"/>
      <x:c r="K1306" s="53"/>
      <x:c r="L1306" s="53"/>
      <x:c r="M1306" s="53"/>
      <x:c r="N1306" s="53"/>
      <x:c r="O1306" s="53"/>
      <x:c r="P1306" s="53"/>
      <x:c r="Q1306" s="53"/>
      <x:c r="R1306" s="53"/>
      <x:c r="S1306" s="53"/>
      <x:c r="T1306" s="53"/>
      <x:c r="U1306" s="53"/>
      <x:c r="V1306" s="53"/>
      <x:c r="W1306" s="53"/>
      <x:c r="X1306" s="53"/>
      <x:c r="Y1306" s="53"/>
      <x:c r="Z1306" s="53"/>
      <x:c r="AA1306" s="53"/>
      <x:c r="AB1306" s="53"/>
      <x:c r="AC1306" s="53"/>
      <x:c r="AD1306" s="53"/>
      <x:c r="AE1306" s="53"/>
      <x:c r="AF1306" s="53"/>
    </x:row>
    <x:row r="1307">
      <x:c r="A1307" s="53"/>
      <x:c r="B1307" s="53"/>
      <x:c r="C1307" s="53"/>
      <x:c r="D1307" s="53"/>
      <x:c r="E1307" s="53"/>
      <x:c r="F1307" s="53"/>
      <x:c r="G1307" s="53"/>
      <x:c r="H1307" s="53"/>
      <x:c r="I1307" s="53"/>
      <x:c r="J1307" s="53"/>
      <x:c r="K1307" s="53"/>
      <x:c r="L1307" s="53"/>
      <x:c r="M1307" s="53"/>
      <x:c r="N1307" s="53"/>
      <x:c r="O1307" s="53"/>
      <x:c r="P1307" s="53"/>
      <x:c r="Q1307" s="53"/>
      <x:c r="R1307" s="53"/>
      <x:c r="S1307" s="53"/>
      <x:c r="T1307" s="53"/>
      <x:c r="U1307" s="53"/>
      <x:c r="V1307" s="53"/>
      <x:c r="W1307" s="53"/>
      <x:c r="X1307" s="53"/>
      <x:c r="Y1307" s="53"/>
      <x:c r="Z1307" s="53"/>
      <x:c r="AA1307" s="53"/>
      <x:c r="AB1307" s="53"/>
      <x:c r="AC1307" s="53"/>
      <x:c r="AD1307" s="53"/>
      <x:c r="AE1307" s="53"/>
      <x:c r="AF1307" s="53"/>
    </x:row>
    <x:row r="1308">
      <x:c r="A1308" s="53"/>
      <x:c r="B1308" s="53"/>
      <x:c r="C1308" s="53"/>
      <x:c r="D1308" s="53"/>
      <x:c r="E1308" s="53"/>
      <x:c r="F1308" s="53"/>
      <x:c r="G1308" s="53"/>
      <x:c r="H1308" s="53"/>
      <x:c r="I1308" s="53"/>
      <x:c r="J1308" s="53"/>
      <x:c r="K1308" s="53"/>
      <x:c r="L1308" s="53"/>
      <x:c r="M1308" s="53"/>
      <x:c r="N1308" s="53"/>
      <x:c r="O1308" s="53"/>
      <x:c r="P1308" s="53"/>
      <x:c r="Q1308" s="53"/>
      <x:c r="R1308" s="53"/>
      <x:c r="S1308" s="53"/>
      <x:c r="T1308" s="53"/>
      <x:c r="U1308" s="53"/>
      <x:c r="V1308" s="53"/>
      <x:c r="W1308" s="53"/>
      <x:c r="X1308" s="53"/>
      <x:c r="Y1308" s="53"/>
      <x:c r="Z1308" s="53"/>
      <x:c r="AA1308" s="53"/>
      <x:c r="AB1308" s="53"/>
      <x:c r="AC1308" s="53"/>
      <x:c r="AD1308" s="53"/>
      <x:c r="AE1308" s="53"/>
      <x:c r="AF1308" s="53"/>
    </x:row>
    <x:row r="1309">
      <x:c r="A1309" s="53"/>
      <x:c r="B1309" s="53"/>
      <x:c r="C1309" s="53"/>
      <x:c r="D1309" s="53"/>
      <x:c r="E1309" s="53"/>
      <x:c r="F1309" s="53"/>
      <x:c r="G1309" s="53"/>
      <x:c r="H1309" s="53"/>
      <x:c r="I1309" s="53"/>
      <x:c r="J1309" s="53"/>
      <x:c r="K1309" s="53"/>
      <x:c r="L1309" s="53"/>
      <x:c r="M1309" s="53"/>
      <x:c r="N1309" s="53"/>
      <x:c r="O1309" s="53"/>
      <x:c r="P1309" s="53"/>
      <x:c r="Q1309" s="53"/>
      <x:c r="R1309" s="53"/>
      <x:c r="S1309" s="53"/>
      <x:c r="T1309" s="53"/>
      <x:c r="U1309" s="53"/>
      <x:c r="V1309" s="53"/>
      <x:c r="W1309" s="53"/>
      <x:c r="X1309" s="53"/>
      <x:c r="Y1309" s="53"/>
      <x:c r="Z1309" s="53"/>
      <x:c r="AA1309" s="53"/>
      <x:c r="AB1309" s="53"/>
      <x:c r="AC1309" s="53"/>
      <x:c r="AD1309" s="53"/>
      <x:c r="AE1309" s="53"/>
      <x:c r="AF1309" s="53"/>
    </x:row>
    <x:row r="1310">
      <x:c r="A1310" s="53"/>
      <x:c r="B1310" s="53"/>
      <x:c r="C1310" s="53"/>
      <x:c r="D1310" s="53"/>
      <x:c r="E1310" s="53"/>
      <x:c r="F1310" s="53"/>
      <x:c r="G1310" s="53"/>
      <x:c r="H1310" s="53"/>
      <x:c r="I1310" s="53"/>
      <x:c r="J1310" s="53"/>
      <x:c r="K1310" s="53"/>
      <x:c r="L1310" s="53"/>
      <x:c r="M1310" s="53"/>
      <x:c r="N1310" s="53"/>
      <x:c r="O1310" s="53"/>
      <x:c r="P1310" s="53"/>
      <x:c r="Q1310" s="53"/>
      <x:c r="R1310" s="53"/>
      <x:c r="S1310" s="53"/>
      <x:c r="T1310" s="53"/>
      <x:c r="U1310" s="53"/>
      <x:c r="V1310" s="53"/>
      <x:c r="W1310" s="53"/>
      <x:c r="X1310" s="53"/>
      <x:c r="Y1310" s="53"/>
      <x:c r="Z1310" s="53"/>
      <x:c r="AA1310" s="53"/>
      <x:c r="AB1310" s="53"/>
      <x:c r="AC1310" s="53"/>
      <x:c r="AD1310" s="53"/>
      <x:c r="AE1310" s="53"/>
      <x:c r="AF1310" s="53"/>
    </x:row>
    <x:row r="1311">
      <x:c r="A1311" s="53"/>
      <x:c r="B1311" s="53"/>
      <x:c r="C1311" s="53"/>
      <x:c r="D1311" s="53"/>
      <x:c r="E1311" s="53"/>
      <x:c r="F1311" s="53"/>
      <x:c r="G1311" s="53"/>
      <x:c r="H1311" s="53"/>
      <x:c r="I1311" s="53"/>
      <x:c r="J1311" s="53"/>
      <x:c r="K1311" s="53"/>
      <x:c r="L1311" s="53"/>
      <x:c r="M1311" s="53"/>
      <x:c r="N1311" s="53"/>
      <x:c r="O1311" s="53"/>
      <x:c r="P1311" s="53"/>
      <x:c r="Q1311" s="53"/>
      <x:c r="R1311" s="53"/>
      <x:c r="S1311" s="53"/>
      <x:c r="T1311" s="53"/>
      <x:c r="U1311" s="53"/>
      <x:c r="V1311" s="53"/>
      <x:c r="W1311" s="53"/>
      <x:c r="X1311" s="53"/>
      <x:c r="Y1311" s="53"/>
      <x:c r="Z1311" s="53"/>
      <x:c r="AA1311" s="53"/>
      <x:c r="AB1311" s="53"/>
      <x:c r="AC1311" s="53"/>
      <x:c r="AD1311" s="53"/>
      <x:c r="AE1311" s="53"/>
      <x:c r="AF1311" s="53"/>
    </x:row>
    <x:row r="1312">
      <x:c r="A1312" s="53"/>
      <x:c r="B1312" s="53"/>
      <x:c r="C1312" s="53"/>
      <x:c r="D1312" s="53"/>
      <x:c r="E1312" s="53"/>
      <x:c r="F1312" s="53"/>
      <x:c r="G1312" s="53"/>
      <x:c r="H1312" s="53"/>
      <x:c r="I1312" s="53"/>
      <x:c r="J1312" s="53"/>
      <x:c r="K1312" s="53"/>
      <x:c r="L1312" s="53"/>
      <x:c r="M1312" s="53"/>
      <x:c r="N1312" s="53"/>
      <x:c r="O1312" s="53"/>
      <x:c r="P1312" s="53"/>
      <x:c r="Q1312" s="53"/>
      <x:c r="R1312" s="53"/>
      <x:c r="S1312" s="53"/>
      <x:c r="T1312" s="53"/>
      <x:c r="U1312" s="53"/>
      <x:c r="V1312" s="53"/>
      <x:c r="W1312" s="53"/>
      <x:c r="X1312" s="53"/>
      <x:c r="Y1312" s="53"/>
      <x:c r="Z1312" s="53"/>
      <x:c r="AA1312" s="53"/>
      <x:c r="AB1312" s="53"/>
      <x:c r="AC1312" s="53"/>
      <x:c r="AD1312" s="53"/>
      <x:c r="AE1312" s="53"/>
      <x:c r="AF1312" s="53"/>
    </x:row>
    <x:row r="1313">
      <x:c r="A1313" s="53"/>
      <x:c r="B1313" s="53"/>
      <x:c r="C1313" s="53"/>
      <x:c r="D1313" s="53"/>
      <x:c r="E1313" s="53"/>
      <x:c r="F1313" s="53"/>
      <x:c r="G1313" s="53"/>
      <x:c r="H1313" s="53"/>
      <x:c r="I1313" s="53"/>
      <x:c r="J1313" s="53"/>
      <x:c r="K1313" s="53"/>
      <x:c r="L1313" s="53"/>
      <x:c r="M1313" s="53"/>
      <x:c r="N1313" s="53"/>
      <x:c r="O1313" s="53"/>
      <x:c r="P1313" s="53"/>
      <x:c r="Q1313" s="53"/>
      <x:c r="R1313" s="53"/>
      <x:c r="S1313" s="53"/>
      <x:c r="T1313" s="53"/>
      <x:c r="U1313" s="53"/>
      <x:c r="V1313" s="53"/>
      <x:c r="W1313" s="53"/>
      <x:c r="X1313" s="53"/>
      <x:c r="Y1313" s="53"/>
      <x:c r="Z1313" s="53"/>
      <x:c r="AA1313" s="53"/>
      <x:c r="AB1313" s="53"/>
      <x:c r="AC1313" s="53"/>
      <x:c r="AD1313" s="53"/>
      <x:c r="AE1313" s="53"/>
      <x:c r="AF1313" s="53"/>
    </x:row>
    <x:row r="1314">
      <x:c r="A1314" s="53"/>
      <x:c r="B1314" s="53"/>
      <x:c r="C1314" s="53"/>
      <x:c r="D1314" s="53"/>
      <x:c r="E1314" s="53"/>
      <x:c r="F1314" s="53"/>
      <x:c r="G1314" s="53"/>
      <x:c r="H1314" s="53"/>
      <x:c r="I1314" s="53"/>
      <x:c r="J1314" s="53"/>
      <x:c r="K1314" s="53"/>
      <x:c r="L1314" s="53"/>
      <x:c r="M1314" s="53"/>
      <x:c r="N1314" s="53"/>
      <x:c r="O1314" s="53"/>
      <x:c r="P1314" s="53"/>
      <x:c r="Q1314" s="53"/>
      <x:c r="R1314" s="53"/>
      <x:c r="S1314" s="53"/>
      <x:c r="T1314" s="53"/>
      <x:c r="U1314" s="53"/>
      <x:c r="V1314" s="53"/>
      <x:c r="W1314" s="53"/>
      <x:c r="X1314" s="53"/>
      <x:c r="Y1314" s="53"/>
      <x:c r="Z1314" s="53"/>
      <x:c r="AA1314" s="53"/>
      <x:c r="AB1314" s="53"/>
      <x:c r="AC1314" s="53"/>
      <x:c r="AD1314" s="53"/>
      <x:c r="AE1314" s="53"/>
      <x:c r="AF1314" s="53"/>
    </x:row>
    <x:row r="1315">
      <x:c r="A1315" s="53"/>
      <x:c r="B1315" s="53"/>
      <x:c r="C1315" s="53"/>
      <x:c r="D1315" s="53"/>
      <x:c r="E1315" s="53"/>
      <x:c r="F1315" s="53"/>
      <x:c r="G1315" s="53"/>
      <x:c r="H1315" s="53"/>
      <x:c r="I1315" s="53"/>
      <x:c r="J1315" s="53"/>
      <x:c r="K1315" s="53"/>
      <x:c r="L1315" s="53"/>
      <x:c r="M1315" s="53"/>
      <x:c r="N1315" s="53"/>
      <x:c r="O1315" s="53"/>
      <x:c r="P1315" s="53"/>
      <x:c r="Q1315" s="53"/>
      <x:c r="R1315" s="53"/>
      <x:c r="S1315" s="53"/>
      <x:c r="T1315" s="53"/>
      <x:c r="U1315" s="53"/>
      <x:c r="V1315" s="53"/>
      <x:c r="W1315" s="53"/>
      <x:c r="X1315" s="53"/>
      <x:c r="Y1315" s="53"/>
      <x:c r="Z1315" s="53"/>
      <x:c r="AA1315" s="53"/>
      <x:c r="AB1315" s="53"/>
      <x:c r="AC1315" s="53"/>
      <x:c r="AD1315" s="53"/>
      <x:c r="AE1315" s="53"/>
      <x:c r="AF1315" s="53"/>
    </x:row>
    <x:row r="1316">
      <x:c r="A1316" s="53"/>
      <x:c r="B1316" s="53"/>
      <x:c r="C1316" s="53"/>
      <x:c r="D1316" s="53"/>
      <x:c r="E1316" s="53"/>
      <x:c r="F1316" s="53"/>
      <x:c r="G1316" s="53"/>
      <x:c r="H1316" s="53"/>
      <x:c r="I1316" s="53"/>
      <x:c r="J1316" s="53"/>
      <x:c r="K1316" s="53"/>
      <x:c r="L1316" s="53"/>
      <x:c r="M1316" s="53"/>
      <x:c r="N1316" s="53"/>
      <x:c r="O1316" s="53"/>
      <x:c r="P1316" s="53"/>
      <x:c r="Q1316" s="53"/>
      <x:c r="R1316" s="53"/>
      <x:c r="S1316" s="53"/>
      <x:c r="T1316" s="53"/>
      <x:c r="U1316" s="53"/>
      <x:c r="V1316" s="53"/>
      <x:c r="W1316" s="53"/>
      <x:c r="X1316" s="53"/>
      <x:c r="Y1316" s="53"/>
      <x:c r="Z1316" s="53"/>
      <x:c r="AA1316" s="53"/>
      <x:c r="AB1316" s="53"/>
      <x:c r="AC1316" s="53"/>
      <x:c r="AD1316" s="53"/>
      <x:c r="AE1316" s="53"/>
      <x:c r="AF1316" s="53"/>
    </x:row>
    <x:row r="1317">
      <x:c r="A1317" s="53"/>
      <x:c r="B1317" s="53"/>
      <x:c r="C1317" s="53"/>
      <x:c r="D1317" s="53"/>
      <x:c r="E1317" s="53"/>
      <x:c r="F1317" s="53"/>
      <x:c r="G1317" s="53"/>
      <x:c r="H1317" s="53"/>
      <x:c r="I1317" s="53"/>
      <x:c r="J1317" s="53"/>
      <x:c r="K1317" s="53"/>
      <x:c r="L1317" s="53"/>
      <x:c r="M1317" s="53"/>
      <x:c r="N1317" s="53"/>
      <x:c r="O1317" s="53"/>
      <x:c r="P1317" s="53"/>
      <x:c r="Q1317" s="53"/>
      <x:c r="R1317" s="53"/>
      <x:c r="S1317" s="53"/>
      <x:c r="T1317" s="53"/>
      <x:c r="U1317" s="53"/>
      <x:c r="V1317" s="53"/>
      <x:c r="W1317" s="53"/>
      <x:c r="X1317" s="53"/>
      <x:c r="Y1317" s="53"/>
      <x:c r="Z1317" s="53"/>
      <x:c r="AA1317" s="53"/>
      <x:c r="AB1317" s="53"/>
      <x:c r="AC1317" s="53"/>
      <x:c r="AD1317" s="53"/>
      <x:c r="AE1317" s="53"/>
      <x:c r="AF1317" s="53"/>
    </x:row>
    <x:row r="1318">
      <x:c r="A1318" s="53"/>
      <x:c r="B1318" s="53"/>
      <x:c r="C1318" s="53"/>
      <x:c r="D1318" s="53"/>
      <x:c r="E1318" s="53"/>
      <x:c r="F1318" s="53"/>
      <x:c r="G1318" s="53"/>
      <x:c r="H1318" s="53"/>
      <x:c r="I1318" s="53"/>
      <x:c r="J1318" s="53"/>
      <x:c r="K1318" s="53"/>
      <x:c r="L1318" s="53"/>
      <x:c r="M1318" s="53"/>
      <x:c r="N1318" s="53"/>
      <x:c r="O1318" s="53"/>
      <x:c r="P1318" s="53"/>
      <x:c r="Q1318" s="53"/>
      <x:c r="R1318" s="53"/>
      <x:c r="S1318" s="53"/>
      <x:c r="T1318" s="53"/>
      <x:c r="U1318" s="53"/>
      <x:c r="V1318" s="53"/>
      <x:c r="W1318" s="53"/>
      <x:c r="X1318" s="53"/>
      <x:c r="Y1318" s="53"/>
      <x:c r="Z1318" s="53"/>
      <x:c r="AA1318" s="53"/>
      <x:c r="AB1318" s="53"/>
      <x:c r="AC1318" s="53"/>
      <x:c r="AD1318" s="53"/>
      <x:c r="AE1318" s="53"/>
      <x:c r="AF1318" s="53"/>
    </x:row>
    <x:row r="1319">
      <x:c r="A1319" s="53"/>
      <x:c r="B1319" s="53"/>
      <x:c r="C1319" s="53"/>
      <x:c r="D1319" s="53"/>
      <x:c r="E1319" s="53"/>
      <x:c r="F1319" s="53"/>
      <x:c r="G1319" s="53"/>
      <x:c r="H1319" s="53"/>
      <x:c r="I1319" s="53"/>
      <x:c r="J1319" s="53"/>
      <x:c r="K1319" s="53"/>
      <x:c r="L1319" s="53"/>
      <x:c r="M1319" s="53"/>
      <x:c r="N1319" s="53"/>
      <x:c r="O1319" s="53"/>
      <x:c r="P1319" s="53"/>
      <x:c r="Q1319" s="53"/>
      <x:c r="R1319" s="53"/>
      <x:c r="S1319" s="53"/>
      <x:c r="T1319" s="53"/>
      <x:c r="U1319" s="53"/>
      <x:c r="V1319" s="53"/>
      <x:c r="W1319" s="53"/>
      <x:c r="X1319" s="53"/>
      <x:c r="Y1319" s="53"/>
      <x:c r="Z1319" s="53"/>
      <x:c r="AA1319" s="53"/>
      <x:c r="AB1319" s="53"/>
      <x:c r="AC1319" s="53"/>
      <x:c r="AD1319" s="53"/>
      <x:c r="AE1319" s="53"/>
      <x:c r="AF1319" s="53"/>
    </x:row>
    <x:row r="1320">
      <x:c r="A1320" s="53"/>
      <x:c r="B1320" s="53"/>
      <x:c r="C1320" s="53"/>
      <x:c r="D1320" s="53"/>
      <x:c r="E1320" s="53"/>
      <x:c r="F1320" s="53"/>
      <x:c r="G1320" s="53"/>
      <x:c r="H1320" s="53"/>
      <x:c r="I1320" s="53"/>
      <x:c r="J1320" s="53"/>
      <x:c r="K1320" s="53"/>
      <x:c r="L1320" s="53"/>
      <x:c r="M1320" s="53"/>
      <x:c r="N1320" s="53"/>
      <x:c r="O1320" s="53"/>
      <x:c r="P1320" s="53"/>
      <x:c r="Q1320" s="53"/>
      <x:c r="R1320" s="53"/>
      <x:c r="S1320" s="53"/>
      <x:c r="T1320" s="53"/>
      <x:c r="U1320" s="53"/>
      <x:c r="V1320" s="53"/>
      <x:c r="W1320" s="53"/>
      <x:c r="X1320" s="53"/>
      <x:c r="Y1320" s="53"/>
      <x:c r="Z1320" s="53"/>
      <x:c r="AA1320" s="53"/>
      <x:c r="AB1320" s="53"/>
      <x:c r="AC1320" s="53"/>
      <x:c r="AD1320" s="53"/>
      <x:c r="AE1320" s="53"/>
      <x:c r="AF1320" s="53"/>
    </x:row>
    <x:row r="1321">
      <x:c r="A1321" s="53"/>
      <x:c r="B1321" s="53"/>
      <x:c r="C1321" s="53"/>
      <x:c r="D1321" s="53"/>
      <x:c r="E1321" s="53"/>
      <x:c r="F1321" s="53"/>
      <x:c r="G1321" s="53"/>
      <x:c r="H1321" s="53"/>
      <x:c r="I1321" s="53"/>
      <x:c r="J1321" s="53"/>
      <x:c r="K1321" s="53"/>
      <x:c r="L1321" s="53"/>
      <x:c r="M1321" s="53"/>
      <x:c r="N1321" s="53"/>
      <x:c r="O1321" s="53"/>
      <x:c r="P1321" s="53"/>
      <x:c r="Q1321" s="53"/>
      <x:c r="R1321" s="53"/>
      <x:c r="S1321" s="53"/>
      <x:c r="T1321" s="53"/>
      <x:c r="U1321" s="53"/>
      <x:c r="V1321" s="53"/>
      <x:c r="W1321" s="53"/>
      <x:c r="X1321" s="53"/>
      <x:c r="Y1321" s="53"/>
      <x:c r="Z1321" s="53"/>
      <x:c r="AA1321" s="53"/>
      <x:c r="AB1321" s="53"/>
      <x:c r="AC1321" s="53"/>
      <x:c r="AD1321" s="53"/>
      <x:c r="AE1321" s="53"/>
      <x:c r="AF1321" s="53"/>
    </x:row>
    <x:row r="1322">
      <x:c r="A1322" s="53"/>
      <x:c r="B1322" s="53"/>
      <x:c r="C1322" s="53"/>
      <x:c r="D1322" s="53"/>
      <x:c r="E1322" s="53"/>
      <x:c r="F1322" s="53"/>
      <x:c r="G1322" s="53"/>
      <x:c r="H1322" s="53"/>
      <x:c r="I1322" s="53"/>
      <x:c r="J1322" s="53"/>
      <x:c r="K1322" s="53"/>
      <x:c r="L1322" s="53"/>
      <x:c r="M1322" s="53"/>
      <x:c r="N1322" s="53"/>
      <x:c r="O1322" s="53"/>
      <x:c r="P1322" s="53"/>
      <x:c r="Q1322" s="53"/>
      <x:c r="R1322" s="53"/>
      <x:c r="S1322" s="53"/>
      <x:c r="T1322" s="53"/>
      <x:c r="U1322" s="53"/>
      <x:c r="V1322" s="53"/>
      <x:c r="W1322" s="53"/>
      <x:c r="X1322" s="53"/>
      <x:c r="Y1322" s="53"/>
      <x:c r="Z1322" s="53"/>
      <x:c r="AA1322" s="53"/>
      <x:c r="AB1322" s="53"/>
      <x:c r="AC1322" s="53"/>
      <x:c r="AD1322" s="53"/>
      <x:c r="AE1322" s="53"/>
      <x:c r="AF1322" s="53"/>
    </x:row>
    <x:row r="1323">
      <x:c r="A1323" s="53"/>
      <x:c r="B1323" s="53"/>
      <x:c r="C1323" s="53"/>
      <x:c r="D1323" s="53"/>
      <x:c r="E1323" s="53"/>
      <x:c r="F1323" s="53"/>
      <x:c r="G1323" s="53"/>
      <x:c r="H1323" s="53"/>
      <x:c r="I1323" s="53"/>
      <x:c r="J1323" s="53"/>
      <x:c r="K1323" s="53"/>
      <x:c r="L1323" s="53"/>
      <x:c r="M1323" s="53"/>
      <x:c r="N1323" s="53"/>
      <x:c r="O1323" s="53"/>
      <x:c r="P1323" s="53"/>
      <x:c r="Q1323" s="53"/>
      <x:c r="R1323" s="53"/>
      <x:c r="S1323" s="53"/>
      <x:c r="T1323" s="53"/>
      <x:c r="U1323" s="53"/>
      <x:c r="V1323" s="53"/>
      <x:c r="W1323" s="53"/>
      <x:c r="X1323" s="53"/>
      <x:c r="Y1323" s="53"/>
      <x:c r="Z1323" s="53"/>
      <x:c r="AA1323" s="53"/>
      <x:c r="AB1323" s="53"/>
      <x:c r="AC1323" s="53"/>
      <x:c r="AD1323" s="53"/>
      <x:c r="AE1323" s="53"/>
      <x:c r="AF1323" s="53"/>
    </x:row>
    <x:row r="1324">
      <x:c r="A1324" s="53"/>
      <x:c r="B1324" s="53"/>
      <x:c r="C1324" s="53"/>
      <x:c r="D1324" s="53"/>
      <x:c r="E1324" s="53"/>
      <x:c r="F1324" s="53"/>
      <x:c r="G1324" s="53"/>
      <x:c r="H1324" s="53"/>
      <x:c r="I1324" s="53"/>
      <x:c r="J1324" s="53"/>
      <x:c r="K1324" s="53"/>
      <x:c r="L1324" s="53"/>
      <x:c r="M1324" s="53"/>
      <x:c r="N1324" s="53"/>
      <x:c r="O1324" s="53"/>
      <x:c r="P1324" s="53"/>
      <x:c r="Q1324" s="53"/>
      <x:c r="R1324" s="53"/>
      <x:c r="S1324" s="53"/>
      <x:c r="T1324" s="53"/>
      <x:c r="U1324" s="53"/>
      <x:c r="V1324" s="53"/>
      <x:c r="W1324" s="53"/>
      <x:c r="X1324" s="53"/>
      <x:c r="Y1324" s="53"/>
      <x:c r="Z1324" s="53"/>
      <x:c r="AA1324" s="53"/>
      <x:c r="AB1324" s="53"/>
      <x:c r="AC1324" s="53"/>
      <x:c r="AD1324" s="53"/>
      <x:c r="AE1324" s="53"/>
      <x:c r="AF1324" s="53"/>
    </x:row>
    <x:row r="1325">
      <x:c r="A1325" s="53"/>
      <x:c r="B1325" s="53"/>
      <x:c r="C1325" s="53"/>
      <x:c r="D1325" s="53"/>
      <x:c r="E1325" s="53"/>
      <x:c r="F1325" s="53"/>
      <x:c r="G1325" s="53"/>
      <x:c r="H1325" s="53"/>
      <x:c r="I1325" s="53"/>
      <x:c r="J1325" s="53"/>
      <x:c r="K1325" s="53"/>
      <x:c r="L1325" s="53"/>
      <x:c r="M1325" s="53"/>
      <x:c r="N1325" s="53"/>
      <x:c r="O1325" s="53"/>
      <x:c r="P1325" s="53"/>
      <x:c r="Q1325" s="53"/>
      <x:c r="R1325" s="53"/>
      <x:c r="S1325" s="53"/>
      <x:c r="T1325" s="53"/>
      <x:c r="U1325" s="53"/>
      <x:c r="V1325" s="53"/>
      <x:c r="W1325" s="53"/>
      <x:c r="X1325" s="53"/>
      <x:c r="Y1325" s="53"/>
      <x:c r="Z1325" s="53"/>
      <x:c r="AA1325" s="53"/>
      <x:c r="AB1325" s="53"/>
      <x:c r="AC1325" s="53"/>
      <x:c r="AD1325" s="53"/>
      <x:c r="AE1325" s="53"/>
      <x:c r="AF1325" s="53"/>
    </x:row>
    <x:row r="1326">
      <x:c r="A1326" s="53"/>
      <x:c r="B1326" s="53"/>
      <x:c r="C1326" s="53"/>
      <x:c r="D1326" s="53"/>
      <x:c r="E1326" s="53"/>
      <x:c r="F1326" s="53"/>
      <x:c r="G1326" s="53"/>
      <x:c r="H1326" s="53"/>
      <x:c r="I1326" s="53"/>
      <x:c r="J1326" s="53"/>
      <x:c r="K1326" s="53"/>
      <x:c r="L1326" s="53"/>
      <x:c r="M1326" s="53"/>
      <x:c r="N1326" s="53"/>
      <x:c r="O1326" s="53"/>
      <x:c r="P1326" s="53"/>
      <x:c r="Q1326" s="53"/>
      <x:c r="R1326" s="53"/>
      <x:c r="S1326" s="53"/>
      <x:c r="T1326" s="53"/>
      <x:c r="U1326" s="53"/>
      <x:c r="V1326" s="53"/>
      <x:c r="W1326" s="53"/>
      <x:c r="X1326" s="53"/>
      <x:c r="Y1326" s="53"/>
      <x:c r="Z1326" s="53"/>
      <x:c r="AA1326" s="53"/>
      <x:c r="AB1326" s="53"/>
      <x:c r="AC1326" s="53"/>
      <x:c r="AD1326" s="53"/>
      <x:c r="AE1326" s="53"/>
      <x:c r="AF1326" s="53"/>
    </x:row>
    <x:row r="1327">
      <x:c r="A1327" s="53"/>
      <x:c r="B1327" s="53"/>
      <x:c r="C1327" s="53"/>
      <x:c r="D1327" s="53"/>
      <x:c r="E1327" s="53"/>
      <x:c r="F1327" s="53"/>
      <x:c r="G1327" s="53"/>
      <x:c r="H1327" s="53"/>
      <x:c r="I1327" s="53"/>
      <x:c r="J1327" s="53"/>
      <x:c r="K1327" s="53"/>
      <x:c r="L1327" s="53"/>
      <x:c r="M1327" s="53"/>
      <x:c r="N1327" s="53"/>
      <x:c r="O1327" s="53"/>
      <x:c r="P1327" s="53"/>
      <x:c r="Q1327" s="53"/>
      <x:c r="R1327" s="53"/>
      <x:c r="S1327" s="53"/>
      <x:c r="T1327" s="53"/>
      <x:c r="U1327" s="53"/>
      <x:c r="V1327" s="53"/>
      <x:c r="W1327" s="53"/>
      <x:c r="X1327" s="53"/>
      <x:c r="Y1327" s="53"/>
      <x:c r="Z1327" s="53"/>
      <x:c r="AA1327" s="53"/>
      <x:c r="AB1327" s="53"/>
      <x:c r="AC1327" s="53"/>
      <x:c r="AD1327" s="53"/>
      <x:c r="AE1327" s="53"/>
      <x:c r="AF1327" s="53"/>
    </x:row>
    <x:row r="1328">
      <x:c r="A1328" s="53"/>
      <x:c r="B1328" s="53"/>
      <x:c r="C1328" s="53"/>
      <x:c r="D1328" s="53"/>
      <x:c r="E1328" s="53"/>
      <x:c r="F1328" s="53"/>
      <x:c r="G1328" s="53"/>
      <x:c r="H1328" s="53"/>
      <x:c r="I1328" s="53"/>
      <x:c r="J1328" s="53"/>
      <x:c r="K1328" s="53"/>
      <x:c r="L1328" s="53"/>
      <x:c r="M1328" s="53"/>
      <x:c r="N1328" s="53"/>
      <x:c r="O1328" s="53"/>
      <x:c r="P1328" s="53"/>
      <x:c r="Q1328" s="53"/>
      <x:c r="R1328" s="53"/>
      <x:c r="S1328" s="53"/>
      <x:c r="T1328" s="53"/>
      <x:c r="U1328" s="53"/>
      <x:c r="V1328" s="53"/>
      <x:c r="W1328" s="53"/>
      <x:c r="X1328" s="53"/>
      <x:c r="Y1328" s="53"/>
      <x:c r="Z1328" s="53"/>
      <x:c r="AA1328" s="53"/>
      <x:c r="AB1328" s="53"/>
      <x:c r="AC1328" s="53"/>
      <x:c r="AD1328" s="53"/>
      <x:c r="AE1328" s="53"/>
      <x:c r="AF1328" s="53"/>
    </x:row>
    <x:row r="1329">
      <x:c r="A1329" s="53"/>
      <x:c r="B1329" s="53"/>
      <x:c r="C1329" s="53"/>
      <x:c r="D1329" s="53"/>
      <x:c r="E1329" s="53"/>
      <x:c r="F1329" s="53"/>
      <x:c r="G1329" s="53"/>
      <x:c r="H1329" s="53"/>
      <x:c r="I1329" s="53"/>
      <x:c r="J1329" s="53"/>
      <x:c r="K1329" s="53"/>
      <x:c r="L1329" s="53"/>
      <x:c r="M1329" s="53"/>
      <x:c r="N1329" s="53"/>
      <x:c r="O1329" s="53"/>
      <x:c r="P1329" s="53"/>
      <x:c r="Q1329" s="53"/>
      <x:c r="R1329" s="53"/>
      <x:c r="S1329" s="53"/>
      <x:c r="T1329" s="53"/>
      <x:c r="U1329" s="53"/>
      <x:c r="V1329" s="53"/>
      <x:c r="W1329" s="53"/>
      <x:c r="X1329" s="53"/>
      <x:c r="Y1329" s="53"/>
      <x:c r="Z1329" s="53"/>
      <x:c r="AA1329" s="53"/>
      <x:c r="AB1329" s="53"/>
      <x:c r="AC1329" s="53"/>
      <x:c r="AD1329" s="53"/>
      <x:c r="AE1329" s="53"/>
      <x:c r="AF1329" s="53"/>
    </x:row>
    <x:row r="1330">
      <x:c r="A1330" s="53"/>
      <x:c r="B1330" s="53"/>
      <x:c r="C1330" s="53"/>
      <x:c r="D1330" s="53"/>
      <x:c r="E1330" s="53"/>
      <x:c r="F1330" s="53"/>
      <x:c r="G1330" s="53"/>
      <x:c r="H1330" s="53"/>
      <x:c r="I1330" s="53"/>
      <x:c r="J1330" s="53"/>
      <x:c r="K1330" s="53"/>
      <x:c r="L1330" s="53"/>
      <x:c r="M1330" s="53"/>
      <x:c r="N1330" s="53"/>
      <x:c r="O1330" s="53"/>
      <x:c r="P1330" s="53"/>
      <x:c r="Q1330" s="53"/>
      <x:c r="R1330" s="53"/>
      <x:c r="S1330" s="53"/>
      <x:c r="T1330" s="53"/>
      <x:c r="U1330" s="53"/>
      <x:c r="V1330" s="53"/>
      <x:c r="W1330" s="53"/>
      <x:c r="X1330" s="53"/>
      <x:c r="Y1330" s="53"/>
      <x:c r="Z1330" s="53"/>
      <x:c r="AA1330" s="53"/>
      <x:c r="AB1330" s="53"/>
      <x:c r="AC1330" s="53"/>
      <x:c r="AD1330" s="53"/>
      <x:c r="AE1330" s="53"/>
      <x:c r="AF1330" s="53"/>
    </x:row>
    <x:row r="1331">
      <x:c r="A1331" s="53"/>
      <x:c r="B1331" s="53"/>
      <x:c r="C1331" s="53"/>
      <x:c r="D1331" s="53"/>
      <x:c r="E1331" s="53"/>
      <x:c r="F1331" s="53"/>
      <x:c r="G1331" s="53"/>
      <x:c r="H1331" s="53"/>
      <x:c r="I1331" s="53"/>
      <x:c r="J1331" s="53"/>
      <x:c r="K1331" s="53"/>
      <x:c r="L1331" s="53"/>
      <x:c r="M1331" s="53"/>
      <x:c r="N1331" s="53"/>
      <x:c r="O1331" s="53"/>
      <x:c r="P1331" s="53"/>
      <x:c r="Q1331" s="53"/>
      <x:c r="R1331" s="53"/>
      <x:c r="S1331" s="53"/>
      <x:c r="T1331" s="53"/>
      <x:c r="U1331" s="53"/>
      <x:c r="V1331" s="53"/>
      <x:c r="W1331" s="53"/>
      <x:c r="X1331" s="53"/>
      <x:c r="Y1331" s="53"/>
      <x:c r="Z1331" s="53"/>
      <x:c r="AA1331" s="53"/>
      <x:c r="AB1331" s="53"/>
      <x:c r="AC1331" s="53"/>
      <x:c r="AD1331" s="53"/>
      <x:c r="AE1331" s="53"/>
      <x:c r="AF1331" s="53"/>
    </x:row>
    <x:row r="1332">
      <x:c r="A1332" s="53"/>
      <x:c r="B1332" s="53"/>
      <x:c r="C1332" s="53"/>
      <x:c r="D1332" s="53"/>
      <x:c r="E1332" s="53"/>
      <x:c r="F1332" s="53"/>
      <x:c r="G1332" s="53"/>
      <x:c r="H1332" s="53"/>
      <x:c r="I1332" s="53"/>
      <x:c r="J1332" s="53"/>
      <x:c r="K1332" s="53"/>
      <x:c r="L1332" s="53"/>
      <x:c r="M1332" s="53"/>
      <x:c r="N1332" s="53"/>
      <x:c r="O1332" s="53"/>
      <x:c r="P1332" s="53"/>
      <x:c r="Q1332" s="53"/>
      <x:c r="R1332" s="53"/>
      <x:c r="S1332" s="53"/>
      <x:c r="T1332" s="53"/>
      <x:c r="U1332" s="53"/>
      <x:c r="V1332" s="53"/>
      <x:c r="W1332" s="53"/>
      <x:c r="X1332" s="53"/>
      <x:c r="Y1332" s="53"/>
      <x:c r="Z1332" s="53"/>
      <x:c r="AA1332" s="53"/>
      <x:c r="AB1332" s="53"/>
      <x:c r="AC1332" s="53"/>
      <x:c r="AD1332" s="53"/>
      <x:c r="AE1332" s="53"/>
      <x:c r="AF1332" s="53"/>
    </x:row>
    <x:row r="1333">
      <x:c r="A1333" s="53"/>
      <x:c r="B1333" s="53"/>
      <x:c r="C1333" s="53"/>
      <x:c r="D1333" s="53"/>
      <x:c r="E1333" s="53"/>
      <x:c r="F1333" s="53"/>
      <x:c r="G1333" s="53"/>
      <x:c r="H1333" s="53"/>
      <x:c r="I1333" s="53"/>
      <x:c r="J1333" s="53"/>
      <x:c r="K1333" s="53"/>
      <x:c r="L1333" s="53"/>
      <x:c r="M1333" s="53"/>
      <x:c r="N1333" s="53"/>
      <x:c r="O1333" s="53"/>
      <x:c r="P1333" s="53"/>
      <x:c r="Q1333" s="53"/>
      <x:c r="R1333" s="53"/>
      <x:c r="S1333" s="53"/>
      <x:c r="T1333" s="53"/>
      <x:c r="U1333" s="53"/>
      <x:c r="V1333" s="53"/>
      <x:c r="W1333" s="53"/>
      <x:c r="X1333" s="53"/>
      <x:c r="Y1333" s="53"/>
      <x:c r="Z1333" s="53"/>
      <x:c r="AA1333" s="53"/>
      <x:c r="AB1333" s="53"/>
      <x:c r="AC1333" s="53"/>
      <x:c r="AD1333" s="53"/>
      <x:c r="AE1333" s="53"/>
      <x:c r="AF1333" s="53"/>
    </x:row>
    <x:row r="1334">
      <x:c r="A1334" s="53"/>
      <x:c r="B1334" s="53"/>
      <x:c r="C1334" s="53"/>
      <x:c r="D1334" s="53"/>
      <x:c r="E1334" s="53"/>
      <x:c r="F1334" s="53"/>
      <x:c r="G1334" s="53"/>
      <x:c r="H1334" s="53"/>
      <x:c r="I1334" s="53"/>
      <x:c r="J1334" s="53"/>
      <x:c r="K1334" s="53"/>
      <x:c r="L1334" s="53"/>
      <x:c r="M1334" s="53"/>
      <x:c r="N1334" s="53"/>
      <x:c r="O1334" s="53"/>
      <x:c r="P1334" s="53"/>
      <x:c r="Q1334" s="53"/>
      <x:c r="R1334" s="53"/>
      <x:c r="S1334" s="53"/>
      <x:c r="T1334" s="53"/>
      <x:c r="U1334" s="53"/>
      <x:c r="V1334" s="53"/>
      <x:c r="W1334" s="53"/>
      <x:c r="X1334" s="53"/>
      <x:c r="Y1334" s="53"/>
      <x:c r="Z1334" s="53"/>
      <x:c r="AA1334" s="53"/>
      <x:c r="AB1334" s="53"/>
      <x:c r="AC1334" s="53"/>
      <x:c r="AD1334" s="53"/>
      <x:c r="AE1334" s="53"/>
      <x:c r="AF1334" s="53"/>
    </x:row>
    <x:row r="1335">
      <x:c r="A1335" s="53"/>
      <x:c r="B1335" s="53"/>
      <x:c r="C1335" s="53"/>
      <x:c r="D1335" s="53"/>
      <x:c r="E1335" s="53"/>
      <x:c r="F1335" s="53"/>
      <x:c r="G1335" s="53"/>
      <x:c r="H1335" s="53"/>
      <x:c r="I1335" s="53"/>
      <x:c r="J1335" s="53"/>
      <x:c r="K1335" s="53"/>
      <x:c r="L1335" s="53"/>
      <x:c r="M1335" s="53"/>
      <x:c r="N1335" s="53"/>
      <x:c r="O1335" s="53"/>
      <x:c r="P1335" s="53"/>
      <x:c r="Q1335" s="53"/>
      <x:c r="R1335" s="53"/>
      <x:c r="S1335" s="53"/>
      <x:c r="T1335" s="53"/>
      <x:c r="U1335" s="53"/>
      <x:c r="V1335" s="53"/>
      <x:c r="W1335" s="53"/>
      <x:c r="X1335" s="53"/>
      <x:c r="Y1335" s="53"/>
      <x:c r="Z1335" s="53"/>
      <x:c r="AA1335" s="53"/>
      <x:c r="AB1335" s="53"/>
      <x:c r="AC1335" s="53"/>
      <x:c r="AD1335" s="53"/>
      <x:c r="AE1335" s="53"/>
      <x:c r="AF1335" s="53"/>
    </x:row>
    <x:row r="1336">
      <x:c r="A1336" s="53"/>
      <x:c r="B1336" s="53"/>
      <x:c r="C1336" s="53"/>
      <x:c r="D1336" s="53"/>
      <x:c r="E1336" s="53"/>
      <x:c r="F1336" s="53"/>
      <x:c r="G1336" s="53"/>
      <x:c r="H1336" s="53"/>
      <x:c r="I1336" s="53"/>
      <x:c r="J1336" s="53"/>
      <x:c r="K1336" s="53"/>
      <x:c r="L1336" s="53"/>
      <x:c r="M1336" s="53"/>
      <x:c r="N1336" s="53"/>
      <x:c r="O1336" s="53"/>
      <x:c r="P1336" s="53"/>
      <x:c r="Q1336" s="53"/>
      <x:c r="R1336" s="53"/>
      <x:c r="S1336" s="53"/>
      <x:c r="T1336" s="53"/>
      <x:c r="U1336" s="53"/>
      <x:c r="V1336" s="53"/>
      <x:c r="W1336" s="53"/>
      <x:c r="X1336" s="53"/>
      <x:c r="Y1336" s="53"/>
      <x:c r="Z1336" s="53"/>
      <x:c r="AA1336" s="53"/>
      <x:c r="AB1336" s="53"/>
      <x:c r="AC1336" s="53"/>
      <x:c r="AD1336" s="53"/>
      <x:c r="AE1336" s="53"/>
      <x:c r="AF1336" s="53"/>
    </x:row>
    <x:row r="1337">
      <x:c r="A1337" s="53"/>
      <x:c r="B1337" s="53"/>
      <x:c r="C1337" s="53"/>
      <x:c r="D1337" s="53"/>
      <x:c r="E1337" s="53"/>
      <x:c r="F1337" s="53"/>
      <x:c r="G1337" s="53"/>
      <x:c r="H1337" s="53"/>
      <x:c r="I1337" s="53"/>
      <x:c r="J1337" s="53"/>
      <x:c r="K1337" s="53"/>
      <x:c r="L1337" s="53"/>
      <x:c r="M1337" s="53"/>
      <x:c r="N1337" s="53"/>
      <x:c r="O1337" s="53"/>
      <x:c r="P1337" s="53"/>
      <x:c r="Q1337" s="53"/>
      <x:c r="R1337" s="53"/>
      <x:c r="S1337" s="53"/>
      <x:c r="T1337" s="53"/>
      <x:c r="U1337" s="53"/>
      <x:c r="V1337" s="53"/>
      <x:c r="W1337" s="53"/>
      <x:c r="X1337" s="53"/>
      <x:c r="Y1337" s="53"/>
      <x:c r="Z1337" s="53"/>
      <x:c r="AA1337" s="53"/>
      <x:c r="AB1337" s="53"/>
      <x:c r="AC1337" s="53"/>
      <x:c r="AD1337" s="53"/>
      <x:c r="AE1337" s="53"/>
      <x:c r="AF1337" s="53"/>
    </x:row>
    <x:row r="1338">
      <x:c r="A1338" s="53"/>
      <x:c r="B1338" s="53"/>
      <x:c r="C1338" s="53"/>
      <x:c r="D1338" s="53"/>
      <x:c r="E1338" s="53"/>
      <x:c r="F1338" s="53"/>
      <x:c r="G1338" s="53"/>
      <x:c r="H1338" s="53"/>
      <x:c r="I1338" s="53"/>
      <x:c r="J1338" s="53"/>
      <x:c r="K1338" s="53"/>
      <x:c r="L1338" s="53"/>
      <x:c r="M1338" s="53"/>
      <x:c r="N1338" s="53"/>
      <x:c r="O1338" s="53"/>
      <x:c r="P1338" s="53"/>
      <x:c r="Q1338" s="53"/>
      <x:c r="R1338" s="53"/>
      <x:c r="S1338" s="53"/>
      <x:c r="T1338" s="53"/>
      <x:c r="U1338" s="53"/>
      <x:c r="V1338" s="53"/>
      <x:c r="W1338" s="53"/>
      <x:c r="X1338" s="53"/>
      <x:c r="Y1338" s="53"/>
      <x:c r="Z1338" s="53"/>
      <x:c r="AA1338" s="53"/>
      <x:c r="AB1338" s="53"/>
      <x:c r="AC1338" s="53"/>
      <x:c r="AD1338" s="53"/>
      <x:c r="AE1338" s="53"/>
      <x:c r="AF1338" s="53"/>
    </x:row>
    <x:row r="1339">
      <x:c r="A1339" s="53"/>
      <x:c r="B1339" s="53"/>
      <x:c r="C1339" s="53"/>
      <x:c r="D1339" s="53"/>
      <x:c r="E1339" s="53"/>
      <x:c r="F1339" s="53"/>
      <x:c r="G1339" s="53"/>
      <x:c r="H1339" s="53"/>
      <x:c r="I1339" s="53"/>
      <x:c r="J1339" s="53"/>
      <x:c r="K1339" s="53"/>
      <x:c r="L1339" s="53"/>
      <x:c r="M1339" s="53"/>
      <x:c r="N1339" s="53"/>
      <x:c r="O1339" s="53"/>
      <x:c r="P1339" s="53"/>
      <x:c r="Q1339" s="53"/>
      <x:c r="R1339" s="53"/>
      <x:c r="S1339" s="53"/>
      <x:c r="T1339" s="53"/>
      <x:c r="U1339" s="53"/>
      <x:c r="V1339" s="53"/>
      <x:c r="W1339" s="53"/>
      <x:c r="X1339" s="53"/>
      <x:c r="Y1339" s="53"/>
      <x:c r="Z1339" s="53"/>
      <x:c r="AA1339" s="53"/>
      <x:c r="AB1339" s="53"/>
      <x:c r="AC1339" s="53"/>
      <x:c r="AD1339" s="53"/>
      <x:c r="AE1339" s="53"/>
      <x:c r="AF1339" s="53"/>
    </x:row>
    <x:row r="1340">
      <x:c r="A1340" s="53"/>
      <x:c r="B1340" s="53"/>
      <x:c r="C1340" s="53"/>
      <x:c r="D1340" s="53"/>
      <x:c r="E1340" s="53"/>
      <x:c r="F1340" s="53"/>
      <x:c r="G1340" s="53"/>
      <x:c r="H1340" s="53"/>
      <x:c r="I1340" s="53"/>
      <x:c r="J1340" s="53"/>
      <x:c r="K1340" s="53"/>
      <x:c r="L1340" s="53"/>
      <x:c r="M1340" s="53"/>
      <x:c r="N1340" s="53"/>
      <x:c r="O1340" s="53"/>
      <x:c r="P1340" s="53"/>
      <x:c r="Q1340" s="53"/>
      <x:c r="R1340" s="53"/>
      <x:c r="S1340" s="53"/>
      <x:c r="T1340" s="53"/>
      <x:c r="U1340" s="53"/>
      <x:c r="V1340" s="53"/>
      <x:c r="W1340" s="53"/>
      <x:c r="X1340" s="53"/>
      <x:c r="Y1340" s="53"/>
      <x:c r="Z1340" s="53"/>
      <x:c r="AA1340" s="53"/>
      <x:c r="AB1340" s="53"/>
      <x:c r="AC1340" s="53"/>
      <x:c r="AD1340" s="53"/>
      <x:c r="AE1340" s="53"/>
      <x:c r="AF1340" s="53"/>
    </x:row>
    <x:row r="1341">
      <x:c r="A1341" s="53"/>
      <x:c r="B1341" s="53"/>
      <x:c r="C1341" s="53"/>
      <x:c r="D1341" s="53"/>
      <x:c r="E1341" s="53"/>
      <x:c r="F1341" s="53"/>
      <x:c r="G1341" s="53"/>
      <x:c r="H1341" s="53"/>
      <x:c r="I1341" s="53"/>
      <x:c r="J1341" s="53"/>
      <x:c r="K1341" s="53"/>
      <x:c r="L1341" s="53"/>
      <x:c r="M1341" s="53"/>
      <x:c r="N1341" s="53"/>
      <x:c r="O1341" s="53"/>
      <x:c r="P1341" s="53"/>
      <x:c r="Q1341" s="53"/>
      <x:c r="R1341" s="53"/>
      <x:c r="S1341" s="53"/>
      <x:c r="T1341" s="53"/>
      <x:c r="U1341" s="53"/>
      <x:c r="V1341" s="53"/>
      <x:c r="W1341" s="53"/>
      <x:c r="X1341" s="53"/>
      <x:c r="Y1341" s="53"/>
      <x:c r="Z1341" s="53"/>
      <x:c r="AA1341" s="53"/>
      <x:c r="AB1341" s="53"/>
      <x:c r="AC1341" s="53"/>
      <x:c r="AD1341" s="53"/>
      <x:c r="AE1341" s="53"/>
      <x:c r="AF1341" s="53"/>
    </x:row>
    <x:row r="1342">
      <x:c r="A1342" s="53"/>
      <x:c r="B1342" s="53"/>
      <x:c r="C1342" s="53"/>
      <x:c r="D1342" s="53"/>
      <x:c r="E1342" s="53"/>
      <x:c r="F1342" s="53"/>
      <x:c r="G1342" s="53"/>
      <x:c r="H1342" s="53"/>
      <x:c r="I1342" s="53"/>
      <x:c r="J1342" s="53"/>
      <x:c r="K1342" s="53"/>
      <x:c r="L1342" s="53"/>
      <x:c r="M1342" s="53"/>
      <x:c r="N1342" s="53"/>
      <x:c r="O1342" s="53"/>
      <x:c r="P1342" s="53"/>
      <x:c r="Q1342" s="53"/>
      <x:c r="R1342" s="53"/>
      <x:c r="S1342" s="53"/>
      <x:c r="T1342" s="53"/>
      <x:c r="U1342" s="53"/>
      <x:c r="V1342" s="53"/>
      <x:c r="W1342" s="53"/>
      <x:c r="X1342" s="53"/>
      <x:c r="Y1342" s="53"/>
      <x:c r="Z1342" s="53"/>
      <x:c r="AA1342" s="53"/>
      <x:c r="AB1342" s="53"/>
      <x:c r="AC1342" s="53"/>
      <x:c r="AD1342" s="53"/>
      <x:c r="AE1342" s="53"/>
      <x:c r="AF1342" s="53"/>
    </x:row>
    <x:row r="1343">
      <x:c r="A1343" s="53"/>
      <x:c r="B1343" s="53"/>
      <x:c r="C1343" s="53"/>
      <x:c r="D1343" s="53"/>
      <x:c r="E1343" s="53"/>
      <x:c r="F1343" s="53"/>
      <x:c r="G1343" s="53"/>
      <x:c r="H1343" s="53"/>
      <x:c r="I1343" s="53"/>
      <x:c r="J1343" s="53"/>
      <x:c r="K1343" s="53"/>
      <x:c r="L1343" s="53"/>
      <x:c r="M1343" s="53"/>
      <x:c r="N1343" s="53"/>
      <x:c r="O1343" s="53"/>
      <x:c r="P1343" s="53"/>
      <x:c r="Q1343" s="53"/>
      <x:c r="R1343" s="53"/>
      <x:c r="S1343" s="53"/>
      <x:c r="T1343" s="53"/>
      <x:c r="U1343" s="53"/>
      <x:c r="V1343" s="53"/>
      <x:c r="W1343" s="53"/>
      <x:c r="X1343" s="53"/>
      <x:c r="Y1343" s="53"/>
      <x:c r="Z1343" s="53"/>
      <x:c r="AA1343" s="53"/>
      <x:c r="AB1343" s="53"/>
      <x:c r="AC1343" s="53"/>
      <x:c r="AD1343" s="53"/>
      <x:c r="AE1343" s="53"/>
      <x:c r="AF1343" s="53"/>
    </x:row>
    <x:row r="1344">
      <x:c r="A1344" s="53"/>
      <x:c r="B1344" s="53"/>
      <x:c r="C1344" s="53"/>
      <x:c r="D1344" s="53"/>
      <x:c r="E1344" s="53"/>
      <x:c r="F1344" s="53"/>
      <x:c r="G1344" s="53"/>
      <x:c r="H1344" s="53"/>
      <x:c r="I1344" s="53"/>
      <x:c r="J1344" s="53"/>
      <x:c r="K1344" s="53"/>
      <x:c r="L1344" s="53"/>
      <x:c r="M1344" s="53"/>
      <x:c r="N1344" s="53"/>
      <x:c r="O1344" s="53"/>
      <x:c r="P1344" s="53"/>
      <x:c r="Q1344" s="53"/>
      <x:c r="R1344" s="53"/>
      <x:c r="S1344" s="53"/>
      <x:c r="T1344" s="53"/>
      <x:c r="U1344" s="53"/>
      <x:c r="V1344" s="53"/>
      <x:c r="W1344" s="53"/>
      <x:c r="X1344" s="53"/>
      <x:c r="Y1344" s="53"/>
      <x:c r="Z1344" s="53"/>
      <x:c r="AA1344" s="53"/>
      <x:c r="AB1344" s="53"/>
      <x:c r="AC1344" s="53"/>
      <x:c r="AD1344" s="53"/>
      <x:c r="AE1344" s="53"/>
      <x:c r="AF1344" s="53"/>
    </x:row>
    <x:row r="1345">
      <x:c r="A1345" s="53"/>
      <x:c r="B1345" s="53"/>
      <x:c r="C1345" s="53"/>
      <x:c r="D1345" s="53"/>
      <x:c r="E1345" s="53"/>
      <x:c r="F1345" s="53"/>
      <x:c r="G1345" s="53"/>
      <x:c r="H1345" s="53"/>
      <x:c r="I1345" s="53"/>
      <x:c r="J1345" s="53"/>
      <x:c r="K1345" s="53"/>
      <x:c r="L1345" s="53"/>
      <x:c r="M1345" s="53"/>
      <x:c r="N1345" s="53"/>
      <x:c r="O1345" s="53"/>
      <x:c r="P1345" s="53"/>
      <x:c r="Q1345" s="53"/>
      <x:c r="R1345" s="53"/>
      <x:c r="S1345" s="53"/>
      <x:c r="T1345" s="53"/>
      <x:c r="U1345" s="53"/>
      <x:c r="V1345" s="53"/>
      <x:c r="W1345" s="53"/>
      <x:c r="X1345" s="53"/>
      <x:c r="Y1345" s="53"/>
      <x:c r="Z1345" s="53"/>
      <x:c r="AA1345" s="53"/>
      <x:c r="AB1345" s="53"/>
      <x:c r="AC1345" s="53"/>
      <x:c r="AD1345" s="53"/>
      <x:c r="AE1345" s="53"/>
      <x:c r="AF1345" s="53"/>
    </x:row>
    <x:row r="1346">
      <x:c r="A1346" s="53"/>
      <x:c r="B1346" s="53"/>
      <x:c r="C1346" s="53"/>
      <x:c r="D1346" s="53"/>
      <x:c r="E1346" s="53"/>
      <x:c r="F1346" s="53"/>
      <x:c r="G1346" s="53"/>
      <x:c r="H1346" s="53"/>
      <x:c r="I1346" s="53"/>
      <x:c r="J1346" s="53"/>
      <x:c r="K1346" s="53"/>
      <x:c r="L1346" s="53"/>
      <x:c r="M1346" s="53"/>
      <x:c r="N1346" s="53"/>
      <x:c r="O1346" s="53"/>
      <x:c r="P1346" s="53"/>
      <x:c r="Q1346" s="53"/>
      <x:c r="R1346" s="53"/>
      <x:c r="S1346" s="53"/>
      <x:c r="T1346" s="53"/>
      <x:c r="U1346" s="53"/>
      <x:c r="V1346" s="53"/>
      <x:c r="W1346" s="53"/>
      <x:c r="X1346" s="53"/>
      <x:c r="Y1346" s="53"/>
      <x:c r="Z1346" s="53"/>
      <x:c r="AA1346" s="53"/>
      <x:c r="AB1346" s="53"/>
      <x:c r="AC1346" s="53"/>
      <x:c r="AD1346" s="53"/>
      <x:c r="AE1346" s="53"/>
      <x:c r="AF1346" s="53"/>
    </x:row>
    <x:row r="1347">
      <x:c r="A1347" s="53"/>
      <x:c r="B1347" s="53"/>
      <x:c r="C1347" s="53"/>
      <x:c r="D1347" s="53"/>
      <x:c r="E1347" s="53"/>
      <x:c r="F1347" s="53"/>
      <x:c r="G1347" s="53"/>
      <x:c r="H1347" s="53"/>
      <x:c r="I1347" s="53"/>
      <x:c r="J1347" s="53"/>
      <x:c r="K1347" s="53"/>
      <x:c r="L1347" s="53"/>
      <x:c r="M1347" s="53"/>
      <x:c r="N1347" s="53"/>
      <x:c r="O1347" s="53"/>
      <x:c r="P1347" s="53"/>
      <x:c r="Q1347" s="53"/>
      <x:c r="R1347" s="53"/>
      <x:c r="S1347" s="53"/>
      <x:c r="T1347" s="53"/>
      <x:c r="U1347" s="53"/>
      <x:c r="V1347" s="53"/>
      <x:c r="W1347" s="53"/>
      <x:c r="X1347" s="53"/>
      <x:c r="Y1347" s="53"/>
      <x:c r="Z1347" s="53"/>
      <x:c r="AA1347" s="53"/>
      <x:c r="AB1347" s="53"/>
      <x:c r="AC1347" s="53"/>
      <x:c r="AD1347" s="53"/>
      <x:c r="AE1347" s="53"/>
      <x:c r="AF1347" s="53"/>
    </x:row>
    <x:row r="1348">
      <x:c r="A1348" s="53"/>
      <x:c r="B1348" s="53"/>
      <x:c r="C1348" s="53"/>
      <x:c r="D1348" s="53"/>
      <x:c r="E1348" s="53"/>
      <x:c r="F1348" s="53"/>
      <x:c r="G1348" s="53"/>
      <x:c r="H1348" s="53"/>
      <x:c r="I1348" s="53"/>
      <x:c r="J1348" s="53"/>
      <x:c r="K1348" s="53"/>
      <x:c r="L1348" s="53"/>
      <x:c r="M1348" s="53"/>
      <x:c r="N1348" s="53"/>
      <x:c r="O1348" s="53"/>
      <x:c r="P1348" s="53"/>
      <x:c r="Q1348" s="53"/>
      <x:c r="R1348" s="53"/>
      <x:c r="S1348" s="53"/>
      <x:c r="T1348" s="53"/>
      <x:c r="U1348" s="53"/>
      <x:c r="V1348" s="53"/>
      <x:c r="W1348" s="53"/>
      <x:c r="X1348" s="53"/>
      <x:c r="Y1348" s="53"/>
      <x:c r="Z1348" s="53"/>
      <x:c r="AA1348" s="53"/>
      <x:c r="AB1348" s="53"/>
      <x:c r="AC1348" s="53"/>
      <x:c r="AD1348" s="53"/>
      <x:c r="AE1348" s="53"/>
      <x:c r="AF1348" s="53"/>
    </x:row>
    <x:row r="1349">
      <x:c r="A1349" s="53"/>
      <x:c r="B1349" s="53"/>
      <x:c r="C1349" s="53"/>
      <x:c r="D1349" s="53"/>
      <x:c r="E1349" s="53"/>
      <x:c r="F1349" s="53"/>
      <x:c r="G1349" s="53"/>
      <x:c r="H1349" s="53"/>
      <x:c r="I1349" s="53"/>
      <x:c r="J1349" s="53"/>
      <x:c r="K1349" s="53"/>
      <x:c r="L1349" s="53"/>
      <x:c r="M1349" s="53"/>
      <x:c r="N1349" s="53"/>
      <x:c r="O1349" s="53"/>
      <x:c r="P1349" s="53"/>
      <x:c r="Q1349" s="53"/>
      <x:c r="R1349" s="53"/>
      <x:c r="S1349" s="53"/>
      <x:c r="T1349" s="53"/>
      <x:c r="U1349" s="53"/>
      <x:c r="V1349" s="53"/>
      <x:c r="W1349" s="53"/>
      <x:c r="X1349" s="53"/>
      <x:c r="Y1349" s="53"/>
      <x:c r="Z1349" s="53"/>
      <x:c r="AA1349" s="53"/>
      <x:c r="AB1349" s="53"/>
      <x:c r="AC1349" s="53"/>
      <x:c r="AD1349" s="53"/>
      <x:c r="AE1349" s="53"/>
      <x:c r="AF1349" s="53"/>
    </x:row>
    <x:row r="1350">
      <x:c r="A1350" s="53"/>
      <x:c r="B1350" s="53"/>
      <x:c r="C1350" s="53"/>
      <x:c r="D1350" s="53"/>
      <x:c r="E1350" s="53"/>
      <x:c r="F1350" s="53"/>
      <x:c r="G1350" s="53"/>
      <x:c r="H1350" s="53"/>
      <x:c r="I1350" s="53"/>
      <x:c r="J1350" s="53"/>
      <x:c r="K1350" s="53"/>
      <x:c r="L1350" s="53"/>
      <x:c r="M1350" s="53"/>
      <x:c r="N1350" s="53"/>
      <x:c r="O1350" s="53"/>
      <x:c r="P1350" s="53"/>
      <x:c r="Q1350" s="53"/>
      <x:c r="R1350" s="53"/>
      <x:c r="S1350" s="53"/>
      <x:c r="T1350" s="53"/>
      <x:c r="U1350" s="53"/>
      <x:c r="V1350" s="53"/>
      <x:c r="W1350" s="53"/>
      <x:c r="X1350" s="53"/>
      <x:c r="Y1350" s="53"/>
      <x:c r="Z1350" s="53"/>
      <x:c r="AA1350" s="53"/>
      <x:c r="AB1350" s="53"/>
      <x:c r="AC1350" s="53"/>
      <x:c r="AD1350" s="53"/>
      <x:c r="AE1350" s="53"/>
      <x:c r="AF1350" s="53"/>
    </x:row>
    <x:row r="1351">
      <x:c r="A1351" s="53"/>
      <x:c r="B1351" s="53"/>
      <x:c r="C1351" s="53"/>
      <x:c r="D1351" s="53"/>
      <x:c r="E1351" s="53"/>
      <x:c r="F1351" s="53"/>
      <x:c r="G1351" s="53"/>
      <x:c r="H1351" s="53"/>
      <x:c r="I1351" s="53"/>
      <x:c r="J1351" s="53"/>
      <x:c r="K1351" s="53"/>
      <x:c r="L1351" s="53"/>
      <x:c r="M1351" s="53"/>
      <x:c r="N1351" s="53"/>
      <x:c r="O1351" s="53"/>
      <x:c r="P1351" s="53"/>
      <x:c r="Q1351" s="53"/>
      <x:c r="R1351" s="53"/>
      <x:c r="S1351" s="53"/>
      <x:c r="T1351" s="53"/>
      <x:c r="U1351" s="53"/>
      <x:c r="V1351" s="53"/>
      <x:c r="W1351" s="53"/>
      <x:c r="X1351" s="53"/>
      <x:c r="Y1351" s="53"/>
      <x:c r="Z1351" s="53"/>
      <x:c r="AA1351" s="53"/>
      <x:c r="AB1351" s="53"/>
      <x:c r="AC1351" s="53"/>
      <x:c r="AD1351" s="53"/>
      <x:c r="AE1351" s="53"/>
      <x:c r="AF1351" s="53"/>
    </x:row>
    <x:row r="1352">
      <x:c r="A1352" s="53"/>
      <x:c r="B1352" s="53"/>
      <x:c r="C1352" s="53"/>
      <x:c r="D1352" s="53"/>
      <x:c r="E1352" s="53"/>
      <x:c r="F1352" s="53"/>
      <x:c r="G1352" s="53"/>
      <x:c r="H1352" s="53"/>
      <x:c r="I1352" s="53"/>
      <x:c r="J1352" s="53"/>
      <x:c r="K1352" s="53"/>
      <x:c r="L1352" s="53"/>
      <x:c r="M1352" s="53"/>
      <x:c r="N1352" s="53"/>
      <x:c r="O1352" s="53"/>
      <x:c r="P1352" s="53"/>
      <x:c r="Q1352" s="53"/>
      <x:c r="R1352" s="53"/>
      <x:c r="S1352" s="53"/>
      <x:c r="T1352" s="53"/>
      <x:c r="U1352" s="53"/>
      <x:c r="V1352" s="53"/>
      <x:c r="W1352" s="53"/>
      <x:c r="X1352" s="53"/>
      <x:c r="Y1352" s="53"/>
      <x:c r="Z1352" s="53"/>
      <x:c r="AA1352" s="53"/>
      <x:c r="AB1352" s="53"/>
      <x:c r="AC1352" s="53"/>
      <x:c r="AD1352" s="53"/>
      <x:c r="AE1352" s="53"/>
      <x:c r="AF1352" s="53"/>
    </x:row>
    <x:row r="1353">
      <x:c r="A1353" s="53"/>
      <x:c r="B1353" s="53"/>
      <x:c r="C1353" s="53"/>
      <x:c r="D1353" s="53"/>
      <x:c r="E1353" s="53"/>
      <x:c r="F1353" s="53"/>
      <x:c r="G1353" s="53"/>
      <x:c r="H1353" s="53"/>
      <x:c r="I1353" s="53"/>
      <x:c r="J1353" s="53"/>
      <x:c r="K1353" s="53"/>
      <x:c r="L1353" s="53"/>
      <x:c r="M1353" s="53"/>
      <x:c r="N1353" s="53"/>
      <x:c r="O1353" s="53"/>
      <x:c r="P1353" s="53"/>
      <x:c r="Q1353" s="53"/>
      <x:c r="R1353" s="53"/>
      <x:c r="S1353" s="53"/>
      <x:c r="T1353" s="53"/>
      <x:c r="U1353" s="53"/>
      <x:c r="V1353" s="53"/>
      <x:c r="W1353" s="53"/>
      <x:c r="X1353" s="53"/>
      <x:c r="Y1353" s="53"/>
      <x:c r="Z1353" s="53"/>
      <x:c r="AA1353" s="53"/>
      <x:c r="AB1353" s="53"/>
      <x:c r="AC1353" s="53"/>
      <x:c r="AD1353" s="53"/>
      <x:c r="AE1353" s="53"/>
      <x:c r="AF1353" s="53"/>
    </x:row>
    <x:row r="1354">
      <x:c r="A1354" s="53"/>
      <x:c r="B1354" s="53"/>
      <x:c r="C1354" s="53"/>
      <x:c r="D1354" s="53"/>
      <x:c r="E1354" s="53"/>
      <x:c r="F1354" s="53"/>
      <x:c r="G1354" s="53"/>
      <x:c r="H1354" s="53"/>
      <x:c r="I1354" s="53"/>
      <x:c r="J1354" s="53"/>
      <x:c r="K1354" s="53"/>
      <x:c r="L1354" s="53"/>
      <x:c r="M1354" s="53"/>
      <x:c r="N1354" s="53"/>
      <x:c r="O1354" s="53"/>
      <x:c r="P1354" s="53"/>
      <x:c r="Q1354" s="53"/>
      <x:c r="R1354" s="53"/>
      <x:c r="S1354" s="53"/>
      <x:c r="T1354" s="53"/>
      <x:c r="U1354" s="53"/>
      <x:c r="V1354" s="53"/>
      <x:c r="W1354" s="53"/>
      <x:c r="X1354" s="53"/>
      <x:c r="Y1354" s="53"/>
      <x:c r="Z1354" s="53"/>
      <x:c r="AA1354" s="53"/>
      <x:c r="AB1354" s="53"/>
      <x:c r="AC1354" s="53"/>
      <x:c r="AD1354" s="53"/>
      <x:c r="AE1354" s="53"/>
      <x:c r="AF1354" s="53"/>
    </x:row>
    <x:row r="1355">
      <x:c r="A1355" s="53"/>
      <x:c r="B1355" s="53"/>
      <x:c r="C1355" s="53"/>
      <x:c r="D1355" s="53"/>
      <x:c r="E1355" s="53"/>
      <x:c r="F1355" s="53"/>
      <x:c r="G1355" s="53"/>
      <x:c r="H1355" s="53"/>
      <x:c r="I1355" s="53"/>
      <x:c r="J1355" s="53"/>
      <x:c r="K1355" s="53"/>
      <x:c r="L1355" s="53"/>
      <x:c r="M1355" s="53"/>
      <x:c r="N1355" s="53"/>
      <x:c r="O1355" s="53"/>
      <x:c r="P1355" s="53"/>
      <x:c r="Q1355" s="53"/>
      <x:c r="R1355" s="53"/>
      <x:c r="S1355" s="53"/>
      <x:c r="T1355" s="53"/>
      <x:c r="U1355" s="53"/>
      <x:c r="V1355" s="53"/>
      <x:c r="W1355" s="53"/>
      <x:c r="X1355" s="53"/>
      <x:c r="Y1355" s="53"/>
      <x:c r="Z1355" s="53"/>
      <x:c r="AA1355" s="53"/>
      <x:c r="AB1355" s="53"/>
      <x:c r="AC1355" s="53"/>
      <x:c r="AD1355" s="53"/>
      <x:c r="AE1355" s="53"/>
      <x:c r="AF1355" s="53"/>
    </x:row>
    <x:row r="1356">
      <x:c r="A1356" s="53"/>
      <x:c r="B1356" s="53"/>
      <x:c r="C1356" s="53"/>
      <x:c r="D1356" s="53"/>
      <x:c r="E1356" s="53"/>
      <x:c r="F1356" s="53"/>
      <x:c r="G1356" s="53"/>
      <x:c r="H1356" s="53"/>
      <x:c r="I1356" s="53"/>
      <x:c r="J1356" s="53"/>
      <x:c r="K1356" s="53"/>
      <x:c r="L1356" s="53"/>
      <x:c r="M1356" s="53"/>
      <x:c r="N1356" s="53"/>
      <x:c r="O1356" s="53"/>
      <x:c r="P1356" s="53"/>
      <x:c r="Q1356" s="53"/>
      <x:c r="R1356" s="53"/>
      <x:c r="S1356" s="53"/>
      <x:c r="T1356" s="53"/>
      <x:c r="U1356" s="53"/>
      <x:c r="V1356" s="53"/>
      <x:c r="W1356" s="53"/>
      <x:c r="X1356" s="53"/>
      <x:c r="Y1356" s="53"/>
      <x:c r="Z1356" s="53"/>
      <x:c r="AA1356" s="53"/>
      <x:c r="AB1356" s="53"/>
      <x:c r="AC1356" s="53"/>
      <x:c r="AD1356" s="53"/>
      <x:c r="AE1356" s="53"/>
      <x:c r="AF1356" s="53"/>
    </x:row>
    <x:row r="1357">
      <x:c r="A1357" s="53"/>
      <x:c r="B1357" s="53"/>
      <x:c r="C1357" s="53"/>
      <x:c r="D1357" s="53"/>
      <x:c r="E1357" s="53"/>
      <x:c r="F1357" s="53"/>
      <x:c r="G1357" s="53"/>
      <x:c r="H1357" s="53"/>
      <x:c r="I1357" s="53"/>
      <x:c r="J1357" s="53"/>
      <x:c r="K1357" s="53"/>
      <x:c r="L1357" s="53"/>
      <x:c r="M1357" s="53"/>
      <x:c r="N1357" s="53"/>
      <x:c r="O1357" s="53"/>
      <x:c r="P1357" s="53"/>
      <x:c r="Q1357" s="53"/>
      <x:c r="R1357" s="53"/>
      <x:c r="S1357" s="53"/>
      <x:c r="T1357" s="53"/>
      <x:c r="U1357" s="53"/>
      <x:c r="V1357" s="53"/>
      <x:c r="W1357" s="53"/>
      <x:c r="X1357" s="53"/>
      <x:c r="Y1357" s="53"/>
      <x:c r="Z1357" s="53"/>
      <x:c r="AA1357" s="53"/>
      <x:c r="AB1357" s="53"/>
      <x:c r="AC1357" s="53"/>
      <x:c r="AD1357" s="53"/>
      <x:c r="AE1357" s="53"/>
      <x:c r="AF1357" s="53"/>
    </x:row>
    <x:row r="1358">
      <x:c r="A1358" s="53"/>
      <x:c r="B1358" s="53"/>
      <x:c r="C1358" s="53"/>
      <x:c r="D1358" s="53"/>
      <x:c r="E1358" s="53"/>
      <x:c r="F1358" s="53"/>
      <x:c r="G1358" s="53"/>
      <x:c r="H1358" s="53"/>
      <x:c r="I1358" s="53"/>
      <x:c r="J1358" s="53"/>
      <x:c r="K1358" s="53"/>
      <x:c r="L1358" s="53"/>
      <x:c r="M1358" s="53"/>
      <x:c r="N1358" s="53"/>
      <x:c r="O1358" s="53"/>
      <x:c r="P1358" s="53"/>
      <x:c r="Q1358" s="53"/>
      <x:c r="R1358" s="53"/>
      <x:c r="S1358" s="53"/>
      <x:c r="T1358" s="53"/>
      <x:c r="U1358" s="53"/>
      <x:c r="V1358" s="53"/>
      <x:c r="W1358" s="53"/>
      <x:c r="X1358" s="53"/>
      <x:c r="Y1358" s="53"/>
      <x:c r="Z1358" s="53"/>
      <x:c r="AA1358" s="53"/>
      <x:c r="AB1358" s="53"/>
      <x:c r="AC1358" s="53"/>
      <x:c r="AD1358" s="53"/>
      <x:c r="AE1358" s="53"/>
      <x:c r="AF1358" s="53"/>
    </x:row>
    <x:row r="1359">
      <x:c r="A1359" s="53"/>
      <x:c r="B1359" s="53"/>
      <x:c r="C1359" s="53"/>
      <x:c r="D1359" s="53"/>
      <x:c r="E1359" s="53"/>
      <x:c r="F1359" s="53"/>
      <x:c r="G1359" s="53"/>
      <x:c r="H1359" s="53"/>
      <x:c r="I1359" s="53"/>
      <x:c r="J1359" s="53"/>
      <x:c r="K1359" s="53"/>
      <x:c r="L1359" s="53"/>
      <x:c r="M1359" s="53"/>
      <x:c r="N1359" s="53"/>
      <x:c r="O1359" s="53"/>
      <x:c r="P1359" s="53"/>
      <x:c r="Q1359" s="53"/>
      <x:c r="R1359" s="53"/>
      <x:c r="S1359" s="53"/>
      <x:c r="T1359" s="53"/>
      <x:c r="U1359" s="53"/>
      <x:c r="V1359" s="53"/>
      <x:c r="W1359" s="53"/>
      <x:c r="X1359" s="53"/>
      <x:c r="Y1359" s="53"/>
      <x:c r="Z1359" s="53"/>
      <x:c r="AA1359" s="53"/>
      <x:c r="AB1359" s="53"/>
      <x:c r="AC1359" s="53"/>
      <x:c r="AD1359" s="53"/>
      <x:c r="AE1359" s="53"/>
      <x:c r="AF1359" s="53"/>
    </x:row>
    <x:row r="1360">
      <x:c r="A1360" s="53"/>
      <x:c r="B1360" s="53"/>
      <x:c r="C1360" s="53"/>
      <x:c r="D1360" s="53"/>
      <x:c r="E1360" s="53"/>
      <x:c r="F1360" s="53"/>
      <x:c r="G1360" s="53"/>
      <x:c r="H1360" s="53"/>
      <x:c r="I1360" s="53"/>
      <x:c r="J1360" s="53"/>
      <x:c r="K1360" s="53"/>
      <x:c r="L1360" s="53"/>
      <x:c r="M1360" s="53"/>
      <x:c r="N1360" s="53"/>
      <x:c r="O1360" s="53"/>
      <x:c r="P1360" s="53"/>
      <x:c r="Q1360" s="53"/>
      <x:c r="R1360" s="53"/>
      <x:c r="S1360" s="53"/>
      <x:c r="T1360" s="53"/>
      <x:c r="U1360" s="53"/>
      <x:c r="V1360" s="53"/>
      <x:c r="W1360" s="53"/>
      <x:c r="X1360" s="53"/>
      <x:c r="Y1360" s="53"/>
      <x:c r="Z1360" s="53"/>
      <x:c r="AA1360" s="53"/>
      <x:c r="AB1360" s="53"/>
      <x:c r="AC1360" s="53"/>
      <x:c r="AD1360" s="53"/>
      <x:c r="AE1360" s="53"/>
      <x:c r="AF1360" s="53"/>
    </x:row>
    <x:row r="1361">
      <x:c r="A1361" s="53"/>
      <x:c r="B1361" s="53"/>
      <x:c r="C1361" s="53"/>
      <x:c r="D1361" s="53"/>
      <x:c r="E1361" s="53"/>
      <x:c r="F1361" s="53"/>
      <x:c r="G1361" s="53"/>
      <x:c r="H1361" s="53"/>
      <x:c r="I1361" s="53"/>
      <x:c r="J1361" s="53"/>
      <x:c r="K1361" s="53"/>
      <x:c r="L1361" s="53"/>
      <x:c r="M1361" s="53"/>
      <x:c r="N1361" s="53"/>
      <x:c r="O1361" s="53"/>
      <x:c r="P1361" s="53"/>
      <x:c r="Q1361" s="53"/>
      <x:c r="R1361" s="53"/>
      <x:c r="S1361" s="53"/>
      <x:c r="T1361" s="53"/>
      <x:c r="U1361" s="53"/>
      <x:c r="V1361" s="53"/>
      <x:c r="W1361" s="53"/>
      <x:c r="X1361" s="53"/>
      <x:c r="Y1361" s="53"/>
      <x:c r="Z1361" s="53"/>
      <x:c r="AA1361" s="53"/>
      <x:c r="AB1361" s="53"/>
      <x:c r="AC1361" s="53"/>
      <x:c r="AD1361" s="53"/>
      <x:c r="AE1361" s="53"/>
      <x:c r="AF1361" s="53"/>
    </x:row>
    <x:row r="1362">
      <x:c r="A1362" s="53"/>
      <x:c r="B1362" s="53"/>
      <x:c r="C1362" s="53"/>
      <x:c r="D1362" s="53"/>
      <x:c r="E1362" s="53"/>
      <x:c r="F1362" s="53"/>
      <x:c r="G1362" s="53"/>
      <x:c r="H1362" s="53"/>
      <x:c r="I1362" s="53"/>
      <x:c r="J1362" s="53"/>
      <x:c r="K1362" s="53"/>
      <x:c r="L1362" s="53"/>
      <x:c r="M1362" s="53"/>
      <x:c r="N1362" s="53"/>
      <x:c r="O1362" s="53"/>
      <x:c r="P1362" s="53"/>
      <x:c r="Q1362" s="53"/>
      <x:c r="R1362" s="53"/>
      <x:c r="S1362" s="53"/>
      <x:c r="T1362" s="53"/>
      <x:c r="U1362" s="53"/>
      <x:c r="V1362" s="53"/>
      <x:c r="W1362" s="53"/>
      <x:c r="X1362" s="53"/>
      <x:c r="Y1362" s="53"/>
      <x:c r="Z1362" s="53"/>
      <x:c r="AA1362" s="53"/>
      <x:c r="AB1362" s="53"/>
      <x:c r="AC1362" s="53"/>
      <x:c r="AD1362" s="53"/>
      <x:c r="AE1362" s="53"/>
      <x:c r="AF1362" s="53"/>
    </x:row>
    <x:row r="1363">
      <x:c r="A1363" s="53"/>
      <x:c r="B1363" s="53"/>
      <x:c r="C1363" s="53"/>
      <x:c r="D1363" s="53"/>
      <x:c r="E1363" s="53"/>
      <x:c r="F1363" s="53"/>
      <x:c r="G1363" s="53"/>
      <x:c r="H1363" s="53"/>
      <x:c r="I1363" s="53"/>
      <x:c r="J1363" s="53"/>
      <x:c r="K1363" s="53"/>
      <x:c r="L1363" s="53"/>
      <x:c r="M1363" s="53"/>
      <x:c r="N1363" s="53"/>
      <x:c r="O1363" s="53"/>
      <x:c r="P1363" s="53"/>
      <x:c r="Q1363" s="53"/>
      <x:c r="R1363" s="53"/>
      <x:c r="S1363" s="53"/>
      <x:c r="T1363" s="53"/>
      <x:c r="U1363" s="53"/>
      <x:c r="V1363" s="53"/>
      <x:c r="W1363" s="53"/>
      <x:c r="X1363" s="53"/>
      <x:c r="Y1363" s="53"/>
      <x:c r="Z1363" s="53"/>
      <x:c r="AA1363" s="53"/>
      <x:c r="AB1363" s="53"/>
      <x:c r="AC1363" s="53"/>
      <x:c r="AD1363" s="53"/>
      <x:c r="AE1363" s="53"/>
      <x:c r="AF1363" s="53"/>
    </x:row>
    <x:row r="1364">
      <x:c r="A1364" s="53"/>
      <x:c r="B1364" s="53"/>
      <x:c r="C1364" s="53"/>
      <x:c r="D1364" s="53"/>
      <x:c r="E1364" s="53"/>
      <x:c r="F1364" s="53"/>
      <x:c r="G1364" s="53"/>
      <x:c r="H1364" s="53"/>
      <x:c r="I1364" s="53"/>
      <x:c r="J1364" s="53"/>
      <x:c r="K1364" s="53"/>
      <x:c r="L1364" s="53"/>
      <x:c r="M1364" s="53"/>
      <x:c r="N1364" s="53"/>
      <x:c r="O1364" s="53"/>
      <x:c r="P1364" s="53"/>
      <x:c r="Q1364" s="53"/>
      <x:c r="R1364" s="53"/>
      <x:c r="S1364" s="53"/>
      <x:c r="T1364" s="53"/>
      <x:c r="U1364" s="53"/>
      <x:c r="V1364" s="53"/>
      <x:c r="W1364" s="53"/>
      <x:c r="X1364" s="53"/>
      <x:c r="Y1364" s="53"/>
      <x:c r="Z1364" s="53"/>
      <x:c r="AA1364" s="53"/>
      <x:c r="AB1364" s="53"/>
      <x:c r="AC1364" s="53"/>
      <x:c r="AD1364" s="53"/>
      <x:c r="AE1364" s="53"/>
      <x:c r="AF1364" s="53"/>
    </x:row>
    <x:row r="1365">
      <x:c r="A1365" s="53"/>
      <x:c r="B1365" s="53"/>
      <x:c r="C1365" s="53"/>
      <x:c r="D1365" s="53"/>
      <x:c r="E1365" s="53"/>
      <x:c r="F1365" s="53"/>
      <x:c r="G1365" s="53"/>
      <x:c r="H1365" s="53"/>
      <x:c r="I1365" s="53"/>
      <x:c r="J1365" s="53"/>
      <x:c r="K1365" s="53"/>
      <x:c r="L1365" s="53"/>
      <x:c r="M1365" s="53"/>
      <x:c r="N1365" s="53"/>
      <x:c r="O1365" s="53"/>
      <x:c r="P1365" s="53"/>
      <x:c r="Q1365" s="53"/>
      <x:c r="R1365" s="53"/>
      <x:c r="S1365" s="53"/>
      <x:c r="T1365" s="53"/>
      <x:c r="U1365" s="53"/>
      <x:c r="V1365" s="53"/>
      <x:c r="W1365" s="53"/>
      <x:c r="X1365" s="53"/>
      <x:c r="Y1365" s="53"/>
      <x:c r="Z1365" s="53"/>
      <x:c r="AA1365" s="53"/>
      <x:c r="AB1365" s="53"/>
      <x:c r="AC1365" s="53"/>
      <x:c r="AD1365" s="53"/>
      <x:c r="AE1365" s="53"/>
      <x:c r="AF1365" s="53"/>
    </x:row>
    <x:row r="1366">
      <x:c r="A1366" s="53"/>
      <x:c r="B1366" s="53"/>
      <x:c r="C1366" s="53"/>
      <x:c r="D1366" s="53"/>
      <x:c r="E1366" s="53"/>
      <x:c r="F1366" s="53"/>
      <x:c r="G1366" s="53"/>
      <x:c r="H1366" s="53"/>
      <x:c r="I1366" s="53"/>
      <x:c r="J1366" s="53"/>
      <x:c r="K1366" s="53"/>
      <x:c r="L1366" s="53"/>
      <x:c r="M1366" s="53"/>
      <x:c r="N1366" s="53"/>
      <x:c r="O1366" s="53"/>
      <x:c r="P1366" s="53"/>
      <x:c r="Q1366" s="53"/>
      <x:c r="R1366" s="53"/>
      <x:c r="S1366" s="53"/>
      <x:c r="T1366" s="53"/>
      <x:c r="U1366" s="53"/>
      <x:c r="V1366" s="53"/>
      <x:c r="W1366" s="53"/>
      <x:c r="X1366" s="53"/>
      <x:c r="Y1366" s="53"/>
      <x:c r="Z1366" s="53"/>
      <x:c r="AA1366" s="53"/>
      <x:c r="AB1366" s="53"/>
      <x:c r="AC1366" s="53"/>
      <x:c r="AD1366" s="53"/>
      <x:c r="AE1366" s="53"/>
      <x:c r="AF1366" s="53"/>
    </x:row>
    <x:row r="1367">
      <x:c r="A1367" s="53"/>
      <x:c r="B1367" s="53"/>
      <x:c r="C1367" s="53"/>
      <x:c r="D1367" s="53"/>
      <x:c r="E1367" s="53"/>
      <x:c r="F1367" s="53"/>
      <x:c r="G1367" s="53"/>
      <x:c r="H1367" s="53"/>
      <x:c r="I1367" s="53"/>
      <x:c r="J1367" s="53"/>
      <x:c r="K1367" s="53"/>
      <x:c r="L1367" s="53"/>
      <x:c r="M1367" s="53"/>
      <x:c r="N1367" s="53"/>
      <x:c r="O1367" s="53"/>
      <x:c r="P1367" s="53"/>
      <x:c r="Q1367" s="53"/>
      <x:c r="R1367" s="53"/>
      <x:c r="S1367" s="53"/>
      <x:c r="T1367" s="53"/>
      <x:c r="U1367" s="53"/>
      <x:c r="V1367" s="53"/>
      <x:c r="W1367" s="53"/>
      <x:c r="X1367" s="53"/>
      <x:c r="Y1367" s="53"/>
      <x:c r="Z1367" s="53"/>
      <x:c r="AA1367" s="53"/>
      <x:c r="AB1367" s="53"/>
      <x:c r="AC1367" s="53"/>
      <x:c r="AD1367" s="53"/>
      <x:c r="AE1367" s="53"/>
      <x:c r="AF1367" s="53"/>
    </x:row>
    <x:row r="1368">
      <x:c r="A1368" s="53"/>
      <x:c r="B1368" s="53"/>
      <x:c r="C1368" s="53"/>
      <x:c r="D1368" s="53"/>
      <x:c r="E1368" s="53"/>
      <x:c r="F1368" s="53"/>
      <x:c r="G1368" s="53"/>
      <x:c r="H1368" s="53"/>
      <x:c r="I1368" s="53"/>
      <x:c r="J1368" s="53"/>
      <x:c r="K1368" s="53"/>
      <x:c r="L1368" s="53"/>
      <x:c r="M1368" s="53"/>
      <x:c r="N1368" s="53"/>
      <x:c r="O1368" s="53"/>
      <x:c r="P1368" s="53"/>
      <x:c r="Q1368" s="53"/>
      <x:c r="R1368" s="53"/>
      <x:c r="S1368" s="53"/>
      <x:c r="T1368" s="53"/>
      <x:c r="U1368" s="53"/>
      <x:c r="V1368" s="53"/>
      <x:c r="W1368" s="53"/>
      <x:c r="X1368" s="53"/>
      <x:c r="Y1368" s="53"/>
      <x:c r="Z1368" s="53"/>
      <x:c r="AA1368" s="53"/>
      <x:c r="AB1368" s="53"/>
      <x:c r="AC1368" s="53"/>
      <x:c r="AD1368" s="53"/>
      <x:c r="AE1368" s="53"/>
      <x:c r="AF1368" s="53"/>
    </x:row>
    <x:row r="1369">
      <x:c r="A1369" s="53"/>
      <x:c r="B1369" s="53"/>
      <x:c r="C1369" s="53"/>
      <x:c r="D1369" s="53"/>
      <x:c r="E1369" s="53"/>
      <x:c r="F1369" s="53"/>
      <x:c r="G1369" s="53"/>
      <x:c r="H1369" s="53"/>
      <x:c r="I1369" s="53"/>
      <x:c r="J1369" s="53"/>
      <x:c r="K1369" s="53"/>
      <x:c r="L1369" s="53"/>
      <x:c r="M1369" s="53"/>
      <x:c r="N1369" s="53"/>
      <x:c r="O1369" s="53"/>
      <x:c r="P1369" s="53"/>
      <x:c r="Q1369" s="53"/>
      <x:c r="R1369" s="53"/>
      <x:c r="S1369" s="53"/>
      <x:c r="T1369" s="53"/>
      <x:c r="U1369" s="53"/>
      <x:c r="V1369" s="53"/>
      <x:c r="W1369" s="53"/>
      <x:c r="X1369" s="53"/>
      <x:c r="Y1369" s="53"/>
      <x:c r="Z1369" s="53"/>
      <x:c r="AA1369" s="53"/>
      <x:c r="AB1369" s="53"/>
      <x:c r="AC1369" s="53"/>
      <x:c r="AD1369" s="53"/>
      <x:c r="AE1369" s="53"/>
      <x:c r="AF1369" s="53"/>
    </x:row>
    <x:row r="1370">
      <x:c r="A1370" s="53"/>
      <x:c r="B1370" s="53"/>
      <x:c r="C1370" s="53"/>
      <x:c r="D1370" s="53"/>
      <x:c r="E1370" s="53"/>
      <x:c r="F1370" s="53"/>
      <x:c r="G1370" s="53"/>
      <x:c r="H1370" s="53"/>
      <x:c r="I1370" s="53"/>
      <x:c r="J1370" s="53"/>
      <x:c r="K1370" s="53"/>
      <x:c r="L1370" s="53"/>
      <x:c r="M1370" s="53"/>
      <x:c r="N1370" s="53"/>
      <x:c r="O1370" s="53"/>
      <x:c r="P1370" s="53"/>
      <x:c r="Q1370" s="53"/>
      <x:c r="R1370" s="53"/>
      <x:c r="S1370" s="53"/>
      <x:c r="T1370" s="53"/>
      <x:c r="U1370" s="53"/>
      <x:c r="V1370" s="53"/>
      <x:c r="W1370" s="53"/>
      <x:c r="X1370" s="53"/>
      <x:c r="Y1370" s="53"/>
      <x:c r="Z1370" s="53"/>
      <x:c r="AA1370" s="53"/>
      <x:c r="AB1370" s="53"/>
      <x:c r="AC1370" s="53"/>
      <x:c r="AD1370" s="53"/>
      <x:c r="AE1370" s="53"/>
      <x:c r="AF1370" s="53"/>
    </x:row>
    <x:row r="1371">
      <x:c r="A1371" s="53"/>
      <x:c r="B1371" s="53"/>
      <x:c r="C1371" s="53"/>
      <x:c r="D1371" s="53"/>
      <x:c r="E1371" s="53"/>
      <x:c r="F1371" s="53"/>
      <x:c r="G1371" s="53"/>
      <x:c r="H1371" s="53"/>
      <x:c r="I1371" s="53"/>
      <x:c r="J1371" s="53"/>
      <x:c r="K1371" s="53"/>
      <x:c r="L1371" s="53"/>
      <x:c r="M1371" s="53"/>
      <x:c r="N1371" s="53"/>
      <x:c r="O1371" s="53"/>
      <x:c r="P1371" s="53"/>
      <x:c r="Q1371" s="53"/>
      <x:c r="R1371" s="53"/>
      <x:c r="S1371" s="53"/>
      <x:c r="T1371" s="53"/>
      <x:c r="U1371" s="53"/>
      <x:c r="V1371" s="53"/>
      <x:c r="W1371" s="53"/>
      <x:c r="X1371" s="53"/>
      <x:c r="Y1371" s="53"/>
      <x:c r="Z1371" s="53"/>
      <x:c r="AA1371" s="53"/>
      <x:c r="AB1371" s="53"/>
      <x:c r="AC1371" s="53"/>
      <x:c r="AD1371" s="53"/>
      <x:c r="AE1371" s="53"/>
      <x:c r="AF1371" s="53"/>
    </x:row>
    <x:row r="1372">
      <x:c r="A1372" s="53"/>
      <x:c r="B1372" s="53"/>
      <x:c r="C1372" s="53"/>
      <x:c r="D1372" s="53"/>
      <x:c r="E1372" s="53"/>
      <x:c r="F1372" s="53"/>
      <x:c r="G1372" s="53"/>
      <x:c r="H1372" s="53"/>
      <x:c r="I1372" s="53"/>
      <x:c r="J1372" s="53"/>
      <x:c r="K1372" s="53"/>
      <x:c r="L1372" s="53"/>
      <x:c r="M1372" s="53"/>
      <x:c r="N1372" s="53"/>
      <x:c r="O1372" s="53"/>
      <x:c r="P1372" s="53"/>
      <x:c r="Q1372" s="53"/>
      <x:c r="R1372" s="53"/>
      <x:c r="S1372" s="53"/>
      <x:c r="T1372" s="53"/>
      <x:c r="U1372" s="53"/>
      <x:c r="V1372" s="53"/>
      <x:c r="W1372" s="53"/>
      <x:c r="X1372" s="53"/>
      <x:c r="Y1372" s="53"/>
      <x:c r="Z1372" s="53"/>
      <x:c r="AA1372" s="53"/>
      <x:c r="AB1372" s="53"/>
      <x:c r="AC1372" s="53"/>
      <x:c r="AD1372" s="53"/>
      <x:c r="AE1372" s="53"/>
      <x:c r="AF1372" s="53"/>
    </x:row>
    <x:row r="1373">
      <x:c r="A1373" s="53"/>
      <x:c r="B1373" s="53"/>
      <x:c r="C1373" s="53"/>
      <x:c r="D1373" s="53"/>
      <x:c r="E1373" s="53"/>
      <x:c r="F1373" s="53"/>
      <x:c r="G1373" s="53"/>
      <x:c r="H1373" s="53"/>
      <x:c r="I1373" s="53"/>
      <x:c r="J1373" s="53"/>
      <x:c r="K1373" s="53"/>
      <x:c r="L1373" s="53"/>
      <x:c r="M1373" s="53"/>
      <x:c r="N1373" s="53"/>
      <x:c r="O1373" s="53"/>
      <x:c r="P1373" s="53"/>
      <x:c r="Q1373" s="53"/>
      <x:c r="R1373" s="53"/>
      <x:c r="S1373" s="53"/>
      <x:c r="T1373" s="53"/>
      <x:c r="U1373" s="53"/>
      <x:c r="V1373" s="53"/>
      <x:c r="W1373" s="53"/>
      <x:c r="X1373" s="53"/>
      <x:c r="Y1373" s="53"/>
      <x:c r="Z1373" s="53"/>
      <x:c r="AA1373" s="53"/>
      <x:c r="AB1373" s="53"/>
      <x:c r="AC1373" s="53"/>
      <x:c r="AD1373" s="53"/>
      <x:c r="AE1373" s="53"/>
      <x:c r="AF1373" s="53"/>
    </x:row>
    <x:row r="1374">
      <x:c r="A1374" s="53"/>
      <x:c r="B1374" s="53"/>
      <x:c r="C1374" s="53"/>
      <x:c r="D1374" s="53"/>
      <x:c r="E1374" s="53"/>
      <x:c r="F1374" s="53"/>
      <x:c r="G1374" s="53"/>
      <x:c r="H1374" s="53"/>
      <x:c r="I1374" s="53"/>
      <x:c r="J1374" s="53"/>
      <x:c r="K1374" s="53"/>
      <x:c r="L1374" s="53"/>
      <x:c r="M1374" s="53"/>
      <x:c r="N1374" s="53"/>
      <x:c r="O1374" s="53"/>
      <x:c r="P1374" s="53"/>
      <x:c r="Q1374" s="53"/>
      <x:c r="R1374" s="53"/>
      <x:c r="S1374" s="53"/>
      <x:c r="T1374" s="53"/>
      <x:c r="U1374" s="53"/>
      <x:c r="V1374" s="53"/>
      <x:c r="W1374" s="53"/>
      <x:c r="X1374" s="53"/>
      <x:c r="Y1374" s="53"/>
      <x:c r="Z1374" s="53"/>
      <x:c r="AA1374" s="53"/>
      <x:c r="AB1374" s="53"/>
      <x:c r="AC1374" s="53"/>
      <x:c r="AD1374" s="53"/>
      <x:c r="AE1374" s="53"/>
      <x:c r="AF1374" s="53"/>
    </x:row>
    <x:row r="1375">
      <x:c r="A1375" s="53"/>
      <x:c r="B1375" s="53"/>
      <x:c r="C1375" s="53"/>
      <x:c r="D1375" s="53"/>
      <x:c r="E1375" s="53"/>
      <x:c r="F1375" s="53"/>
      <x:c r="G1375" s="53"/>
      <x:c r="H1375" s="53"/>
      <x:c r="I1375" s="53"/>
      <x:c r="J1375" s="53"/>
      <x:c r="K1375" s="53"/>
      <x:c r="L1375" s="53"/>
      <x:c r="M1375" s="53"/>
      <x:c r="N1375" s="53"/>
      <x:c r="O1375" s="53"/>
      <x:c r="P1375" s="53"/>
      <x:c r="Q1375" s="53"/>
      <x:c r="R1375" s="53"/>
      <x:c r="S1375" s="53"/>
      <x:c r="T1375" s="53"/>
      <x:c r="U1375" s="53"/>
      <x:c r="V1375" s="53"/>
      <x:c r="W1375" s="53"/>
      <x:c r="X1375" s="53"/>
      <x:c r="Y1375" s="53"/>
      <x:c r="Z1375" s="53"/>
      <x:c r="AA1375" s="53"/>
      <x:c r="AB1375" s="53"/>
      <x:c r="AC1375" s="53"/>
      <x:c r="AD1375" s="53"/>
      <x:c r="AE1375" s="53"/>
      <x:c r="AF1375" s="53"/>
    </x:row>
    <x:row r="1376">
      <x:c r="A1376" s="53"/>
      <x:c r="B1376" s="53"/>
      <x:c r="C1376" s="53"/>
      <x:c r="D1376" s="53"/>
      <x:c r="E1376" s="53"/>
      <x:c r="F1376" s="53"/>
      <x:c r="G1376" s="53"/>
      <x:c r="H1376" s="53"/>
      <x:c r="I1376" s="53"/>
      <x:c r="J1376" s="53"/>
      <x:c r="K1376" s="53"/>
      <x:c r="L1376" s="53"/>
      <x:c r="M1376" s="53"/>
      <x:c r="N1376" s="53"/>
      <x:c r="O1376" s="53"/>
      <x:c r="P1376" s="53"/>
      <x:c r="Q1376" s="53"/>
      <x:c r="R1376" s="53"/>
      <x:c r="S1376" s="53"/>
      <x:c r="T1376" s="53"/>
      <x:c r="U1376" s="53"/>
      <x:c r="V1376" s="53"/>
      <x:c r="W1376" s="53"/>
      <x:c r="X1376" s="53"/>
      <x:c r="Y1376" s="53"/>
      <x:c r="Z1376" s="53"/>
      <x:c r="AA1376" s="53"/>
      <x:c r="AB1376" s="53"/>
      <x:c r="AC1376" s="53"/>
      <x:c r="AD1376" s="53"/>
      <x:c r="AE1376" s="53"/>
      <x:c r="AF1376" s="53"/>
    </x:row>
    <x:row r="1377">
      <x:c r="A1377" s="53"/>
      <x:c r="B1377" s="53"/>
      <x:c r="C1377" s="53"/>
      <x:c r="D1377" s="53"/>
      <x:c r="E1377" s="53"/>
      <x:c r="F1377" s="53"/>
      <x:c r="G1377" s="53"/>
      <x:c r="H1377" s="53"/>
      <x:c r="I1377" s="53"/>
      <x:c r="J1377" s="53"/>
      <x:c r="K1377" s="53"/>
      <x:c r="L1377" s="53"/>
      <x:c r="M1377" s="53"/>
      <x:c r="N1377" s="53"/>
      <x:c r="O1377" s="53"/>
      <x:c r="P1377" s="53"/>
      <x:c r="Q1377" s="53"/>
      <x:c r="R1377" s="53"/>
      <x:c r="S1377" s="53"/>
      <x:c r="T1377" s="53"/>
      <x:c r="U1377" s="53"/>
      <x:c r="V1377" s="53"/>
      <x:c r="W1377" s="53"/>
      <x:c r="X1377" s="53"/>
      <x:c r="Y1377" s="53"/>
      <x:c r="Z1377" s="53"/>
      <x:c r="AA1377" s="53"/>
      <x:c r="AB1377" s="53"/>
      <x:c r="AC1377" s="53"/>
      <x:c r="AD1377" s="53"/>
      <x:c r="AE1377" s="53"/>
      <x:c r="AF1377" s="53"/>
    </x:row>
    <x:row r="1378">
      <x:c r="A1378" s="53"/>
      <x:c r="B1378" s="53"/>
      <x:c r="C1378" s="53"/>
      <x:c r="D1378" s="53"/>
      <x:c r="E1378" s="53"/>
      <x:c r="F1378" s="53"/>
      <x:c r="G1378" s="53"/>
      <x:c r="H1378" s="53"/>
      <x:c r="I1378" s="53"/>
      <x:c r="J1378" s="53"/>
      <x:c r="K1378" s="53"/>
      <x:c r="L1378" s="53"/>
      <x:c r="M1378" s="53"/>
      <x:c r="N1378" s="53"/>
      <x:c r="O1378" s="53"/>
      <x:c r="P1378" s="53"/>
      <x:c r="Q1378" s="53"/>
      <x:c r="R1378" s="53"/>
      <x:c r="S1378" s="53"/>
      <x:c r="T1378" s="53"/>
      <x:c r="U1378" s="53"/>
      <x:c r="V1378" s="53"/>
      <x:c r="W1378" s="53"/>
      <x:c r="X1378" s="53"/>
      <x:c r="Y1378" s="53"/>
      <x:c r="Z1378" s="53"/>
      <x:c r="AA1378" s="53"/>
      <x:c r="AB1378" s="53"/>
      <x:c r="AC1378" s="53"/>
      <x:c r="AD1378" s="53"/>
      <x:c r="AE1378" s="53"/>
      <x:c r="AF1378" s="53"/>
    </x:row>
    <x:row r="1379">
      <x:c r="A1379" s="53"/>
      <x:c r="B1379" s="53"/>
      <x:c r="C1379" s="53"/>
      <x:c r="D1379" s="53"/>
      <x:c r="E1379" s="53"/>
      <x:c r="F1379" s="53"/>
      <x:c r="G1379" s="53"/>
      <x:c r="H1379" s="53"/>
      <x:c r="I1379" s="53"/>
      <x:c r="J1379" s="53"/>
      <x:c r="K1379" s="53"/>
      <x:c r="L1379" s="53"/>
      <x:c r="M1379" s="53"/>
      <x:c r="N1379" s="53"/>
      <x:c r="O1379" s="53"/>
      <x:c r="P1379" s="53"/>
      <x:c r="Q1379" s="53"/>
      <x:c r="R1379" s="53"/>
      <x:c r="S1379" s="53"/>
      <x:c r="T1379" s="53"/>
      <x:c r="U1379" s="53"/>
      <x:c r="V1379" s="53"/>
      <x:c r="W1379" s="53"/>
      <x:c r="X1379" s="53"/>
      <x:c r="Y1379" s="53"/>
      <x:c r="Z1379" s="53"/>
      <x:c r="AA1379" s="53"/>
      <x:c r="AB1379" s="53"/>
      <x:c r="AC1379" s="53"/>
      <x:c r="AD1379" s="53"/>
      <x:c r="AE1379" s="53"/>
      <x:c r="AF1379" s="53"/>
    </x:row>
    <x:row r="1380">
      <x:c r="A1380" s="53"/>
      <x:c r="B1380" s="53"/>
      <x:c r="C1380" s="53"/>
      <x:c r="D1380" s="53"/>
      <x:c r="E1380" s="53"/>
      <x:c r="F1380" s="53"/>
      <x:c r="G1380" s="53"/>
      <x:c r="H1380" s="53"/>
      <x:c r="I1380" s="53"/>
      <x:c r="J1380" s="53"/>
      <x:c r="K1380" s="53"/>
      <x:c r="L1380" s="53"/>
      <x:c r="M1380" s="53"/>
      <x:c r="N1380" s="53"/>
      <x:c r="O1380" s="53"/>
      <x:c r="P1380" s="53"/>
      <x:c r="Q1380" s="53"/>
      <x:c r="R1380" s="53"/>
      <x:c r="S1380" s="53"/>
      <x:c r="T1380" s="53"/>
      <x:c r="U1380" s="53"/>
      <x:c r="V1380" s="53"/>
      <x:c r="W1380" s="53"/>
      <x:c r="X1380" s="53"/>
      <x:c r="Y1380" s="53"/>
      <x:c r="Z1380" s="53"/>
      <x:c r="AA1380" s="53"/>
      <x:c r="AB1380" s="53"/>
      <x:c r="AC1380" s="53"/>
      <x:c r="AD1380" s="53"/>
      <x:c r="AE1380" s="53"/>
      <x:c r="AF1380" s="53"/>
    </x:row>
    <x:row r="1381">
      <x:c r="A1381" s="53"/>
      <x:c r="B1381" s="53"/>
      <x:c r="C1381" s="53"/>
      <x:c r="D1381" s="53"/>
      <x:c r="E1381" s="53"/>
      <x:c r="F1381" s="53"/>
      <x:c r="G1381" s="53"/>
      <x:c r="H1381" s="53"/>
      <x:c r="I1381" s="53"/>
      <x:c r="J1381" s="53"/>
      <x:c r="K1381" s="53"/>
      <x:c r="L1381" s="53"/>
      <x:c r="M1381" s="53"/>
      <x:c r="N1381" s="53"/>
      <x:c r="O1381" s="53"/>
      <x:c r="P1381" s="53"/>
      <x:c r="Q1381" s="53"/>
      <x:c r="R1381" s="53"/>
      <x:c r="S1381" s="53"/>
      <x:c r="T1381" s="53"/>
      <x:c r="U1381" s="53"/>
      <x:c r="V1381" s="53"/>
      <x:c r="W1381" s="53"/>
      <x:c r="X1381" s="53"/>
      <x:c r="Y1381" s="53"/>
      <x:c r="Z1381" s="53"/>
      <x:c r="AA1381" s="53"/>
      <x:c r="AB1381" s="53"/>
      <x:c r="AC1381" s="53"/>
      <x:c r="AD1381" s="53"/>
      <x:c r="AE1381" s="53"/>
      <x:c r="AF1381" s="53"/>
    </x:row>
    <x:row r="1382">
      <x:c r="A1382" s="53"/>
      <x:c r="B1382" s="53"/>
      <x:c r="C1382" s="53"/>
      <x:c r="D1382" s="53"/>
      <x:c r="E1382" s="53"/>
      <x:c r="F1382" s="53"/>
      <x:c r="G1382" s="53"/>
      <x:c r="H1382" s="53"/>
      <x:c r="I1382" s="53"/>
      <x:c r="J1382" s="53"/>
      <x:c r="K1382" s="53"/>
      <x:c r="L1382" s="53"/>
      <x:c r="M1382" s="53"/>
      <x:c r="N1382" s="53"/>
      <x:c r="O1382" s="53"/>
      <x:c r="P1382" s="53"/>
      <x:c r="Q1382" s="53"/>
      <x:c r="R1382" s="53"/>
      <x:c r="S1382" s="53"/>
      <x:c r="T1382" s="53"/>
      <x:c r="U1382" s="53"/>
      <x:c r="V1382" s="53"/>
      <x:c r="W1382" s="53"/>
      <x:c r="X1382" s="53"/>
      <x:c r="Y1382" s="53"/>
      <x:c r="Z1382" s="53"/>
      <x:c r="AA1382" s="53"/>
      <x:c r="AB1382" s="53"/>
      <x:c r="AC1382" s="53"/>
      <x:c r="AD1382" s="53"/>
      <x:c r="AE1382" s="53"/>
      <x:c r="AF1382" s="53"/>
    </x:row>
    <x:row r="1383">
      <x:c r="A1383" s="53"/>
      <x:c r="B1383" s="53"/>
      <x:c r="C1383" s="53"/>
      <x:c r="D1383" s="53"/>
      <x:c r="E1383" s="53"/>
      <x:c r="F1383" s="53"/>
      <x:c r="G1383" s="53"/>
      <x:c r="H1383" s="53"/>
      <x:c r="I1383" s="53"/>
      <x:c r="J1383" s="53"/>
      <x:c r="K1383" s="53"/>
      <x:c r="L1383" s="53"/>
      <x:c r="M1383" s="53"/>
      <x:c r="N1383" s="53"/>
      <x:c r="O1383" s="53"/>
      <x:c r="P1383" s="53"/>
      <x:c r="Q1383" s="53"/>
      <x:c r="R1383" s="53"/>
      <x:c r="S1383" s="53"/>
      <x:c r="T1383" s="53"/>
      <x:c r="U1383" s="53"/>
      <x:c r="V1383" s="53"/>
      <x:c r="W1383" s="53"/>
      <x:c r="X1383" s="53"/>
      <x:c r="Y1383" s="53"/>
      <x:c r="Z1383" s="53"/>
      <x:c r="AA1383" s="53"/>
      <x:c r="AB1383" s="53"/>
      <x:c r="AC1383" s="53"/>
      <x:c r="AD1383" s="53"/>
      <x:c r="AE1383" s="53"/>
      <x:c r="AF1383" s="53"/>
    </x:row>
    <x:row r="1384">
      <x:c r="A1384" s="53"/>
      <x:c r="B1384" s="53"/>
      <x:c r="C1384" s="53"/>
      <x:c r="D1384" s="53"/>
      <x:c r="E1384" s="53"/>
      <x:c r="F1384" s="53"/>
      <x:c r="G1384" s="53"/>
      <x:c r="H1384" s="53"/>
      <x:c r="I1384" s="53"/>
      <x:c r="J1384" s="53"/>
      <x:c r="K1384" s="53"/>
      <x:c r="L1384" s="53"/>
      <x:c r="M1384" s="53"/>
      <x:c r="N1384" s="53"/>
      <x:c r="O1384" s="53"/>
      <x:c r="P1384" s="53"/>
      <x:c r="Q1384" s="53"/>
      <x:c r="R1384" s="53"/>
      <x:c r="S1384" s="53"/>
      <x:c r="T1384" s="53"/>
      <x:c r="U1384" s="53"/>
      <x:c r="V1384" s="53"/>
      <x:c r="W1384" s="53"/>
      <x:c r="X1384" s="53"/>
      <x:c r="Y1384" s="53"/>
      <x:c r="Z1384" s="53"/>
      <x:c r="AA1384" s="53"/>
      <x:c r="AB1384" s="53"/>
      <x:c r="AC1384" s="53"/>
      <x:c r="AD1384" s="53"/>
      <x:c r="AE1384" s="53"/>
      <x:c r="AF1384" s="53"/>
    </x:row>
    <x:row r="1385">
      <x:c r="A1385" s="53"/>
      <x:c r="B1385" s="53"/>
      <x:c r="C1385" s="53"/>
      <x:c r="D1385" s="53"/>
      <x:c r="E1385" s="53"/>
      <x:c r="F1385" s="53"/>
      <x:c r="G1385" s="53"/>
      <x:c r="H1385" s="53"/>
      <x:c r="I1385" s="53"/>
      <x:c r="J1385" s="53"/>
      <x:c r="K1385" s="53"/>
      <x:c r="L1385" s="53"/>
      <x:c r="M1385" s="53"/>
      <x:c r="N1385" s="53"/>
      <x:c r="O1385" s="53"/>
      <x:c r="P1385" s="53"/>
      <x:c r="Q1385" s="53"/>
      <x:c r="R1385" s="53"/>
      <x:c r="S1385" s="53"/>
      <x:c r="T1385" s="53"/>
      <x:c r="U1385" s="53"/>
      <x:c r="V1385" s="53"/>
      <x:c r="W1385" s="53"/>
      <x:c r="X1385" s="53"/>
      <x:c r="Y1385" s="53"/>
      <x:c r="Z1385" s="53"/>
      <x:c r="AA1385" s="53"/>
      <x:c r="AB1385" s="53"/>
      <x:c r="AC1385" s="53"/>
      <x:c r="AD1385" s="53"/>
      <x:c r="AE1385" s="53"/>
      <x:c r="AF1385" s="53"/>
    </x:row>
    <x:row r="1386">
      <x:c r="A1386" s="53"/>
      <x:c r="B1386" s="53"/>
      <x:c r="C1386" s="53"/>
      <x:c r="D1386" s="53"/>
      <x:c r="E1386" s="53"/>
      <x:c r="F1386" s="53"/>
      <x:c r="G1386" s="53"/>
      <x:c r="H1386" s="53"/>
      <x:c r="I1386" s="53"/>
      <x:c r="J1386" s="53"/>
      <x:c r="K1386" s="53"/>
      <x:c r="L1386" s="53"/>
      <x:c r="M1386" s="53"/>
      <x:c r="N1386" s="53"/>
      <x:c r="O1386" s="53"/>
      <x:c r="P1386" s="53"/>
      <x:c r="Q1386" s="53"/>
      <x:c r="R1386" s="53"/>
      <x:c r="S1386" s="53"/>
      <x:c r="T1386" s="53"/>
      <x:c r="U1386" s="53"/>
      <x:c r="V1386" s="53"/>
      <x:c r="W1386" s="53"/>
      <x:c r="X1386" s="53"/>
      <x:c r="Y1386" s="53"/>
      <x:c r="Z1386" s="53"/>
      <x:c r="AA1386" s="53"/>
      <x:c r="AB1386" s="53"/>
      <x:c r="AC1386" s="53"/>
      <x:c r="AD1386" s="53"/>
      <x:c r="AE1386" s="53"/>
      <x:c r="AF1386" s="53"/>
    </x:row>
    <x:row r="1387">
      <x:c r="A1387" s="53"/>
      <x:c r="B1387" s="53"/>
      <x:c r="C1387" s="53"/>
      <x:c r="D1387" s="53"/>
      <x:c r="E1387" s="53"/>
      <x:c r="F1387" s="53"/>
      <x:c r="G1387" s="53"/>
      <x:c r="H1387" s="53"/>
      <x:c r="I1387" s="53"/>
      <x:c r="J1387" s="53"/>
      <x:c r="K1387" s="53"/>
      <x:c r="L1387" s="53"/>
      <x:c r="M1387" s="53"/>
      <x:c r="N1387" s="53"/>
      <x:c r="O1387" s="53"/>
      <x:c r="P1387" s="53"/>
      <x:c r="Q1387" s="53"/>
      <x:c r="R1387" s="53"/>
      <x:c r="S1387" s="53"/>
      <x:c r="T1387" s="53"/>
      <x:c r="U1387" s="53"/>
      <x:c r="V1387" s="53"/>
      <x:c r="W1387" s="53"/>
      <x:c r="X1387" s="53"/>
      <x:c r="Y1387" s="53"/>
      <x:c r="Z1387" s="53"/>
      <x:c r="AA1387" s="53"/>
      <x:c r="AB1387" s="53"/>
      <x:c r="AC1387" s="53"/>
      <x:c r="AD1387" s="53"/>
      <x:c r="AE1387" s="53"/>
      <x:c r="AF1387" s="53"/>
    </x:row>
    <x:row r="1388">
      <x:c r="A1388" s="53"/>
      <x:c r="B1388" s="53"/>
      <x:c r="C1388" s="53"/>
      <x:c r="D1388" s="53"/>
      <x:c r="E1388" s="53"/>
      <x:c r="F1388" s="53"/>
      <x:c r="G1388" s="53"/>
      <x:c r="H1388" s="53"/>
      <x:c r="I1388" s="53"/>
      <x:c r="J1388" s="53"/>
      <x:c r="K1388" s="53"/>
      <x:c r="L1388" s="53"/>
      <x:c r="M1388" s="53"/>
      <x:c r="N1388" s="53"/>
      <x:c r="O1388" s="53"/>
      <x:c r="P1388" s="53"/>
      <x:c r="Q1388" s="53"/>
      <x:c r="R1388" s="53"/>
      <x:c r="S1388" s="53"/>
      <x:c r="T1388" s="53"/>
      <x:c r="U1388" s="53"/>
      <x:c r="V1388" s="53"/>
      <x:c r="W1388" s="53"/>
      <x:c r="X1388" s="53"/>
      <x:c r="Y1388" s="53"/>
      <x:c r="Z1388" s="53"/>
      <x:c r="AA1388" s="53"/>
      <x:c r="AB1388" s="53"/>
      <x:c r="AC1388" s="53"/>
      <x:c r="AD1388" s="53"/>
      <x:c r="AE1388" s="53"/>
      <x:c r="AF1388" s="53"/>
    </x:row>
    <x:row r="1389">
      <x:c r="A1389" s="53"/>
      <x:c r="B1389" s="53"/>
      <x:c r="C1389" s="53"/>
      <x:c r="D1389" s="53"/>
      <x:c r="E1389" s="53"/>
      <x:c r="F1389" s="53"/>
      <x:c r="G1389" s="53"/>
      <x:c r="H1389" s="53"/>
      <x:c r="I1389" s="53"/>
      <x:c r="J1389" s="53"/>
      <x:c r="K1389" s="53"/>
      <x:c r="L1389" s="53"/>
      <x:c r="M1389" s="53"/>
      <x:c r="N1389" s="53"/>
      <x:c r="O1389" s="53"/>
      <x:c r="P1389" s="53"/>
      <x:c r="Q1389" s="53"/>
      <x:c r="R1389" s="53"/>
      <x:c r="S1389" s="53"/>
      <x:c r="T1389" s="53"/>
      <x:c r="U1389" s="53"/>
      <x:c r="V1389" s="53"/>
      <x:c r="W1389" s="53"/>
      <x:c r="X1389" s="53"/>
      <x:c r="Y1389" s="53"/>
      <x:c r="Z1389" s="53"/>
      <x:c r="AA1389" s="53"/>
      <x:c r="AB1389" s="53"/>
      <x:c r="AC1389" s="53"/>
      <x:c r="AD1389" s="53"/>
      <x:c r="AE1389" s="53"/>
      <x:c r="AF1389" s="53"/>
    </x:row>
    <x:row r="1390">
      <x:c r="A1390" s="53"/>
      <x:c r="B1390" s="53"/>
      <x:c r="C1390" s="53"/>
      <x:c r="D1390" s="53"/>
      <x:c r="E1390" s="53"/>
      <x:c r="F1390" s="53"/>
      <x:c r="G1390" s="53"/>
      <x:c r="H1390" s="53"/>
      <x:c r="I1390" s="53"/>
      <x:c r="J1390" s="53"/>
      <x:c r="K1390" s="53"/>
      <x:c r="L1390" s="53"/>
      <x:c r="M1390" s="53"/>
      <x:c r="N1390" s="53"/>
      <x:c r="O1390" s="53"/>
      <x:c r="P1390" s="53"/>
      <x:c r="Q1390" s="53"/>
      <x:c r="R1390" s="53"/>
      <x:c r="S1390" s="53"/>
      <x:c r="T1390" s="53"/>
      <x:c r="U1390" s="53"/>
      <x:c r="V1390" s="53"/>
      <x:c r="W1390" s="53"/>
      <x:c r="X1390" s="53"/>
      <x:c r="Y1390" s="53"/>
      <x:c r="Z1390" s="53"/>
      <x:c r="AA1390" s="53"/>
      <x:c r="AB1390" s="53"/>
      <x:c r="AC1390" s="53"/>
      <x:c r="AD1390" s="53"/>
      <x:c r="AE1390" s="53"/>
      <x:c r="AF1390" s="53"/>
    </x:row>
    <x:row r="1391">
      <x:c r="A1391" s="53"/>
      <x:c r="B1391" s="53"/>
      <x:c r="C1391" s="53"/>
      <x:c r="D1391" s="53"/>
      <x:c r="E1391" s="53"/>
      <x:c r="F1391" s="53"/>
      <x:c r="G1391" s="53"/>
      <x:c r="H1391" s="53"/>
      <x:c r="I1391" s="53"/>
      <x:c r="J1391" s="53"/>
      <x:c r="K1391" s="53"/>
      <x:c r="L1391" s="53"/>
      <x:c r="M1391" s="53"/>
      <x:c r="N1391" s="53"/>
      <x:c r="O1391" s="53"/>
      <x:c r="P1391" s="53"/>
      <x:c r="Q1391" s="53"/>
      <x:c r="R1391" s="53"/>
      <x:c r="S1391" s="53"/>
      <x:c r="T1391" s="53"/>
      <x:c r="U1391" s="53"/>
      <x:c r="V1391" s="53"/>
      <x:c r="W1391" s="53"/>
      <x:c r="X1391" s="53"/>
      <x:c r="Y1391" s="53"/>
      <x:c r="Z1391" s="53"/>
      <x:c r="AA1391" s="53"/>
      <x:c r="AB1391" s="53"/>
      <x:c r="AC1391" s="53"/>
      <x:c r="AD1391" s="53"/>
      <x:c r="AE1391" s="53"/>
      <x:c r="AF1391" s="53"/>
    </x:row>
    <x:row r="1392">
      <x:c r="A1392" s="53"/>
      <x:c r="B1392" s="53"/>
      <x:c r="C1392" s="53"/>
      <x:c r="D1392" s="53"/>
      <x:c r="E1392" s="53"/>
      <x:c r="F1392" s="53"/>
      <x:c r="G1392" s="53"/>
      <x:c r="H1392" s="53"/>
      <x:c r="I1392" s="53"/>
      <x:c r="J1392" s="53"/>
      <x:c r="K1392" s="53"/>
      <x:c r="L1392" s="53"/>
      <x:c r="M1392" s="53"/>
      <x:c r="N1392" s="53"/>
      <x:c r="O1392" s="53"/>
      <x:c r="P1392" s="53"/>
      <x:c r="Q1392" s="53"/>
      <x:c r="R1392" s="53"/>
      <x:c r="S1392" s="53"/>
      <x:c r="T1392" s="53"/>
      <x:c r="U1392" s="53"/>
      <x:c r="V1392" s="53"/>
      <x:c r="W1392" s="53"/>
      <x:c r="X1392" s="53"/>
      <x:c r="Y1392" s="53"/>
      <x:c r="Z1392" s="53"/>
      <x:c r="AA1392" s="53"/>
      <x:c r="AB1392" s="53"/>
      <x:c r="AC1392" s="53"/>
      <x:c r="AD1392" s="53"/>
      <x:c r="AE1392" s="53"/>
      <x:c r="AF1392" s="53"/>
    </x:row>
    <x:row r="1393">
      <x:c r="A1393" s="53"/>
      <x:c r="B1393" s="53"/>
      <x:c r="C1393" s="53"/>
      <x:c r="D1393" s="53"/>
      <x:c r="E1393" s="53"/>
      <x:c r="F1393" s="53"/>
      <x:c r="G1393" s="53"/>
      <x:c r="H1393" s="53"/>
      <x:c r="I1393" s="53"/>
      <x:c r="J1393" s="53"/>
      <x:c r="K1393" s="53"/>
      <x:c r="L1393" s="53"/>
      <x:c r="M1393" s="53"/>
      <x:c r="N1393" s="53"/>
      <x:c r="O1393" s="53"/>
      <x:c r="P1393" s="53"/>
      <x:c r="Q1393" s="53"/>
      <x:c r="R1393" s="53"/>
      <x:c r="S1393" s="53"/>
      <x:c r="T1393" s="53"/>
      <x:c r="U1393" s="53"/>
      <x:c r="V1393" s="53"/>
      <x:c r="W1393" s="53"/>
      <x:c r="X1393" s="53"/>
      <x:c r="Y1393" s="53"/>
      <x:c r="Z1393" s="53"/>
      <x:c r="AA1393" s="53"/>
      <x:c r="AB1393" s="53"/>
      <x:c r="AC1393" s="53"/>
      <x:c r="AD1393" s="53"/>
      <x:c r="AE1393" s="53"/>
      <x:c r="AF1393" s="53"/>
    </x:row>
    <x:row r="1394">
      <x:c r="A1394" s="53"/>
      <x:c r="B1394" s="53"/>
      <x:c r="C1394" s="53"/>
      <x:c r="D1394" s="53"/>
      <x:c r="E1394" s="53"/>
      <x:c r="F1394" s="53"/>
      <x:c r="G1394" s="53"/>
      <x:c r="H1394" s="53"/>
      <x:c r="I1394" s="53"/>
      <x:c r="J1394" s="53"/>
      <x:c r="K1394" s="53"/>
      <x:c r="L1394" s="53"/>
      <x:c r="M1394" s="53"/>
      <x:c r="N1394" s="53"/>
      <x:c r="O1394" s="53"/>
      <x:c r="P1394" s="53"/>
      <x:c r="Q1394" s="53"/>
      <x:c r="R1394" s="53"/>
      <x:c r="S1394" s="53"/>
      <x:c r="T1394" s="53"/>
      <x:c r="U1394" s="53"/>
      <x:c r="V1394" s="53"/>
      <x:c r="W1394" s="53"/>
      <x:c r="X1394" s="53"/>
      <x:c r="Y1394" s="53"/>
      <x:c r="Z1394" s="53"/>
      <x:c r="AA1394" s="53"/>
      <x:c r="AB1394" s="53"/>
      <x:c r="AC1394" s="53"/>
      <x:c r="AD1394" s="53"/>
      <x:c r="AE1394" s="53"/>
      <x:c r="AF1394" s="53"/>
    </x:row>
    <x:row r="1395">
      <x:c r="A1395" s="53"/>
      <x:c r="B1395" s="53"/>
      <x:c r="C1395" s="53"/>
      <x:c r="D1395" s="53"/>
      <x:c r="E1395" s="53"/>
      <x:c r="F1395" s="53"/>
      <x:c r="G1395" s="53"/>
      <x:c r="H1395" s="53"/>
      <x:c r="I1395" s="53"/>
      <x:c r="J1395" s="53"/>
      <x:c r="K1395" s="53"/>
      <x:c r="L1395" s="53"/>
      <x:c r="M1395" s="53"/>
      <x:c r="N1395" s="53"/>
      <x:c r="O1395" s="53"/>
      <x:c r="P1395" s="53"/>
      <x:c r="Q1395" s="53"/>
      <x:c r="R1395" s="53"/>
      <x:c r="S1395" s="53"/>
      <x:c r="T1395" s="53"/>
      <x:c r="U1395" s="53"/>
      <x:c r="V1395" s="53"/>
      <x:c r="W1395" s="53"/>
      <x:c r="X1395" s="53"/>
      <x:c r="Y1395" s="53"/>
      <x:c r="Z1395" s="53"/>
      <x:c r="AA1395" s="53"/>
      <x:c r="AB1395" s="53"/>
      <x:c r="AC1395" s="53"/>
      <x:c r="AD1395" s="53"/>
      <x:c r="AE1395" s="53"/>
      <x:c r="AF1395" s="53"/>
    </x:row>
    <x:row r="1396">
      <x:c r="A1396" s="53"/>
      <x:c r="B1396" s="53"/>
      <x:c r="C1396" s="53"/>
      <x:c r="D1396" s="53"/>
      <x:c r="E1396" s="53"/>
      <x:c r="F1396" s="53"/>
      <x:c r="G1396" s="53"/>
      <x:c r="H1396" s="53"/>
      <x:c r="I1396" s="53"/>
      <x:c r="J1396" s="53"/>
      <x:c r="K1396" s="53"/>
      <x:c r="L1396" s="53"/>
      <x:c r="M1396" s="53"/>
      <x:c r="N1396" s="53"/>
      <x:c r="O1396" s="53"/>
      <x:c r="P1396" s="53"/>
      <x:c r="Q1396" s="53"/>
      <x:c r="R1396" s="53"/>
      <x:c r="S1396" s="53"/>
      <x:c r="T1396" s="53"/>
      <x:c r="U1396" s="53"/>
      <x:c r="V1396" s="53"/>
      <x:c r="W1396" s="53"/>
      <x:c r="X1396" s="53"/>
      <x:c r="Y1396" s="53"/>
      <x:c r="Z1396" s="53"/>
      <x:c r="AA1396" s="53"/>
      <x:c r="AB1396" s="53"/>
      <x:c r="AC1396" s="53"/>
      <x:c r="AD1396" s="53"/>
      <x:c r="AE1396" s="53"/>
      <x:c r="AF1396" s="53"/>
    </x:row>
    <x:row r="1397">
      <x:c r="A1397" s="53"/>
      <x:c r="B1397" s="53"/>
      <x:c r="C1397" s="53"/>
      <x:c r="D1397" s="53"/>
      <x:c r="E1397" s="53"/>
      <x:c r="F1397" s="53"/>
      <x:c r="G1397" s="53"/>
      <x:c r="H1397" s="53"/>
      <x:c r="I1397" s="53"/>
      <x:c r="J1397" s="53"/>
      <x:c r="K1397" s="53"/>
      <x:c r="L1397" s="53"/>
      <x:c r="M1397" s="53"/>
      <x:c r="N1397" s="53"/>
      <x:c r="O1397" s="53"/>
      <x:c r="P1397" s="53"/>
      <x:c r="Q1397" s="53"/>
      <x:c r="R1397" s="53"/>
      <x:c r="S1397" s="53"/>
      <x:c r="T1397" s="53"/>
      <x:c r="U1397" s="53"/>
      <x:c r="V1397" s="53"/>
      <x:c r="W1397" s="53"/>
      <x:c r="X1397" s="53"/>
      <x:c r="Y1397" s="53"/>
      <x:c r="Z1397" s="53"/>
      <x:c r="AA1397" s="53"/>
      <x:c r="AB1397" s="53"/>
      <x:c r="AC1397" s="53"/>
      <x:c r="AD1397" s="53"/>
      <x:c r="AE1397" s="53"/>
      <x:c r="AF1397" s="53"/>
    </x:row>
    <x:row r="1398">
      <x:c r="A1398" s="53"/>
      <x:c r="B1398" s="53"/>
      <x:c r="C1398" s="53"/>
      <x:c r="D1398" s="53"/>
      <x:c r="E1398" s="53"/>
      <x:c r="F1398" s="53"/>
      <x:c r="G1398" s="53"/>
      <x:c r="H1398" s="53"/>
      <x:c r="I1398" s="53"/>
      <x:c r="J1398" s="53"/>
      <x:c r="K1398" s="53"/>
      <x:c r="L1398" s="53"/>
      <x:c r="M1398" s="53"/>
      <x:c r="N1398" s="53"/>
      <x:c r="O1398" s="53"/>
      <x:c r="P1398" s="53"/>
      <x:c r="Q1398" s="53"/>
      <x:c r="R1398" s="53"/>
      <x:c r="S1398" s="53"/>
      <x:c r="T1398" s="53"/>
      <x:c r="U1398" s="53"/>
      <x:c r="V1398" s="53"/>
      <x:c r="W1398" s="53"/>
      <x:c r="X1398" s="53"/>
      <x:c r="Y1398" s="53"/>
      <x:c r="Z1398" s="53"/>
      <x:c r="AA1398" s="53"/>
      <x:c r="AB1398" s="53"/>
      <x:c r="AC1398" s="53"/>
      <x:c r="AD1398" s="53"/>
      <x:c r="AE1398" s="53"/>
      <x:c r="AF1398" s="53"/>
    </x:row>
    <x:row r="1399">
      <x:c r="A1399" s="53"/>
      <x:c r="B1399" s="53"/>
      <x:c r="C1399" s="53"/>
      <x:c r="D1399" s="53"/>
      <x:c r="E1399" s="53"/>
      <x:c r="F1399" s="53"/>
      <x:c r="G1399" s="53"/>
      <x:c r="H1399" s="53"/>
      <x:c r="I1399" s="53"/>
      <x:c r="J1399" s="53"/>
      <x:c r="K1399" s="53"/>
      <x:c r="L1399" s="53"/>
      <x:c r="M1399" s="53"/>
      <x:c r="N1399" s="53"/>
      <x:c r="O1399" s="53"/>
      <x:c r="P1399" s="53"/>
      <x:c r="Q1399" s="53"/>
      <x:c r="R1399" s="53"/>
      <x:c r="S1399" s="53"/>
      <x:c r="T1399" s="53"/>
      <x:c r="U1399" s="53"/>
      <x:c r="V1399" s="53"/>
      <x:c r="W1399" s="53"/>
      <x:c r="X1399" s="53"/>
      <x:c r="Y1399" s="53"/>
      <x:c r="Z1399" s="53"/>
      <x:c r="AA1399" s="53"/>
      <x:c r="AB1399" s="53"/>
      <x:c r="AC1399" s="53"/>
      <x:c r="AD1399" s="53"/>
      <x:c r="AE1399" s="53"/>
      <x:c r="AF1399" s="53"/>
    </x:row>
    <x:row r="1400">
      <x:c r="A1400" s="53"/>
      <x:c r="B1400" s="53"/>
      <x:c r="C1400" s="53"/>
      <x:c r="D1400" s="53"/>
      <x:c r="E1400" s="53"/>
      <x:c r="F1400" s="53"/>
      <x:c r="G1400" s="53"/>
      <x:c r="H1400" s="53"/>
      <x:c r="I1400" s="53"/>
      <x:c r="J1400" s="53"/>
      <x:c r="K1400" s="53"/>
      <x:c r="L1400" s="53"/>
      <x:c r="M1400" s="53"/>
      <x:c r="N1400" s="53"/>
      <x:c r="O1400" s="53"/>
      <x:c r="P1400" s="53"/>
      <x:c r="Q1400" s="53"/>
      <x:c r="R1400" s="53"/>
      <x:c r="S1400" s="53"/>
      <x:c r="T1400" s="53"/>
      <x:c r="U1400" s="53"/>
      <x:c r="V1400" s="53"/>
      <x:c r="W1400" s="53"/>
      <x:c r="X1400" s="53"/>
      <x:c r="Y1400" s="53"/>
      <x:c r="Z1400" s="53"/>
      <x:c r="AA1400" s="53"/>
      <x:c r="AB1400" s="53"/>
      <x:c r="AC1400" s="53"/>
      <x:c r="AD1400" s="53"/>
      <x:c r="AE1400" s="53"/>
      <x:c r="AF1400" s="53"/>
    </x:row>
    <x:row r="1401">
      <x:c r="A1401" s="53"/>
      <x:c r="B1401" s="53"/>
      <x:c r="C1401" s="53"/>
      <x:c r="D1401" s="53"/>
      <x:c r="E1401" s="53"/>
      <x:c r="F1401" s="53"/>
      <x:c r="G1401" s="53"/>
      <x:c r="H1401" s="53"/>
      <x:c r="I1401" s="53"/>
      <x:c r="J1401" s="53"/>
      <x:c r="K1401" s="53"/>
      <x:c r="L1401" s="53"/>
      <x:c r="M1401" s="53"/>
      <x:c r="N1401" s="53"/>
      <x:c r="O1401" s="53"/>
      <x:c r="P1401" s="53"/>
      <x:c r="Q1401" s="53"/>
      <x:c r="R1401" s="53"/>
      <x:c r="S1401" s="53"/>
      <x:c r="T1401" s="53"/>
      <x:c r="U1401" s="53"/>
      <x:c r="V1401" s="53"/>
      <x:c r="W1401" s="53"/>
      <x:c r="X1401" s="53"/>
      <x:c r="Y1401" s="53"/>
      <x:c r="Z1401" s="53"/>
      <x:c r="AA1401" s="53"/>
      <x:c r="AB1401" s="53"/>
      <x:c r="AC1401" s="53"/>
      <x:c r="AD1401" s="53"/>
      <x:c r="AE1401" s="53"/>
      <x:c r="AF1401" s="53"/>
    </x:row>
    <x:row r="1402">
      <x:c r="A1402" s="53"/>
      <x:c r="B1402" s="53"/>
      <x:c r="C1402" s="53"/>
      <x:c r="D1402" s="53"/>
      <x:c r="E1402" s="53"/>
      <x:c r="F1402" s="53"/>
      <x:c r="G1402" s="53"/>
      <x:c r="H1402" s="53"/>
      <x:c r="I1402" s="53"/>
      <x:c r="J1402" s="53"/>
      <x:c r="K1402" s="53"/>
      <x:c r="L1402" s="53"/>
      <x:c r="M1402" s="53"/>
      <x:c r="N1402" s="53"/>
      <x:c r="O1402" s="53"/>
      <x:c r="P1402" s="53"/>
      <x:c r="Q1402" s="53"/>
      <x:c r="R1402" s="53"/>
      <x:c r="S1402" s="53"/>
      <x:c r="T1402" s="53"/>
      <x:c r="U1402" s="53"/>
      <x:c r="V1402" s="53"/>
      <x:c r="W1402" s="53"/>
      <x:c r="X1402" s="53"/>
      <x:c r="Y1402" s="53"/>
      <x:c r="Z1402" s="53"/>
      <x:c r="AA1402" s="53"/>
      <x:c r="AB1402" s="53"/>
      <x:c r="AC1402" s="53"/>
      <x:c r="AD1402" s="53"/>
      <x:c r="AE1402" s="53"/>
      <x:c r="AF1402" s="53"/>
    </x:row>
    <x:row r="1403">
      <x:c r="A1403" s="53"/>
      <x:c r="B1403" s="53"/>
      <x:c r="C1403" s="53"/>
      <x:c r="D1403" s="53"/>
      <x:c r="E1403" s="53"/>
      <x:c r="F1403" s="53"/>
      <x:c r="G1403" s="53"/>
      <x:c r="H1403" s="53"/>
      <x:c r="I1403" s="53"/>
      <x:c r="J1403" s="53"/>
      <x:c r="K1403" s="53"/>
      <x:c r="L1403" s="53"/>
      <x:c r="M1403" s="53"/>
      <x:c r="N1403" s="53"/>
      <x:c r="O1403" s="53"/>
      <x:c r="P1403" s="53"/>
      <x:c r="Q1403" s="53"/>
      <x:c r="R1403" s="53"/>
      <x:c r="S1403" s="53"/>
      <x:c r="T1403" s="53"/>
      <x:c r="U1403" s="53"/>
      <x:c r="V1403" s="53"/>
      <x:c r="W1403" s="53"/>
      <x:c r="X1403" s="53"/>
      <x:c r="Y1403" s="53"/>
      <x:c r="Z1403" s="53"/>
      <x:c r="AA1403" s="53"/>
      <x:c r="AB1403" s="53"/>
      <x:c r="AC1403" s="53"/>
      <x:c r="AD1403" s="53"/>
      <x:c r="AE1403" s="53"/>
      <x:c r="AF1403" s="53"/>
    </x:row>
    <x:row r="1404">
      <x:c r="A1404" s="53"/>
      <x:c r="B1404" s="53"/>
      <x:c r="C1404" s="53"/>
      <x:c r="D1404" s="53"/>
      <x:c r="E1404" s="53"/>
      <x:c r="F1404" s="53"/>
      <x:c r="G1404" s="53"/>
      <x:c r="H1404" s="53"/>
      <x:c r="I1404" s="53"/>
      <x:c r="J1404" s="53"/>
      <x:c r="K1404" s="53"/>
      <x:c r="L1404" s="53"/>
      <x:c r="M1404" s="53"/>
      <x:c r="N1404" s="53"/>
      <x:c r="O1404" s="53"/>
      <x:c r="P1404" s="53"/>
      <x:c r="Q1404" s="53"/>
      <x:c r="R1404" s="53"/>
      <x:c r="S1404" s="53"/>
      <x:c r="T1404" s="53"/>
      <x:c r="U1404" s="53"/>
      <x:c r="V1404" s="53"/>
      <x:c r="W1404" s="53"/>
      <x:c r="X1404" s="53"/>
      <x:c r="Y1404" s="53"/>
      <x:c r="Z1404" s="53"/>
      <x:c r="AA1404" s="53"/>
      <x:c r="AB1404" s="53"/>
      <x:c r="AC1404" s="53"/>
      <x:c r="AD1404" s="53"/>
      <x:c r="AE1404" s="53"/>
      <x:c r="AF1404" s="53"/>
    </x:row>
    <x:row r="1405">
      <x:c r="A1405" s="53"/>
      <x:c r="B1405" s="53"/>
      <x:c r="C1405" s="53"/>
      <x:c r="D1405" s="53"/>
      <x:c r="E1405" s="53"/>
      <x:c r="F1405" s="53"/>
      <x:c r="G1405" s="53"/>
      <x:c r="H1405" s="53"/>
      <x:c r="I1405" s="53"/>
      <x:c r="J1405" s="53"/>
      <x:c r="K1405" s="53"/>
      <x:c r="L1405" s="53"/>
      <x:c r="M1405" s="53"/>
      <x:c r="N1405" s="53"/>
      <x:c r="O1405" s="53"/>
      <x:c r="P1405" s="53"/>
      <x:c r="Q1405" s="53"/>
      <x:c r="R1405" s="53"/>
      <x:c r="S1405" s="53"/>
      <x:c r="T1405" s="53"/>
      <x:c r="U1405" s="53"/>
      <x:c r="V1405" s="53"/>
      <x:c r="W1405" s="53"/>
      <x:c r="X1405" s="53"/>
      <x:c r="Y1405" s="53"/>
      <x:c r="Z1405" s="53"/>
      <x:c r="AA1405" s="53"/>
      <x:c r="AB1405" s="53"/>
      <x:c r="AC1405" s="53"/>
      <x:c r="AD1405" s="53"/>
      <x:c r="AE1405" s="53"/>
      <x:c r="AF1405" s="53"/>
    </x:row>
    <x:row r="1406">
      <x:c r="A1406" s="53"/>
      <x:c r="B1406" s="53"/>
      <x:c r="C1406" s="53"/>
      <x:c r="D1406" s="53"/>
      <x:c r="E1406" s="53"/>
      <x:c r="F1406" s="53"/>
      <x:c r="G1406" s="53"/>
      <x:c r="H1406" s="53"/>
      <x:c r="I1406" s="53"/>
      <x:c r="J1406" s="53"/>
      <x:c r="K1406" s="53"/>
      <x:c r="L1406" s="53"/>
      <x:c r="M1406" s="53"/>
      <x:c r="N1406" s="53"/>
      <x:c r="O1406" s="53"/>
      <x:c r="P1406" s="53"/>
      <x:c r="Q1406" s="53"/>
      <x:c r="R1406" s="53"/>
      <x:c r="S1406" s="53"/>
      <x:c r="T1406" s="53"/>
      <x:c r="U1406" s="53"/>
      <x:c r="V1406" s="53"/>
      <x:c r="W1406" s="53"/>
      <x:c r="X1406" s="53"/>
      <x:c r="Y1406" s="53"/>
      <x:c r="Z1406" s="53"/>
      <x:c r="AA1406" s="53"/>
      <x:c r="AB1406" s="53"/>
      <x:c r="AC1406" s="53"/>
      <x:c r="AD1406" s="53"/>
      <x:c r="AE1406" s="53"/>
      <x:c r="AF1406" s="53"/>
    </x:row>
    <x:row r="1407">
      <x:c r="A1407" s="53"/>
      <x:c r="B1407" s="53"/>
      <x:c r="C1407" s="53"/>
      <x:c r="D1407" s="53"/>
      <x:c r="E1407" s="53"/>
      <x:c r="F1407" s="53"/>
      <x:c r="G1407" s="53"/>
      <x:c r="H1407" s="53"/>
      <x:c r="I1407" s="53"/>
      <x:c r="J1407" s="53"/>
      <x:c r="K1407" s="53"/>
      <x:c r="L1407" s="53"/>
      <x:c r="M1407" s="53"/>
      <x:c r="N1407" s="53"/>
      <x:c r="O1407" s="53"/>
      <x:c r="P1407" s="53"/>
      <x:c r="Q1407" s="53"/>
      <x:c r="R1407" s="53"/>
      <x:c r="S1407" s="53"/>
      <x:c r="T1407" s="53"/>
      <x:c r="U1407" s="53"/>
      <x:c r="V1407" s="53"/>
      <x:c r="W1407" s="53"/>
      <x:c r="X1407" s="53"/>
      <x:c r="Y1407" s="53"/>
      <x:c r="Z1407" s="53"/>
      <x:c r="AA1407" s="53"/>
      <x:c r="AB1407" s="53"/>
      <x:c r="AC1407" s="53"/>
      <x:c r="AD1407" s="53"/>
      <x:c r="AE1407" s="53"/>
      <x:c r="AF1407" s="53"/>
    </x:row>
    <x:row r="1408">
      <x:c r="A1408" s="53"/>
      <x:c r="B1408" s="53"/>
      <x:c r="C1408" s="53"/>
      <x:c r="D1408" s="53"/>
      <x:c r="E1408" s="53"/>
      <x:c r="F1408" s="53"/>
      <x:c r="G1408" s="53"/>
      <x:c r="H1408" s="53"/>
      <x:c r="I1408" s="53"/>
      <x:c r="J1408" s="53"/>
      <x:c r="K1408" s="53"/>
      <x:c r="L1408" s="53"/>
      <x:c r="M1408" s="53"/>
      <x:c r="N1408" s="53"/>
      <x:c r="O1408" s="53"/>
      <x:c r="P1408" s="53"/>
      <x:c r="Q1408" s="53"/>
      <x:c r="R1408" s="53"/>
      <x:c r="S1408" s="53"/>
      <x:c r="T1408" s="53"/>
      <x:c r="U1408" s="53"/>
      <x:c r="V1408" s="53"/>
      <x:c r="W1408" s="53"/>
      <x:c r="X1408" s="53"/>
      <x:c r="Y1408" s="53"/>
      <x:c r="Z1408" s="53"/>
      <x:c r="AA1408" s="53"/>
      <x:c r="AB1408" s="53"/>
      <x:c r="AC1408" s="53"/>
      <x:c r="AD1408" s="53"/>
      <x:c r="AE1408" s="53"/>
      <x:c r="AF1408" s="53"/>
    </x:row>
    <x:row r="1409">
      <x:c r="A1409" s="53"/>
      <x:c r="B1409" s="53"/>
      <x:c r="C1409" s="53"/>
      <x:c r="D1409" s="53"/>
      <x:c r="E1409" s="53"/>
      <x:c r="F1409" s="53"/>
      <x:c r="G1409" s="53"/>
      <x:c r="H1409" s="53"/>
      <x:c r="I1409" s="53"/>
      <x:c r="J1409" s="53"/>
      <x:c r="K1409" s="53"/>
      <x:c r="L1409" s="53"/>
      <x:c r="M1409" s="53"/>
      <x:c r="N1409" s="53"/>
      <x:c r="O1409" s="53"/>
      <x:c r="P1409" s="53"/>
      <x:c r="Q1409" s="53"/>
      <x:c r="R1409" s="53"/>
      <x:c r="S1409" s="53"/>
      <x:c r="T1409" s="53"/>
      <x:c r="U1409" s="53"/>
      <x:c r="V1409" s="53"/>
      <x:c r="W1409" s="53"/>
      <x:c r="X1409" s="53"/>
      <x:c r="Y1409" s="53"/>
      <x:c r="Z1409" s="53"/>
      <x:c r="AA1409" s="53"/>
      <x:c r="AB1409" s="53"/>
      <x:c r="AC1409" s="53"/>
      <x:c r="AD1409" s="53"/>
      <x:c r="AE1409" s="53"/>
      <x:c r="AF1409" s="53"/>
    </x:row>
    <x:row r="1410">
      <x:c r="A1410" s="53"/>
      <x:c r="B1410" s="53"/>
      <x:c r="C1410" s="53"/>
      <x:c r="D1410" s="53"/>
      <x:c r="E1410" s="53"/>
      <x:c r="F1410" s="53"/>
      <x:c r="G1410" s="53"/>
      <x:c r="H1410" s="53"/>
      <x:c r="I1410" s="53"/>
      <x:c r="J1410" s="53"/>
      <x:c r="K1410" s="53"/>
      <x:c r="L1410" s="53"/>
      <x:c r="M1410" s="53"/>
      <x:c r="N1410" s="53"/>
      <x:c r="O1410" s="53"/>
      <x:c r="P1410" s="53"/>
      <x:c r="Q1410" s="53"/>
      <x:c r="R1410" s="53"/>
      <x:c r="S1410" s="53"/>
      <x:c r="T1410" s="53"/>
      <x:c r="U1410" s="53"/>
      <x:c r="V1410" s="53"/>
      <x:c r="W1410" s="53"/>
      <x:c r="X1410" s="53"/>
      <x:c r="Y1410" s="53"/>
      <x:c r="Z1410" s="53"/>
      <x:c r="AA1410" s="53"/>
      <x:c r="AB1410" s="53"/>
      <x:c r="AC1410" s="53"/>
      <x:c r="AD1410" s="53"/>
      <x:c r="AE1410" s="53"/>
      <x:c r="AF1410" s="53"/>
    </x:row>
    <x:row r="1411">
      <x:c r="A1411" s="53"/>
      <x:c r="B1411" s="53"/>
      <x:c r="C1411" s="53"/>
      <x:c r="D1411" s="53"/>
      <x:c r="E1411" s="53"/>
      <x:c r="F1411" s="53"/>
      <x:c r="G1411" s="53"/>
      <x:c r="H1411" s="53"/>
      <x:c r="I1411" s="53"/>
      <x:c r="J1411" s="53"/>
      <x:c r="K1411" s="53"/>
      <x:c r="L1411" s="53"/>
      <x:c r="M1411" s="53"/>
      <x:c r="N1411" s="53"/>
      <x:c r="O1411" s="53"/>
      <x:c r="P1411" s="53"/>
      <x:c r="Q1411" s="53"/>
      <x:c r="R1411" s="53"/>
      <x:c r="S1411" s="53"/>
      <x:c r="T1411" s="53"/>
      <x:c r="U1411" s="53"/>
      <x:c r="V1411" s="53"/>
      <x:c r="W1411" s="53"/>
      <x:c r="X1411" s="53"/>
      <x:c r="Y1411" s="53"/>
      <x:c r="Z1411" s="53"/>
      <x:c r="AA1411" s="53"/>
      <x:c r="AB1411" s="53"/>
      <x:c r="AC1411" s="53"/>
      <x:c r="AD1411" s="53"/>
      <x:c r="AE1411" s="53"/>
      <x:c r="AF1411" s="53"/>
    </x:row>
    <x:row r="1412">
      <x:c r="A1412" s="53"/>
      <x:c r="B1412" s="53"/>
      <x:c r="C1412" s="53"/>
      <x:c r="D1412" s="53"/>
      <x:c r="E1412" s="53"/>
      <x:c r="F1412" s="53"/>
      <x:c r="G1412" s="53"/>
      <x:c r="H1412" s="53"/>
      <x:c r="I1412" s="53"/>
      <x:c r="J1412" s="53"/>
      <x:c r="K1412" s="53"/>
      <x:c r="L1412" s="53"/>
      <x:c r="M1412" s="53"/>
      <x:c r="N1412" s="53"/>
      <x:c r="O1412" s="53"/>
      <x:c r="P1412" s="53"/>
      <x:c r="Q1412" s="53"/>
      <x:c r="R1412" s="53"/>
      <x:c r="S1412" s="53"/>
      <x:c r="T1412" s="53"/>
      <x:c r="U1412" s="53"/>
      <x:c r="V1412" s="53"/>
      <x:c r="W1412" s="53"/>
      <x:c r="X1412" s="53"/>
      <x:c r="Y1412" s="53"/>
      <x:c r="Z1412" s="53"/>
      <x:c r="AA1412" s="53"/>
      <x:c r="AB1412" s="53"/>
      <x:c r="AC1412" s="53"/>
      <x:c r="AD1412" s="53"/>
      <x:c r="AE1412" s="53"/>
      <x:c r="AF1412" s="53"/>
    </x:row>
    <x:row r="1413">
      <x:c r="A1413" s="53"/>
      <x:c r="B1413" s="53"/>
      <x:c r="C1413" s="53"/>
      <x:c r="D1413" s="53"/>
      <x:c r="E1413" s="53"/>
      <x:c r="F1413" s="53"/>
      <x:c r="G1413" s="53"/>
      <x:c r="H1413" s="53"/>
      <x:c r="I1413" s="53"/>
      <x:c r="J1413" s="53"/>
      <x:c r="K1413" s="53"/>
      <x:c r="L1413" s="53"/>
      <x:c r="M1413" s="53"/>
      <x:c r="N1413" s="53"/>
      <x:c r="O1413" s="53"/>
      <x:c r="P1413" s="53"/>
      <x:c r="Q1413" s="53"/>
      <x:c r="R1413" s="53"/>
      <x:c r="S1413" s="53"/>
      <x:c r="T1413" s="53"/>
      <x:c r="U1413" s="53"/>
      <x:c r="V1413" s="53"/>
      <x:c r="W1413" s="53"/>
      <x:c r="X1413" s="53"/>
      <x:c r="Y1413" s="53"/>
      <x:c r="Z1413" s="53"/>
      <x:c r="AA1413" s="53"/>
      <x:c r="AB1413" s="53"/>
      <x:c r="AC1413" s="53"/>
      <x:c r="AD1413" s="53"/>
      <x:c r="AE1413" s="53"/>
      <x:c r="AF1413" s="53"/>
    </x:row>
    <x:row r="1414">
      <x:c r="A1414" s="53"/>
      <x:c r="B1414" s="53"/>
      <x:c r="C1414" s="53"/>
      <x:c r="D1414" s="53"/>
      <x:c r="E1414" s="53"/>
      <x:c r="F1414" s="53"/>
      <x:c r="G1414" s="53"/>
      <x:c r="H1414" s="53"/>
      <x:c r="I1414" s="53"/>
      <x:c r="J1414" s="53"/>
      <x:c r="K1414" s="53"/>
      <x:c r="L1414" s="53"/>
      <x:c r="M1414" s="53"/>
      <x:c r="N1414" s="53"/>
      <x:c r="O1414" s="53"/>
      <x:c r="P1414" s="53"/>
      <x:c r="Q1414" s="53"/>
      <x:c r="R1414" s="53"/>
      <x:c r="S1414" s="53"/>
      <x:c r="T1414" s="53"/>
      <x:c r="U1414" s="53"/>
      <x:c r="V1414" s="53"/>
      <x:c r="W1414" s="53"/>
      <x:c r="X1414" s="53"/>
      <x:c r="Y1414" s="53"/>
      <x:c r="Z1414" s="53"/>
      <x:c r="AA1414" s="53"/>
      <x:c r="AB1414" s="53"/>
      <x:c r="AC1414" s="53"/>
      <x:c r="AD1414" s="53"/>
      <x:c r="AE1414" s="53"/>
      <x:c r="AF1414" s="53"/>
    </x:row>
    <x:row r="1415">
      <x:c r="A1415" s="53"/>
      <x:c r="B1415" s="53"/>
      <x:c r="C1415" s="53"/>
      <x:c r="D1415" s="53"/>
      <x:c r="E1415" s="53"/>
      <x:c r="F1415" s="53"/>
      <x:c r="G1415" s="53"/>
      <x:c r="H1415" s="53"/>
      <x:c r="I1415" s="53"/>
      <x:c r="J1415" s="53"/>
      <x:c r="K1415" s="53"/>
      <x:c r="L1415" s="53"/>
      <x:c r="M1415" s="53"/>
      <x:c r="N1415" s="53"/>
      <x:c r="O1415" s="53"/>
      <x:c r="P1415" s="53"/>
      <x:c r="Q1415" s="53"/>
      <x:c r="R1415" s="53"/>
      <x:c r="S1415" s="53"/>
      <x:c r="T1415" s="53"/>
      <x:c r="U1415" s="53"/>
      <x:c r="V1415" s="53"/>
      <x:c r="W1415" s="53"/>
      <x:c r="X1415" s="53"/>
      <x:c r="Y1415" s="53"/>
      <x:c r="Z1415" s="53"/>
      <x:c r="AA1415" s="53"/>
      <x:c r="AB1415" s="53"/>
      <x:c r="AC1415" s="53"/>
      <x:c r="AD1415" s="53"/>
      <x:c r="AE1415" s="53"/>
      <x:c r="AF1415" s="53"/>
    </x:row>
    <x:row r="1416">
      <x:c r="A1416" s="53"/>
      <x:c r="B1416" s="53"/>
      <x:c r="C1416" s="53"/>
      <x:c r="D1416" s="53"/>
      <x:c r="E1416" s="53"/>
      <x:c r="F1416" s="53"/>
      <x:c r="G1416" s="53"/>
      <x:c r="H1416" s="53"/>
      <x:c r="I1416" s="53"/>
      <x:c r="J1416" s="53"/>
      <x:c r="K1416" s="53"/>
      <x:c r="L1416" s="53"/>
      <x:c r="M1416" s="53"/>
      <x:c r="N1416" s="53"/>
      <x:c r="O1416" s="53"/>
      <x:c r="P1416" s="53"/>
      <x:c r="Q1416" s="53"/>
      <x:c r="R1416" s="53"/>
      <x:c r="S1416" s="53"/>
      <x:c r="T1416" s="53"/>
      <x:c r="U1416" s="53"/>
      <x:c r="V1416" s="53"/>
      <x:c r="W1416" s="53"/>
      <x:c r="X1416" s="53"/>
      <x:c r="Y1416" s="53"/>
      <x:c r="Z1416" s="53"/>
      <x:c r="AA1416" s="53"/>
      <x:c r="AB1416" s="53"/>
      <x:c r="AC1416" s="53"/>
      <x:c r="AD1416" s="53"/>
      <x:c r="AE1416" s="53"/>
      <x:c r="AF1416" s="53"/>
    </x:row>
    <x:row r="1417">
      <x:c r="A1417" s="53"/>
      <x:c r="B1417" s="53"/>
      <x:c r="C1417" s="53"/>
      <x:c r="D1417" s="53"/>
      <x:c r="E1417" s="53"/>
      <x:c r="F1417" s="53"/>
      <x:c r="G1417" s="53"/>
      <x:c r="H1417" s="53"/>
      <x:c r="I1417" s="53"/>
      <x:c r="J1417" s="53"/>
      <x:c r="K1417" s="53"/>
      <x:c r="L1417" s="53"/>
      <x:c r="M1417" s="53"/>
      <x:c r="N1417" s="53"/>
      <x:c r="O1417" s="53"/>
      <x:c r="P1417" s="53"/>
      <x:c r="Q1417" s="53"/>
      <x:c r="R1417" s="53"/>
      <x:c r="S1417" s="53"/>
      <x:c r="T1417" s="53"/>
      <x:c r="U1417" s="53"/>
      <x:c r="V1417" s="53"/>
      <x:c r="W1417" s="53"/>
      <x:c r="X1417" s="53"/>
      <x:c r="Y1417" s="53"/>
      <x:c r="Z1417" s="53"/>
      <x:c r="AA1417" s="53"/>
      <x:c r="AB1417" s="53"/>
      <x:c r="AC1417" s="53"/>
      <x:c r="AD1417" s="53"/>
      <x:c r="AE1417" s="53"/>
      <x:c r="AF1417" s="53"/>
    </x:row>
    <x:row r="1418">
      <x:c r="A1418" s="53"/>
      <x:c r="B1418" s="53"/>
      <x:c r="C1418" s="53"/>
      <x:c r="D1418" s="53"/>
      <x:c r="E1418" s="53"/>
      <x:c r="F1418" s="53"/>
      <x:c r="G1418" s="53"/>
      <x:c r="H1418" s="53"/>
      <x:c r="I1418" s="53"/>
      <x:c r="J1418" s="53"/>
      <x:c r="K1418" s="53"/>
      <x:c r="L1418" s="53"/>
      <x:c r="M1418" s="53"/>
      <x:c r="N1418" s="53"/>
      <x:c r="O1418" s="53"/>
      <x:c r="P1418" s="53"/>
      <x:c r="Q1418" s="53"/>
      <x:c r="R1418" s="53"/>
      <x:c r="S1418" s="53"/>
      <x:c r="T1418" s="53"/>
      <x:c r="U1418" s="53"/>
      <x:c r="V1418" s="53"/>
      <x:c r="W1418" s="53"/>
      <x:c r="X1418" s="53"/>
      <x:c r="Y1418" s="53"/>
      <x:c r="Z1418" s="53"/>
      <x:c r="AA1418" s="53"/>
      <x:c r="AB1418" s="53"/>
      <x:c r="AC1418" s="53"/>
      <x:c r="AD1418" s="53"/>
      <x:c r="AE1418" s="53"/>
      <x:c r="AF1418" s="53"/>
    </x:row>
    <x:row r="1419">
      <x:c r="A1419" s="53"/>
      <x:c r="B1419" s="53"/>
      <x:c r="C1419" s="53"/>
      <x:c r="D1419" s="53"/>
      <x:c r="E1419" s="53"/>
      <x:c r="F1419" s="53"/>
      <x:c r="G1419" s="53"/>
      <x:c r="H1419" s="53"/>
      <x:c r="I1419" s="53"/>
      <x:c r="J1419" s="53"/>
      <x:c r="K1419" s="53"/>
      <x:c r="L1419" s="53"/>
      <x:c r="M1419" s="53"/>
      <x:c r="N1419" s="53"/>
      <x:c r="O1419" s="53"/>
      <x:c r="P1419" s="53"/>
      <x:c r="Q1419" s="53"/>
      <x:c r="R1419" s="53"/>
      <x:c r="S1419" s="53"/>
      <x:c r="T1419" s="53"/>
      <x:c r="U1419" s="53"/>
      <x:c r="V1419" s="53"/>
      <x:c r="W1419" s="53"/>
      <x:c r="X1419" s="53"/>
      <x:c r="Y1419" s="53"/>
      <x:c r="Z1419" s="53"/>
      <x:c r="AA1419" s="53"/>
      <x:c r="AB1419" s="53"/>
      <x:c r="AC1419" s="53"/>
      <x:c r="AD1419" s="53"/>
      <x:c r="AE1419" s="53"/>
      <x:c r="AF1419" s="53"/>
    </x:row>
    <x:row r="1420">
      <x:c r="A1420" s="53"/>
      <x:c r="B1420" s="53"/>
      <x:c r="C1420" s="53"/>
      <x:c r="D1420" s="53"/>
      <x:c r="E1420" s="53"/>
      <x:c r="F1420" s="53"/>
      <x:c r="G1420" s="53"/>
      <x:c r="H1420" s="53"/>
      <x:c r="I1420" s="53"/>
      <x:c r="J1420" s="53"/>
      <x:c r="K1420" s="53"/>
      <x:c r="L1420" s="53"/>
      <x:c r="M1420" s="53"/>
      <x:c r="N1420" s="53"/>
      <x:c r="O1420" s="53"/>
      <x:c r="P1420" s="53"/>
      <x:c r="Q1420" s="53"/>
      <x:c r="R1420" s="53"/>
      <x:c r="S1420" s="53"/>
      <x:c r="T1420" s="53"/>
      <x:c r="U1420" s="53"/>
      <x:c r="V1420" s="53"/>
      <x:c r="W1420" s="53"/>
      <x:c r="X1420" s="53"/>
      <x:c r="Y1420" s="53"/>
      <x:c r="Z1420" s="53"/>
      <x:c r="AA1420" s="53"/>
      <x:c r="AB1420" s="53"/>
      <x:c r="AC1420" s="53"/>
      <x:c r="AD1420" s="53"/>
      <x:c r="AE1420" s="53"/>
      <x:c r="AF1420" s="53"/>
    </x:row>
    <x:row r="1421">
      <x:c r="A1421" s="53"/>
      <x:c r="B1421" s="53"/>
      <x:c r="C1421" s="53"/>
      <x:c r="D1421" s="53"/>
      <x:c r="E1421" s="53"/>
      <x:c r="F1421" s="53"/>
      <x:c r="G1421" s="53"/>
      <x:c r="H1421" s="53"/>
      <x:c r="I1421" s="53"/>
      <x:c r="J1421" s="53"/>
      <x:c r="K1421" s="53"/>
      <x:c r="L1421" s="53"/>
      <x:c r="M1421" s="53"/>
      <x:c r="N1421" s="53"/>
      <x:c r="O1421" s="53"/>
      <x:c r="P1421" s="53"/>
      <x:c r="Q1421" s="53"/>
      <x:c r="R1421" s="53"/>
      <x:c r="S1421" s="53"/>
      <x:c r="T1421" s="53"/>
      <x:c r="U1421" s="53"/>
      <x:c r="V1421" s="53"/>
      <x:c r="W1421" s="53"/>
      <x:c r="X1421" s="53"/>
      <x:c r="Y1421" s="53"/>
      <x:c r="Z1421" s="53"/>
      <x:c r="AA1421" s="53"/>
      <x:c r="AB1421" s="53"/>
      <x:c r="AC1421" s="53"/>
      <x:c r="AD1421" s="53"/>
      <x:c r="AE1421" s="53"/>
      <x:c r="AF1421" s="53"/>
    </x:row>
    <x:row r="1422">
      <x:c r="A1422" s="53"/>
      <x:c r="B1422" s="53"/>
      <x:c r="C1422" s="53"/>
      <x:c r="D1422" s="53"/>
      <x:c r="E1422" s="53"/>
      <x:c r="F1422" s="53"/>
      <x:c r="G1422" s="53"/>
      <x:c r="H1422" s="53"/>
      <x:c r="I1422" s="53"/>
      <x:c r="J1422" s="53"/>
      <x:c r="K1422" s="53"/>
      <x:c r="L1422" s="53"/>
      <x:c r="M1422" s="53"/>
      <x:c r="N1422" s="53"/>
      <x:c r="O1422" s="53"/>
      <x:c r="P1422" s="53"/>
      <x:c r="Q1422" s="53"/>
      <x:c r="R1422" s="53"/>
      <x:c r="S1422" s="53"/>
      <x:c r="T1422" s="53"/>
      <x:c r="U1422" s="53"/>
      <x:c r="V1422" s="53"/>
      <x:c r="W1422" s="53"/>
      <x:c r="X1422" s="53"/>
      <x:c r="Y1422" s="53"/>
      <x:c r="Z1422" s="53"/>
      <x:c r="AA1422" s="53"/>
      <x:c r="AB1422" s="53"/>
      <x:c r="AC1422" s="53"/>
      <x:c r="AD1422" s="53"/>
      <x:c r="AE1422" s="53"/>
      <x:c r="AF1422" s="53"/>
    </x:row>
    <x:row r="1423">
      <x:c r="A1423" s="53"/>
      <x:c r="B1423" s="53"/>
      <x:c r="C1423" s="53"/>
      <x:c r="D1423" s="53"/>
      <x:c r="E1423" s="53"/>
      <x:c r="F1423" s="53"/>
      <x:c r="G1423" s="53"/>
      <x:c r="H1423" s="53"/>
      <x:c r="I1423" s="53"/>
      <x:c r="J1423" s="53"/>
      <x:c r="K1423" s="53"/>
      <x:c r="L1423" s="53"/>
      <x:c r="M1423" s="53"/>
      <x:c r="N1423" s="53"/>
      <x:c r="O1423" s="53"/>
      <x:c r="P1423" s="53"/>
      <x:c r="Q1423" s="53"/>
      <x:c r="R1423" s="53"/>
      <x:c r="S1423" s="53"/>
      <x:c r="T1423" s="53"/>
      <x:c r="U1423" s="53"/>
      <x:c r="V1423" s="53"/>
      <x:c r="W1423" s="53"/>
      <x:c r="X1423" s="53"/>
      <x:c r="Y1423" s="53"/>
      <x:c r="Z1423" s="53"/>
      <x:c r="AA1423" s="53"/>
      <x:c r="AB1423" s="53"/>
      <x:c r="AC1423" s="53"/>
      <x:c r="AD1423" s="53"/>
      <x:c r="AE1423" s="53"/>
      <x:c r="AF1423" s="53"/>
    </x:row>
    <x:row r="1424">
      <x:c r="A1424" s="53"/>
      <x:c r="B1424" s="53"/>
      <x:c r="C1424" s="53"/>
      <x:c r="D1424" s="53"/>
      <x:c r="E1424" s="53"/>
      <x:c r="F1424" s="53"/>
      <x:c r="G1424" s="53"/>
      <x:c r="H1424" s="53"/>
      <x:c r="I1424" s="53"/>
      <x:c r="J1424" s="53"/>
      <x:c r="K1424" s="53"/>
      <x:c r="L1424" s="53"/>
      <x:c r="M1424" s="53"/>
      <x:c r="N1424" s="53"/>
      <x:c r="O1424" s="53"/>
      <x:c r="P1424" s="53"/>
      <x:c r="Q1424" s="53"/>
      <x:c r="R1424" s="53"/>
      <x:c r="S1424" s="53"/>
      <x:c r="T1424" s="53"/>
      <x:c r="U1424" s="53"/>
      <x:c r="V1424" s="53"/>
      <x:c r="W1424" s="53"/>
      <x:c r="X1424" s="53"/>
      <x:c r="Y1424" s="53"/>
      <x:c r="Z1424" s="53"/>
      <x:c r="AA1424" s="53"/>
      <x:c r="AB1424" s="53"/>
      <x:c r="AC1424" s="53"/>
      <x:c r="AD1424" s="53"/>
      <x:c r="AE1424" s="53"/>
      <x:c r="AF1424" s="53"/>
    </x:row>
    <x:row r="1425">
      <x:c r="A1425" s="53"/>
      <x:c r="B1425" s="53"/>
      <x:c r="C1425" s="53"/>
      <x:c r="D1425" s="53"/>
      <x:c r="E1425" s="53"/>
      <x:c r="F1425" s="53"/>
      <x:c r="G1425" s="53"/>
      <x:c r="H1425" s="53"/>
      <x:c r="I1425" s="53"/>
      <x:c r="J1425" s="53"/>
      <x:c r="K1425" s="53"/>
      <x:c r="L1425" s="53"/>
      <x:c r="M1425" s="53"/>
      <x:c r="N1425" s="53"/>
      <x:c r="O1425" s="53"/>
      <x:c r="P1425" s="53"/>
      <x:c r="Q1425" s="53"/>
      <x:c r="R1425" s="53"/>
      <x:c r="S1425" s="53"/>
      <x:c r="T1425" s="53"/>
      <x:c r="U1425" s="53"/>
      <x:c r="V1425" s="53"/>
      <x:c r="W1425" s="53"/>
      <x:c r="X1425" s="53"/>
      <x:c r="Y1425" s="53"/>
      <x:c r="Z1425" s="53"/>
      <x:c r="AA1425" s="53"/>
      <x:c r="AB1425" s="53"/>
      <x:c r="AC1425" s="53"/>
      <x:c r="AD1425" s="53"/>
      <x:c r="AE1425" s="53"/>
      <x:c r="AF1425" s="53"/>
    </x:row>
    <x:row r="1426">
      <x:c r="A1426" s="53"/>
      <x:c r="B1426" s="53"/>
      <x:c r="C1426" s="53"/>
      <x:c r="D1426" s="53"/>
      <x:c r="E1426" s="53"/>
      <x:c r="F1426" s="53"/>
      <x:c r="G1426" s="53"/>
      <x:c r="H1426" s="53"/>
      <x:c r="I1426" s="53"/>
      <x:c r="J1426" s="53"/>
      <x:c r="K1426" s="53"/>
      <x:c r="L1426" s="53"/>
      <x:c r="M1426" s="53"/>
      <x:c r="N1426" s="53"/>
      <x:c r="O1426" s="53"/>
      <x:c r="P1426" s="53"/>
      <x:c r="Q1426" s="53"/>
      <x:c r="R1426" s="53"/>
      <x:c r="S1426" s="53"/>
      <x:c r="T1426" s="53"/>
      <x:c r="U1426" s="53"/>
      <x:c r="V1426" s="53"/>
      <x:c r="W1426" s="53"/>
      <x:c r="X1426" s="53"/>
      <x:c r="Y1426" s="53"/>
      <x:c r="Z1426" s="53"/>
      <x:c r="AA1426" s="53"/>
      <x:c r="AB1426" s="53"/>
      <x:c r="AC1426" s="53"/>
      <x:c r="AD1426" s="53"/>
      <x:c r="AE1426" s="53"/>
      <x:c r="AF1426" s="53"/>
    </x:row>
    <x:row r="1427">
      <x:c r="A1427" s="53"/>
      <x:c r="B1427" s="53"/>
      <x:c r="C1427" s="53"/>
      <x:c r="D1427" s="53"/>
      <x:c r="E1427" s="53"/>
      <x:c r="F1427" s="53"/>
      <x:c r="G1427" s="53"/>
      <x:c r="H1427" s="53"/>
      <x:c r="I1427" s="53"/>
      <x:c r="J1427" s="53"/>
      <x:c r="K1427" s="53"/>
      <x:c r="L1427" s="53"/>
      <x:c r="M1427" s="53"/>
      <x:c r="N1427" s="53"/>
      <x:c r="O1427" s="53"/>
      <x:c r="P1427" s="53"/>
      <x:c r="Q1427" s="53"/>
      <x:c r="R1427" s="53"/>
      <x:c r="S1427" s="53"/>
      <x:c r="T1427" s="53"/>
      <x:c r="U1427" s="53"/>
      <x:c r="V1427" s="53"/>
      <x:c r="W1427" s="53"/>
      <x:c r="X1427" s="53"/>
      <x:c r="Y1427" s="53"/>
      <x:c r="Z1427" s="53"/>
      <x:c r="AA1427" s="53"/>
      <x:c r="AB1427" s="53"/>
      <x:c r="AC1427" s="53"/>
      <x:c r="AD1427" s="53"/>
      <x:c r="AE1427" s="53"/>
      <x:c r="AF1427" s="53"/>
    </x:row>
    <x:row r="1428">
      <x:c r="A1428" s="53"/>
      <x:c r="B1428" s="53"/>
      <x:c r="C1428" s="53"/>
      <x:c r="D1428" s="53"/>
      <x:c r="E1428" s="53"/>
      <x:c r="F1428" s="53"/>
      <x:c r="G1428" s="53"/>
      <x:c r="H1428" s="53"/>
      <x:c r="I1428" s="53"/>
      <x:c r="J1428" s="53"/>
      <x:c r="K1428" s="53"/>
      <x:c r="L1428" s="53"/>
      <x:c r="M1428" s="53"/>
      <x:c r="N1428" s="53"/>
      <x:c r="O1428" s="53"/>
      <x:c r="P1428" s="53"/>
      <x:c r="Q1428" s="53"/>
      <x:c r="R1428" s="53"/>
      <x:c r="S1428" s="53"/>
      <x:c r="T1428" s="53"/>
      <x:c r="U1428" s="53"/>
      <x:c r="V1428" s="53"/>
      <x:c r="W1428" s="53"/>
      <x:c r="X1428" s="53"/>
      <x:c r="Y1428" s="53"/>
      <x:c r="Z1428" s="53"/>
      <x:c r="AA1428" s="53"/>
      <x:c r="AB1428" s="53"/>
      <x:c r="AC1428" s="53"/>
      <x:c r="AD1428" s="53"/>
      <x:c r="AE1428" s="53"/>
      <x:c r="AF1428" s="53"/>
    </x:row>
    <x:row r="1429">
      <x:c r="A1429" s="53"/>
      <x:c r="B1429" s="53"/>
      <x:c r="C1429" s="53"/>
      <x:c r="D1429" s="53"/>
      <x:c r="E1429" s="53"/>
      <x:c r="F1429" s="53"/>
      <x:c r="G1429" s="53"/>
      <x:c r="H1429" s="53"/>
      <x:c r="I1429" s="53"/>
      <x:c r="J1429" s="53"/>
      <x:c r="K1429" s="53"/>
      <x:c r="L1429" s="53"/>
      <x:c r="M1429" s="53"/>
      <x:c r="N1429" s="53"/>
      <x:c r="O1429" s="53"/>
      <x:c r="P1429" s="53"/>
      <x:c r="Q1429" s="53"/>
      <x:c r="R1429" s="53"/>
      <x:c r="S1429" s="53"/>
      <x:c r="T1429" s="53"/>
      <x:c r="U1429" s="53"/>
      <x:c r="V1429" s="53"/>
      <x:c r="W1429" s="53"/>
      <x:c r="X1429" s="53"/>
      <x:c r="Y1429" s="53"/>
      <x:c r="Z1429" s="53"/>
      <x:c r="AA1429" s="53"/>
      <x:c r="AB1429" s="53"/>
      <x:c r="AC1429" s="53"/>
      <x:c r="AD1429" s="53"/>
      <x:c r="AE1429" s="53"/>
      <x:c r="AF1429" s="53"/>
    </x:row>
    <x:row r="1430">
      <x:c r="A1430" s="53"/>
      <x:c r="B1430" s="53"/>
      <x:c r="C1430" s="53"/>
      <x:c r="D1430" s="53"/>
      <x:c r="E1430" s="53"/>
      <x:c r="F1430" s="53"/>
      <x:c r="G1430" s="53"/>
      <x:c r="H1430" s="53"/>
      <x:c r="I1430" s="53"/>
      <x:c r="J1430" s="53"/>
      <x:c r="K1430" s="53"/>
      <x:c r="L1430" s="53"/>
      <x:c r="M1430" s="53"/>
      <x:c r="N1430" s="53"/>
      <x:c r="O1430" s="53"/>
      <x:c r="P1430" s="53"/>
      <x:c r="Q1430" s="53"/>
      <x:c r="R1430" s="53"/>
      <x:c r="S1430" s="53"/>
      <x:c r="T1430" s="53"/>
      <x:c r="U1430" s="53"/>
      <x:c r="V1430" s="53"/>
      <x:c r="W1430" s="53"/>
      <x:c r="X1430" s="53"/>
      <x:c r="Y1430" s="53"/>
      <x:c r="Z1430" s="53"/>
      <x:c r="AA1430" s="53"/>
      <x:c r="AB1430" s="53"/>
      <x:c r="AC1430" s="53"/>
      <x:c r="AD1430" s="53"/>
      <x:c r="AE1430" s="53"/>
      <x:c r="AF1430" s="53"/>
    </x:row>
    <x:row r="1431">
      <x:c r="A1431" s="53"/>
      <x:c r="B1431" s="53"/>
      <x:c r="C1431" s="53"/>
      <x:c r="D1431" s="53"/>
      <x:c r="E1431" s="53"/>
      <x:c r="F1431" s="53"/>
      <x:c r="G1431" s="53"/>
      <x:c r="H1431" s="53"/>
      <x:c r="I1431" s="53"/>
      <x:c r="J1431" s="53"/>
      <x:c r="K1431" s="53"/>
      <x:c r="L1431" s="53"/>
      <x:c r="M1431" s="53"/>
      <x:c r="N1431" s="53"/>
      <x:c r="O1431" s="53"/>
      <x:c r="P1431" s="53"/>
      <x:c r="Q1431" s="53"/>
      <x:c r="R1431" s="53"/>
      <x:c r="S1431" s="53"/>
      <x:c r="T1431" s="53"/>
      <x:c r="U1431" s="53"/>
      <x:c r="V1431" s="53"/>
      <x:c r="W1431" s="53"/>
      <x:c r="X1431" s="53"/>
      <x:c r="Y1431" s="53"/>
      <x:c r="Z1431" s="53"/>
      <x:c r="AA1431" s="53"/>
      <x:c r="AB1431" s="53"/>
      <x:c r="AC1431" s="53"/>
      <x:c r="AD1431" s="53"/>
      <x:c r="AE1431" s="53"/>
      <x:c r="AF1431" s="53"/>
    </x:row>
    <x:row r="1432">
      <x:c r="A1432" s="53"/>
      <x:c r="B1432" s="53"/>
      <x:c r="C1432" s="53"/>
      <x:c r="D1432" s="53"/>
      <x:c r="E1432" s="53"/>
      <x:c r="F1432" s="53"/>
      <x:c r="G1432" s="53"/>
      <x:c r="H1432" s="53"/>
      <x:c r="I1432" s="53"/>
      <x:c r="J1432" s="53"/>
      <x:c r="K1432" s="53"/>
      <x:c r="L1432" s="53"/>
      <x:c r="M1432" s="53"/>
      <x:c r="N1432" s="53"/>
      <x:c r="O1432" s="53"/>
      <x:c r="P1432" s="53"/>
      <x:c r="Q1432" s="53"/>
      <x:c r="R1432" s="53"/>
      <x:c r="S1432" s="53"/>
      <x:c r="T1432" s="53"/>
      <x:c r="U1432" s="53"/>
      <x:c r="V1432" s="53"/>
      <x:c r="W1432" s="53"/>
      <x:c r="X1432" s="53"/>
      <x:c r="Y1432" s="53"/>
      <x:c r="Z1432" s="53"/>
      <x:c r="AA1432" s="53"/>
      <x:c r="AB1432" s="53"/>
      <x:c r="AC1432" s="53"/>
      <x:c r="AD1432" s="53"/>
      <x:c r="AE1432" s="53"/>
      <x:c r="AF1432" s="53"/>
    </x:row>
    <x:row r="1433">
      <x:c r="A1433" s="53"/>
      <x:c r="B1433" s="53"/>
      <x:c r="C1433" s="53"/>
      <x:c r="D1433" s="53"/>
      <x:c r="E1433" s="53"/>
      <x:c r="F1433" s="53"/>
      <x:c r="G1433" s="53"/>
      <x:c r="H1433" s="53"/>
      <x:c r="I1433" s="53"/>
      <x:c r="J1433" s="53"/>
      <x:c r="K1433" s="53"/>
      <x:c r="L1433" s="53"/>
      <x:c r="M1433" s="53"/>
      <x:c r="N1433" s="53"/>
      <x:c r="O1433" s="53"/>
      <x:c r="P1433" s="53"/>
      <x:c r="Q1433" s="53"/>
      <x:c r="R1433" s="53"/>
      <x:c r="S1433" s="53"/>
      <x:c r="T1433" s="53"/>
      <x:c r="U1433" s="53"/>
      <x:c r="V1433" s="53"/>
      <x:c r="W1433" s="53"/>
      <x:c r="X1433" s="53"/>
      <x:c r="Y1433" s="53"/>
      <x:c r="Z1433" s="53"/>
      <x:c r="AA1433" s="53"/>
      <x:c r="AB1433" s="53"/>
      <x:c r="AC1433" s="53"/>
      <x:c r="AD1433" s="53"/>
      <x:c r="AE1433" s="53"/>
      <x:c r="AF1433" s="53"/>
    </x:row>
    <x:row r="1434">
      <x:c r="A1434" s="53"/>
      <x:c r="B1434" s="53"/>
      <x:c r="C1434" s="53"/>
      <x:c r="D1434" s="53"/>
      <x:c r="E1434" s="53"/>
      <x:c r="F1434" s="53"/>
      <x:c r="G1434" s="53"/>
      <x:c r="H1434" s="53"/>
      <x:c r="I1434" s="53"/>
      <x:c r="J1434" s="53"/>
      <x:c r="K1434" s="53"/>
      <x:c r="L1434" s="53"/>
      <x:c r="M1434" s="53"/>
      <x:c r="N1434" s="53"/>
      <x:c r="O1434" s="53"/>
      <x:c r="P1434" s="53"/>
      <x:c r="Q1434" s="53"/>
      <x:c r="R1434" s="53"/>
      <x:c r="S1434" s="53"/>
      <x:c r="T1434" s="53"/>
      <x:c r="U1434" s="53"/>
      <x:c r="V1434" s="53"/>
      <x:c r="W1434" s="53"/>
      <x:c r="X1434" s="53"/>
      <x:c r="Y1434" s="53"/>
      <x:c r="Z1434" s="53"/>
      <x:c r="AA1434" s="53"/>
      <x:c r="AB1434" s="53"/>
      <x:c r="AC1434" s="53"/>
      <x:c r="AD1434" s="53"/>
      <x:c r="AE1434" s="53"/>
      <x:c r="AF1434" s="53"/>
    </x:row>
    <x:row r="1435">
      <x:c r="A1435" s="53"/>
      <x:c r="B1435" s="53"/>
      <x:c r="C1435" s="53"/>
      <x:c r="D1435" s="53"/>
      <x:c r="E1435" s="53"/>
      <x:c r="F1435" s="53"/>
      <x:c r="G1435" s="53"/>
      <x:c r="H1435" s="53"/>
      <x:c r="I1435" s="53"/>
      <x:c r="J1435" s="53"/>
      <x:c r="K1435" s="53"/>
      <x:c r="L1435" s="53"/>
      <x:c r="M1435" s="53"/>
      <x:c r="N1435" s="53"/>
      <x:c r="O1435" s="53"/>
      <x:c r="P1435" s="53"/>
      <x:c r="Q1435" s="53"/>
      <x:c r="R1435" s="53"/>
      <x:c r="S1435" s="53"/>
      <x:c r="T1435" s="53"/>
      <x:c r="U1435" s="53"/>
      <x:c r="V1435" s="53"/>
      <x:c r="W1435" s="53"/>
      <x:c r="X1435" s="53"/>
      <x:c r="Y1435" s="53"/>
      <x:c r="Z1435" s="53"/>
      <x:c r="AA1435" s="53"/>
      <x:c r="AB1435" s="53"/>
      <x:c r="AC1435" s="53"/>
      <x:c r="AD1435" s="53"/>
      <x:c r="AE1435" s="53"/>
      <x:c r="AF1435" s="53"/>
    </x:row>
    <x:row r="1436">
      <x:c r="A1436" s="53"/>
      <x:c r="B1436" s="53"/>
      <x:c r="C1436" s="53"/>
      <x:c r="D1436" s="53"/>
      <x:c r="E1436" s="53"/>
      <x:c r="F1436" s="53"/>
      <x:c r="G1436" s="53"/>
      <x:c r="H1436" s="53"/>
      <x:c r="I1436" s="53"/>
      <x:c r="J1436" s="53"/>
      <x:c r="K1436" s="53"/>
      <x:c r="L1436" s="53"/>
      <x:c r="M1436" s="53"/>
      <x:c r="N1436" s="53"/>
      <x:c r="O1436" s="53"/>
      <x:c r="P1436" s="53"/>
      <x:c r="Q1436" s="53"/>
      <x:c r="R1436" s="53"/>
      <x:c r="S1436" s="53"/>
      <x:c r="T1436" s="53"/>
      <x:c r="U1436" s="53"/>
      <x:c r="V1436" s="53"/>
      <x:c r="W1436" s="53"/>
      <x:c r="X1436" s="53"/>
      <x:c r="Y1436" s="53"/>
      <x:c r="Z1436" s="53"/>
      <x:c r="AA1436" s="53"/>
      <x:c r="AB1436" s="53"/>
      <x:c r="AC1436" s="53"/>
      <x:c r="AD1436" s="53"/>
      <x:c r="AE1436" s="53"/>
      <x:c r="AF1436" s="53"/>
    </x:row>
    <x:row r="1437">
      <x:c r="A1437" s="53"/>
      <x:c r="B1437" s="53"/>
      <x:c r="C1437" s="53"/>
      <x:c r="D1437" s="53"/>
      <x:c r="E1437" s="53"/>
      <x:c r="F1437" s="53"/>
      <x:c r="G1437" s="53"/>
      <x:c r="H1437" s="53"/>
      <x:c r="I1437" s="53"/>
      <x:c r="J1437" s="53"/>
      <x:c r="K1437" s="53"/>
      <x:c r="L1437" s="53"/>
      <x:c r="M1437" s="53"/>
      <x:c r="N1437" s="53"/>
      <x:c r="O1437" s="53"/>
      <x:c r="P1437" s="53"/>
      <x:c r="Q1437" s="53"/>
      <x:c r="R1437" s="53"/>
      <x:c r="S1437" s="53"/>
      <x:c r="T1437" s="53"/>
      <x:c r="U1437" s="53"/>
      <x:c r="V1437" s="53"/>
      <x:c r="W1437" s="53"/>
      <x:c r="X1437" s="53"/>
      <x:c r="Y1437" s="53"/>
      <x:c r="Z1437" s="53"/>
      <x:c r="AA1437" s="53"/>
      <x:c r="AB1437" s="53"/>
      <x:c r="AC1437" s="53"/>
      <x:c r="AD1437" s="53"/>
      <x:c r="AE1437" s="53"/>
      <x:c r="AF1437" s="53"/>
    </x:row>
    <x:row r="1438">
      <x:c r="A1438" s="53"/>
      <x:c r="B1438" s="53"/>
      <x:c r="C1438" s="53"/>
      <x:c r="D1438" s="53"/>
      <x:c r="E1438" s="53"/>
      <x:c r="F1438" s="53"/>
      <x:c r="G1438" s="53"/>
      <x:c r="H1438" s="53"/>
      <x:c r="I1438" s="53"/>
      <x:c r="J1438" s="53"/>
      <x:c r="K1438" s="53"/>
      <x:c r="L1438" s="53"/>
      <x:c r="M1438" s="53"/>
      <x:c r="N1438" s="53"/>
      <x:c r="O1438" s="53"/>
      <x:c r="P1438" s="53"/>
      <x:c r="Q1438" s="53"/>
      <x:c r="R1438" s="53"/>
      <x:c r="S1438" s="53"/>
      <x:c r="T1438" s="53"/>
      <x:c r="U1438" s="53"/>
      <x:c r="V1438" s="53"/>
      <x:c r="W1438" s="53"/>
      <x:c r="X1438" s="53"/>
      <x:c r="Y1438" s="53"/>
      <x:c r="Z1438" s="53"/>
      <x:c r="AA1438" s="53"/>
      <x:c r="AB1438" s="53"/>
      <x:c r="AC1438" s="53"/>
      <x:c r="AD1438" s="53"/>
      <x:c r="AE1438" s="53"/>
      <x:c r="AF1438" s="53"/>
    </x:row>
    <x:row r="1439">
      <x:c r="A1439" s="53"/>
      <x:c r="B1439" s="53"/>
      <x:c r="C1439" s="53"/>
      <x:c r="D1439" s="53"/>
      <x:c r="E1439" s="53"/>
      <x:c r="F1439" s="53"/>
      <x:c r="G1439" s="53"/>
      <x:c r="H1439" s="53"/>
      <x:c r="I1439" s="53"/>
      <x:c r="J1439" s="53"/>
      <x:c r="K1439" s="53"/>
      <x:c r="L1439" s="53"/>
      <x:c r="M1439" s="53"/>
      <x:c r="N1439" s="53"/>
      <x:c r="O1439" s="53"/>
      <x:c r="P1439" s="53"/>
      <x:c r="Q1439" s="53"/>
      <x:c r="R1439" s="53"/>
      <x:c r="S1439" s="53"/>
      <x:c r="T1439" s="53"/>
      <x:c r="U1439" s="53"/>
      <x:c r="V1439" s="53"/>
      <x:c r="W1439" s="53"/>
      <x:c r="X1439" s="53"/>
      <x:c r="Y1439" s="53"/>
      <x:c r="Z1439" s="53"/>
      <x:c r="AA1439" s="53"/>
      <x:c r="AB1439" s="53"/>
      <x:c r="AC1439" s="53"/>
      <x:c r="AD1439" s="53"/>
      <x:c r="AE1439" s="53"/>
      <x:c r="AF1439" s="53"/>
    </x:row>
    <x:row r="1440">
      <x:c r="A1440" s="53"/>
      <x:c r="B1440" s="53"/>
      <x:c r="C1440" s="53"/>
      <x:c r="D1440" s="53"/>
      <x:c r="E1440" s="53"/>
      <x:c r="F1440" s="53"/>
      <x:c r="G1440" s="53"/>
      <x:c r="H1440" s="53"/>
      <x:c r="I1440" s="53"/>
      <x:c r="J1440" s="53"/>
      <x:c r="K1440" s="53"/>
      <x:c r="L1440" s="53"/>
      <x:c r="M1440" s="53"/>
      <x:c r="N1440" s="53"/>
      <x:c r="O1440" s="53"/>
      <x:c r="P1440" s="53"/>
      <x:c r="Q1440" s="53"/>
      <x:c r="R1440" s="53"/>
      <x:c r="S1440" s="53"/>
      <x:c r="T1440" s="53"/>
      <x:c r="U1440" s="53"/>
      <x:c r="V1440" s="53"/>
      <x:c r="W1440" s="53"/>
      <x:c r="X1440" s="53"/>
      <x:c r="Y1440" s="53"/>
      <x:c r="Z1440" s="53"/>
      <x:c r="AA1440" s="53"/>
      <x:c r="AB1440" s="53"/>
      <x:c r="AC1440" s="53"/>
      <x:c r="AD1440" s="53"/>
      <x:c r="AE1440" s="53"/>
      <x:c r="AF1440" s="53"/>
    </x:row>
    <x:row r="1441">
      <x:c r="A1441" s="53"/>
      <x:c r="B1441" s="53"/>
      <x:c r="C1441" s="53"/>
      <x:c r="D1441" s="53"/>
      <x:c r="E1441" s="53"/>
      <x:c r="F1441" s="53"/>
      <x:c r="G1441" s="53"/>
      <x:c r="H1441" s="53"/>
      <x:c r="I1441" s="53"/>
      <x:c r="J1441" s="53"/>
      <x:c r="K1441" s="53"/>
      <x:c r="L1441" s="53"/>
      <x:c r="M1441" s="53"/>
      <x:c r="N1441" s="53"/>
      <x:c r="O1441" s="53"/>
      <x:c r="P1441" s="53"/>
      <x:c r="Q1441" s="53"/>
      <x:c r="R1441" s="53"/>
      <x:c r="S1441" s="53"/>
      <x:c r="T1441" s="53"/>
      <x:c r="U1441" s="53"/>
      <x:c r="V1441" s="53"/>
      <x:c r="W1441" s="53"/>
      <x:c r="X1441" s="53"/>
      <x:c r="Y1441" s="53"/>
      <x:c r="Z1441" s="53"/>
      <x:c r="AA1441" s="53"/>
      <x:c r="AB1441" s="53"/>
      <x:c r="AC1441" s="53"/>
      <x:c r="AD1441" s="53"/>
      <x:c r="AE1441" s="53"/>
      <x:c r="AF1441" s="53"/>
    </x:row>
    <x:row r="1442">
      <x:c r="A1442" s="53"/>
      <x:c r="B1442" s="53"/>
      <x:c r="C1442" s="53"/>
      <x:c r="D1442" s="53"/>
      <x:c r="E1442" s="53"/>
      <x:c r="F1442" s="53"/>
      <x:c r="G1442" s="53"/>
      <x:c r="H1442" s="53"/>
      <x:c r="I1442" s="53"/>
      <x:c r="J1442" s="53"/>
      <x:c r="K1442" s="53"/>
      <x:c r="L1442" s="53"/>
      <x:c r="M1442" s="53"/>
      <x:c r="N1442" s="53"/>
      <x:c r="O1442" s="53"/>
      <x:c r="P1442" s="53"/>
      <x:c r="Q1442" s="53"/>
      <x:c r="R1442" s="53"/>
      <x:c r="S1442" s="53"/>
      <x:c r="T1442" s="53"/>
      <x:c r="U1442" s="53"/>
      <x:c r="V1442" s="53"/>
      <x:c r="W1442" s="53"/>
      <x:c r="X1442" s="53"/>
      <x:c r="Y1442" s="53"/>
      <x:c r="Z1442" s="53"/>
      <x:c r="AA1442" s="53"/>
      <x:c r="AB1442" s="53"/>
      <x:c r="AC1442" s="53"/>
      <x:c r="AD1442" s="53"/>
      <x:c r="AE1442" s="53"/>
      <x:c r="AF1442" s="53"/>
    </x:row>
    <x:row r="1443">
      <x:c r="A1443" s="53"/>
      <x:c r="B1443" s="53"/>
      <x:c r="C1443" s="53"/>
      <x:c r="D1443" s="53"/>
      <x:c r="E1443" s="53"/>
      <x:c r="F1443" s="53"/>
      <x:c r="G1443" s="53"/>
      <x:c r="H1443" s="53"/>
      <x:c r="I1443" s="53"/>
      <x:c r="J1443" s="53"/>
      <x:c r="K1443" s="53"/>
      <x:c r="L1443" s="53"/>
      <x:c r="M1443" s="53"/>
      <x:c r="N1443" s="53"/>
      <x:c r="O1443" s="53"/>
      <x:c r="P1443" s="53"/>
      <x:c r="Q1443" s="53"/>
      <x:c r="R1443" s="53"/>
      <x:c r="S1443" s="53"/>
      <x:c r="T1443" s="53"/>
      <x:c r="U1443" s="53"/>
      <x:c r="V1443" s="53"/>
      <x:c r="W1443" s="53"/>
      <x:c r="X1443" s="53"/>
      <x:c r="Y1443" s="53"/>
      <x:c r="Z1443" s="53"/>
      <x:c r="AA1443" s="53"/>
      <x:c r="AB1443" s="53"/>
      <x:c r="AC1443" s="53"/>
      <x:c r="AD1443" s="53"/>
      <x:c r="AE1443" s="53"/>
      <x:c r="AF1443" s="53"/>
    </x:row>
    <x:row r="1444">
      <x:c r="A1444" s="53"/>
      <x:c r="B1444" s="53"/>
      <x:c r="C1444" s="53"/>
      <x:c r="D1444" s="53"/>
      <x:c r="E1444" s="53"/>
      <x:c r="F1444" s="53"/>
      <x:c r="G1444" s="53"/>
      <x:c r="H1444" s="53"/>
      <x:c r="I1444" s="53"/>
      <x:c r="J1444" s="53"/>
      <x:c r="K1444" s="53"/>
      <x:c r="L1444" s="53"/>
      <x:c r="M1444" s="53"/>
      <x:c r="N1444" s="53"/>
      <x:c r="O1444" s="53"/>
      <x:c r="P1444" s="53"/>
      <x:c r="Q1444" s="53"/>
      <x:c r="R1444" s="53"/>
      <x:c r="S1444" s="53"/>
      <x:c r="T1444" s="53"/>
      <x:c r="U1444" s="53"/>
      <x:c r="V1444" s="53"/>
      <x:c r="W1444" s="53"/>
      <x:c r="X1444" s="53"/>
      <x:c r="Y1444" s="53"/>
      <x:c r="Z1444" s="53"/>
      <x:c r="AA1444" s="53"/>
      <x:c r="AB1444" s="53"/>
      <x:c r="AC1444" s="53"/>
      <x:c r="AD1444" s="53"/>
      <x:c r="AE1444" s="53"/>
      <x:c r="AF1444" s="53"/>
    </x:row>
    <x:row r="1445">
      <x:c r="A1445" s="53"/>
      <x:c r="B1445" s="53"/>
      <x:c r="C1445" s="53"/>
      <x:c r="D1445" s="53"/>
      <x:c r="E1445" s="53"/>
      <x:c r="F1445" s="53"/>
      <x:c r="G1445" s="53"/>
      <x:c r="H1445" s="53"/>
      <x:c r="I1445" s="53"/>
      <x:c r="J1445" s="53"/>
      <x:c r="K1445" s="53"/>
      <x:c r="L1445" s="53"/>
      <x:c r="M1445" s="53"/>
      <x:c r="N1445" s="53"/>
      <x:c r="O1445" s="53"/>
      <x:c r="P1445" s="53"/>
      <x:c r="Q1445" s="53"/>
      <x:c r="R1445" s="53"/>
      <x:c r="S1445" s="53"/>
      <x:c r="T1445" s="53"/>
      <x:c r="U1445" s="53"/>
      <x:c r="V1445" s="53"/>
      <x:c r="W1445" s="53"/>
      <x:c r="X1445" s="53"/>
      <x:c r="Y1445" s="53"/>
      <x:c r="Z1445" s="53"/>
      <x:c r="AA1445" s="53"/>
      <x:c r="AB1445" s="53"/>
      <x:c r="AC1445" s="53"/>
      <x:c r="AD1445" s="53"/>
      <x:c r="AE1445" s="53"/>
      <x:c r="AF1445" s="53"/>
    </x:row>
    <x:row r="1446">
      <x:c r="A1446" s="53"/>
      <x:c r="B1446" s="53"/>
      <x:c r="C1446" s="53"/>
      <x:c r="D1446" s="53"/>
      <x:c r="E1446" s="53"/>
      <x:c r="F1446" s="53"/>
      <x:c r="G1446" s="53"/>
      <x:c r="H1446" s="53"/>
      <x:c r="I1446" s="53"/>
      <x:c r="J1446" s="53"/>
      <x:c r="K1446" s="53"/>
      <x:c r="L1446" s="53"/>
      <x:c r="M1446" s="53"/>
      <x:c r="N1446" s="53"/>
      <x:c r="O1446" s="53"/>
      <x:c r="P1446" s="53"/>
      <x:c r="Q1446" s="53"/>
      <x:c r="R1446" s="53"/>
      <x:c r="S1446" s="53"/>
      <x:c r="T1446" s="53"/>
      <x:c r="U1446" s="53"/>
      <x:c r="V1446" s="53"/>
      <x:c r="W1446" s="53"/>
      <x:c r="X1446" s="53"/>
      <x:c r="Y1446" s="53"/>
      <x:c r="Z1446" s="53"/>
      <x:c r="AA1446" s="53"/>
      <x:c r="AB1446" s="53"/>
      <x:c r="AC1446" s="53"/>
      <x:c r="AD1446" s="53"/>
      <x:c r="AE1446" s="53"/>
      <x:c r="AF1446" s="53"/>
    </x:row>
    <x:row r="1447">
      <x:c r="A1447" s="53"/>
      <x:c r="B1447" s="53"/>
      <x:c r="C1447" s="53"/>
      <x:c r="D1447" s="53"/>
      <x:c r="E1447" s="53"/>
      <x:c r="F1447" s="53"/>
      <x:c r="G1447" s="53"/>
      <x:c r="H1447" s="53"/>
      <x:c r="I1447" s="53"/>
      <x:c r="J1447" s="53"/>
      <x:c r="K1447" s="53"/>
      <x:c r="L1447" s="53"/>
      <x:c r="M1447" s="53"/>
      <x:c r="N1447" s="53"/>
      <x:c r="O1447" s="53"/>
      <x:c r="P1447" s="53"/>
      <x:c r="Q1447" s="53"/>
      <x:c r="R1447" s="53"/>
      <x:c r="S1447" s="53"/>
      <x:c r="T1447" s="53"/>
      <x:c r="U1447" s="53"/>
      <x:c r="V1447" s="53"/>
      <x:c r="W1447" s="53"/>
      <x:c r="X1447" s="53"/>
      <x:c r="Y1447" s="53"/>
      <x:c r="Z1447" s="53"/>
      <x:c r="AA1447" s="53"/>
      <x:c r="AB1447" s="53"/>
      <x:c r="AC1447" s="53"/>
      <x:c r="AD1447" s="53"/>
      <x:c r="AE1447" s="53"/>
      <x:c r="AF1447" s="53"/>
    </x:row>
    <x:row r="1448">
      <x:c r="A1448" s="53"/>
      <x:c r="B1448" s="53"/>
      <x:c r="C1448" s="53"/>
      <x:c r="D1448" s="53"/>
      <x:c r="E1448" s="53"/>
      <x:c r="F1448" s="53"/>
      <x:c r="G1448" s="53"/>
      <x:c r="H1448" s="53"/>
      <x:c r="I1448" s="53"/>
      <x:c r="J1448" s="53"/>
      <x:c r="K1448" s="53"/>
      <x:c r="L1448" s="53"/>
      <x:c r="M1448" s="53"/>
      <x:c r="N1448" s="53"/>
      <x:c r="O1448" s="53"/>
      <x:c r="P1448" s="53"/>
      <x:c r="Q1448" s="53"/>
      <x:c r="R1448" s="53"/>
      <x:c r="S1448" s="53"/>
      <x:c r="T1448" s="53"/>
      <x:c r="U1448" s="53"/>
      <x:c r="V1448" s="53"/>
      <x:c r="W1448" s="53"/>
      <x:c r="X1448" s="53"/>
      <x:c r="Y1448" s="53"/>
      <x:c r="Z1448" s="53"/>
      <x:c r="AA1448" s="53"/>
      <x:c r="AB1448" s="53"/>
      <x:c r="AC1448" s="53"/>
      <x:c r="AD1448" s="53"/>
      <x:c r="AE1448" s="53"/>
      <x:c r="AF1448" s="53"/>
    </x:row>
    <x:row r="1449">
      <x:c r="A1449" s="53"/>
      <x:c r="B1449" s="53"/>
      <x:c r="C1449" s="53"/>
      <x:c r="D1449" s="53"/>
      <x:c r="E1449" s="53"/>
      <x:c r="F1449" s="53"/>
      <x:c r="G1449" s="53"/>
      <x:c r="H1449" s="53"/>
      <x:c r="I1449" s="53"/>
      <x:c r="J1449" s="53"/>
      <x:c r="K1449" s="53"/>
      <x:c r="L1449" s="53"/>
      <x:c r="M1449" s="53"/>
      <x:c r="N1449" s="53"/>
      <x:c r="O1449" s="53"/>
      <x:c r="P1449" s="53"/>
      <x:c r="Q1449" s="53"/>
      <x:c r="R1449" s="53"/>
      <x:c r="S1449" s="53"/>
      <x:c r="T1449" s="53"/>
      <x:c r="U1449" s="53"/>
      <x:c r="V1449" s="53"/>
      <x:c r="W1449" s="53"/>
      <x:c r="X1449" s="53"/>
      <x:c r="Y1449" s="53"/>
      <x:c r="Z1449" s="53"/>
      <x:c r="AA1449" s="53"/>
      <x:c r="AB1449" s="53"/>
      <x:c r="AC1449" s="53"/>
      <x:c r="AD1449" s="53"/>
      <x:c r="AE1449" s="53"/>
      <x:c r="AF1449" s="53"/>
    </x:row>
    <x:row r="1450">
      <x:c r="A1450" s="53"/>
      <x:c r="B1450" s="53"/>
      <x:c r="C1450" s="53"/>
      <x:c r="D1450" s="53"/>
      <x:c r="E1450" s="53"/>
      <x:c r="F1450" s="53"/>
      <x:c r="G1450" s="53"/>
      <x:c r="H1450" s="53"/>
      <x:c r="I1450" s="53"/>
      <x:c r="J1450" s="53"/>
      <x:c r="K1450" s="53"/>
      <x:c r="L1450" s="53"/>
      <x:c r="M1450" s="53"/>
      <x:c r="N1450" s="53"/>
      <x:c r="O1450" s="53"/>
      <x:c r="P1450" s="53"/>
      <x:c r="Q1450" s="53"/>
      <x:c r="R1450" s="53"/>
      <x:c r="S1450" s="53"/>
      <x:c r="T1450" s="53"/>
      <x:c r="U1450" s="53"/>
      <x:c r="V1450" s="53"/>
      <x:c r="W1450" s="53"/>
      <x:c r="X1450" s="53"/>
      <x:c r="Y1450" s="53"/>
      <x:c r="Z1450" s="53"/>
      <x:c r="AA1450" s="53"/>
      <x:c r="AB1450" s="53"/>
      <x:c r="AC1450" s="53"/>
      <x:c r="AD1450" s="53"/>
      <x:c r="AE1450" s="53"/>
      <x:c r="AF1450" s="53"/>
    </x:row>
    <x:row r="1451">
      <x:c r="A1451" s="53"/>
      <x:c r="B1451" s="53"/>
      <x:c r="C1451" s="53"/>
      <x:c r="D1451" s="53"/>
      <x:c r="E1451" s="53"/>
      <x:c r="F1451" s="53"/>
      <x:c r="G1451" s="53"/>
      <x:c r="H1451" s="53"/>
      <x:c r="I1451" s="53"/>
      <x:c r="J1451" s="53"/>
      <x:c r="K1451" s="53"/>
      <x:c r="L1451" s="53"/>
      <x:c r="M1451" s="53"/>
      <x:c r="N1451" s="53"/>
      <x:c r="O1451" s="53"/>
      <x:c r="P1451" s="53"/>
      <x:c r="Q1451" s="53"/>
      <x:c r="R1451" s="53"/>
      <x:c r="S1451" s="53"/>
      <x:c r="T1451" s="53"/>
      <x:c r="U1451" s="53"/>
      <x:c r="V1451" s="53"/>
      <x:c r="W1451" s="53"/>
      <x:c r="X1451" s="53"/>
      <x:c r="Y1451" s="53"/>
      <x:c r="Z1451" s="53"/>
      <x:c r="AA1451" s="53"/>
      <x:c r="AB1451" s="53"/>
      <x:c r="AC1451" s="53"/>
      <x:c r="AD1451" s="53"/>
      <x:c r="AE1451" s="53"/>
      <x:c r="AF1451" s="53"/>
    </x:row>
    <x:row r="1452">
      <x:c r="A1452" s="53"/>
      <x:c r="B1452" s="53"/>
      <x:c r="C1452" s="53"/>
      <x:c r="D1452" s="53"/>
      <x:c r="E1452" s="53"/>
      <x:c r="F1452" s="53"/>
      <x:c r="G1452" s="53"/>
      <x:c r="H1452" s="53"/>
      <x:c r="I1452" s="53"/>
      <x:c r="J1452" s="53"/>
      <x:c r="K1452" s="53"/>
      <x:c r="L1452" s="53"/>
      <x:c r="M1452" s="53"/>
      <x:c r="N1452" s="53"/>
      <x:c r="O1452" s="53"/>
      <x:c r="P1452" s="53"/>
      <x:c r="Q1452" s="53"/>
      <x:c r="R1452" s="53"/>
      <x:c r="S1452" s="53"/>
      <x:c r="T1452" s="53"/>
      <x:c r="U1452" s="53"/>
      <x:c r="V1452" s="53"/>
      <x:c r="W1452" s="53"/>
      <x:c r="X1452" s="53"/>
      <x:c r="Y1452" s="53"/>
      <x:c r="Z1452" s="53"/>
      <x:c r="AA1452" s="53"/>
      <x:c r="AB1452" s="53"/>
      <x:c r="AC1452" s="53"/>
      <x:c r="AD1452" s="53"/>
      <x:c r="AE1452" s="53"/>
      <x:c r="AF1452" s="53"/>
    </x:row>
    <x:row r="1453">
      <x:c r="A1453" s="53"/>
      <x:c r="B1453" s="53"/>
      <x:c r="C1453" s="53"/>
      <x:c r="D1453" s="53"/>
      <x:c r="E1453" s="53"/>
      <x:c r="F1453" s="53"/>
      <x:c r="G1453" s="53"/>
      <x:c r="H1453" s="53"/>
      <x:c r="I1453" s="53"/>
      <x:c r="J1453" s="53"/>
      <x:c r="K1453" s="53"/>
      <x:c r="L1453" s="53"/>
      <x:c r="M1453" s="53"/>
      <x:c r="N1453" s="53"/>
      <x:c r="O1453" s="53"/>
      <x:c r="P1453" s="53"/>
      <x:c r="Q1453" s="53"/>
      <x:c r="R1453" s="53"/>
      <x:c r="S1453" s="53"/>
      <x:c r="T1453" s="53"/>
      <x:c r="U1453" s="53"/>
      <x:c r="V1453" s="53"/>
      <x:c r="W1453" s="53"/>
      <x:c r="X1453" s="53"/>
      <x:c r="Y1453" s="53"/>
      <x:c r="Z1453" s="53"/>
      <x:c r="AA1453" s="53"/>
      <x:c r="AB1453" s="53"/>
      <x:c r="AC1453" s="53"/>
      <x:c r="AD1453" s="53"/>
      <x:c r="AE1453" s="53"/>
      <x:c r="AF1453" s="53"/>
    </x:row>
    <x:row r="1454">
      <x:c r="A1454" s="53"/>
      <x:c r="B1454" s="53"/>
      <x:c r="C1454" s="53"/>
      <x:c r="D1454" s="53"/>
      <x:c r="E1454" s="53"/>
      <x:c r="F1454" s="53"/>
      <x:c r="G1454" s="53"/>
      <x:c r="H1454" s="53"/>
      <x:c r="I1454" s="53"/>
      <x:c r="J1454" s="53"/>
      <x:c r="K1454" s="53"/>
      <x:c r="L1454" s="53"/>
      <x:c r="M1454" s="53"/>
      <x:c r="N1454" s="53"/>
      <x:c r="O1454" s="53"/>
      <x:c r="P1454" s="53"/>
      <x:c r="Q1454" s="53"/>
      <x:c r="R1454" s="53"/>
      <x:c r="S1454" s="53"/>
      <x:c r="T1454" s="53"/>
      <x:c r="U1454" s="53"/>
      <x:c r="V1454" s="53"/>
      <x:c r="W1454" s="53"/>
      <x:c r="X1454" s="53"/>
      <x:c r="Y1454" s="53"/>
      <x:c r="Z1454" s="53"/>
      <x:c r="AA1454" s="53"/>
      <x:c r="AB1454" s="53"/>
      <x:c r="AC1454" s="53"/>
      <x:c r="AD1454" s="53"/>
      <x:c r="AE1454" s="53"/>
      <x:c r="AF1454" s="53"/>
    </x:row>
    <x:row r="1455">
      <x:c r="A1455" s="53"/>
      <x:c r="B1455" s="53"/>
      <x:c r="C1455" s="53"/>
      <x:c r="D1455" s="53"/>
      <x:c r="E1455" s="53"/>
      <x:c r="F1455" s="53"/>
      <x:c r="G1455" s="53"/>
      <x:c r="H1455" s="53"/>
      <x:c r="I1455" s="53"/>
      <x:c r="J1455" s="53"/>
      <x:c r="K1455" s="53"/>
      <x:c r="L1455" s="53"/>
      <x:c r="M1455" s="53"/>
      <x:c r="N1455" s="53"/>
      <x:c r="O1455" s="53"/>
      <x:c r="P1455" s="53"/>
      <x:c r="Q1455" s="53"/>
      <x:c r="R1455" s="53"/>
      <x:c r="S1455" s="53"/>
      <x:c r="T1455" s="53"/>
      <x:c r="U1455" s="53"/>
      <x:c r="V1455" s="53"/>
      <x:c r="W1455" s="53"/>
      <x:c r="X1455" s="53"/>
      <x:c r="Y1455" s="53"/>
      <x:c r="Z1455" s="53"/>
      <x:c r="AA1455" s="53"/>
      <x:c r="AB1455" s="53"/>
      <x:c r="AC1455" s="53"/>
      <x:c r="AD1455" s="53"/>
      <x:c r="AE1455" s="53"/>
      <x:c r="AF1455" s="53"/>
    </x:row>
    <x:row r="1456">
      <x:c r="A1456" s="53"/>
      <x:c r="B1456" s="53"/>
      <x:c r="C1456" s="53"/>
      <x:c r="D1456" s="53"/>
      <x:c r="E1456" s="53"/>
      <x:c r="F1456" s="53"/>
      <x:c r="G1456" s="53"/>
      <x:c r="H1456" s="53"/>
      <x:c r="I1456" s="53"/>
      <x:c r="J1456" s="53"/>
      <x:c r="K1456" s="53"/>
      <x:c r="L1456" s="53"/>
      <x:c r="M1456" s="53"/>
      <x:c r="N1456" s="53"/>
      <x:c r="O1456" s="53"/>
      <x:c r="P1456" s="53"/>
      <x:c r="Q1456" s="53"/>
      <x:c r="R1456" s="53"/>
      <x:c r="S1456" s="53"/>
      <x:c r="T1456" s="53"/>
      <x:c r="U1456" s="53"/>
      <x:c r="V1456" s="53"/>
      <x:c r="W1456" s="53"/>
      <x:c r="X1456" s="53"/>
      <x:c r="Y1456" s="53"/>
      <x:c r="Z1456" s="53"/>
      <x:c r="AA1456" s="53"/>
      <x:c r="AB1456" s="53"/>
      <x:c r="AC1456" s="53"/>
      <x:c r="AD1456" s="53"/>
      <x:c r="AE1456" s="53"/>
      <x:c r="AF1456" s="53"/>
    </x:row>
    <x:row r="1457">
      <x:c r="A1457" s="53"/>
      <x:c r="B1457" s="53"/>
      <x:c r="C1457" s="53"/>
      <x:c r="D1457" s="53"/>
      <x:c r="E1457" s="53"/>
      <x:c r="F1457" s="53"/>
      <x:c r="G1457" s="53"/>
      <x:c r="H1457" s="53"/>
      <x:c r="I1457" s="53"/>
      <x:c r="J1457" s="53"/>
      <x:c r="K1457" s="53"/>
      <x:c r="L1457" s="53"/>
      <x:c r="M1457" s="53"/>
      <x:c r="N1457" s="53"/>
      <x:c r="O1457" s="53"/>
      <x:c r="P1457" s="53"/>
      <x:c r="Q1457" s="53"/>
      <x:c r="R1457" s="53"/>
      <x:c r="S1457" s="53"/>
      <x:c r="T1457" s="53"/>
      <x:c r="U1457" s="53"/>
      <x:c r="V1457" s="53"/>
      <x:c r="W1457" s="53"/>
      <x:c r="X1457" s="53"/>
      <x:c r="Y1457" s="53"/>
      <x:c r="Z1457" s="53"/>
      <x:c r="AA1457" s="53"/>
      <x:c r="AB1457" s="53"/>
      <x:c r="AC1457" s="53"/>
      <x:c r="AD1457" s="53"/>
      <x:c r="AE1457" s="53"/>
      <x:c r="AF1457" s="53"/>
    </x:row>
    <x:row r="1458">
      <x:c r="A1458" s="53"/>
      <x:c r="B1458" s="53"/>
      <x:c r="C1458" s="53"/>
      <x:c r="D1458" s="53"/>
      <x:c r="E1458" s="53"/>
      <x:c r="F1458" s="53"/>
      <x:c r="G1458" s="53"/>
      <x:c r="H1458" s="53"/>
      <x:c r="I1458" s="53"/>
      <x:c r="J1458" s="53"/>
      <x:c r="K1458" s="53"/>
      <x:c r="L1458" s="53"/>
      <x:c r="M1458" s="53"/>
      <x:c r="N1458" s="53"/>
      <x:c r="O1458" s="53"/>
      <x:c r="P1458" s="53"/>
      <x:c r="Q1458" s="53"/>
      <x:c r="R1458" s="53"/>
      <x:c r="S1458" s="53"/>
      <x:c r="T1458" s="53"/>
      <x:c r="U1458" s="53"/>
      <x:c r="V1458" s="53"/>
      <x:c r="W1458" s="53"/>
      <x:c r="X1458" s="53"/>
      <x:c r="Y1458" s="53"/>
      <x:c r="Z1458" s="53"/>
      <x:c r="AA1458" s="53"/>
      <x:c r="AB1458" s="53"/>
      <x:c r="AC1458" s="53"/>
      <x:c r="AD1458" s="53"/>
      <x:c r="AE1458" s="53"/>
      <x:c r="AF1458" s="53"/>
    </x:row>
    <x:row r="1459">
      <x:c r="A1459" s="53"/>
      <x:c r="B1459" s="53"/>
      <x:c r="C1459" s="53"/>
      <x:c r="D1459" s="53"/>
      <x:c r="E1459" s="53"/>
      <x:c r="F1459" s="53"/>
      <x:c r="G1459" s="53"/>
      <x:c r="H1459" s="53"/>
      <x:c r="I1459" s="53"/>
      <x:c r="J1459" s="53"/>
      <x:c r="K1459" s="53"/>
      <x:c r="L1459" s="53"/>
      <x:c r="M1459" s="53"/>
      <x:c r="N1459" s="53"/>
      <x:c r="O1459" s="53"/>
      <x:c r="P1459" s="53"/>
      <x:c r="Q1459" s="53"/>
      <x:c r="R1459" s="53"/>
      <x:c r="S1459" s="53"/>
      <x:c r="T1459" s="53"/>
      <x:c r="U1459" s="53"/>
      <x:c r="V1459" s="53"/>
      <x:c r="W1459" s="53"/>
      <x:c r="X1459" s="53"/>
      <x:c r="Y1459" s="53"/>
      <x:c r="Z1459" s="53"/>
      <x:c r="AA1459" s="53"/>
      <x:c r="AB1459" s="53"/>
      <x:c r="AC1459" s="53"/>
      <x:c r="AD1459" s="53"/>
      <x:c r="AE1459" s="53"/>
      <x:c r="AF1459" s="53"/>
    </x:row>
    <x:row r="1460">
      <x:c r="A1460" s="53"/>
      <x:c r="B1460" s="53"/>
      <x:c r="C1460" s="53"/>
      <x:c r="D1460" s="53"/>
      <x:c r="E1460" s="53"/>
      <x:c r="F1460" s="53"/>
      <x:c r="G1460" s="53"/>
      <x:c r="H1460" s="53"/>
      <x:c r="I1460" s="53"/>
      <x:c r="J1460" s="53"/>
      <x:c r="K1460" s="53"/>
      <x:c r="L1460" s="53"/>
      <x:c r="M1460" s="53"/>
      <x:c r="N1460" s="53"/>
      <x:c r="O1460" s="53"/>
      <x:c r="P1460" s="53"/>
      <x:c r="Q1460" s="53"/>
      <x:c r="R1460" s="53"/>
      <x:c r="S1460" s="53"/>
      <x:c r="T1460" s="53"/>
      <x:c r="U1460" s="53"/>
      <x:c r="V1460" s="53"/>
      <x:c r="W1460" s="53"/>
      <x:c r="X1460" s="53"/>
      <x:c r="Y1460" s="53"/>
      <x:c r="Z1460" s="53"/>
      <x:c r="AA1460" s="53"/>
      <x:c r="AB1460" s="53"/>
      <x:c r="AC1460" s="53"/>
      <x:c r="AD1460" s="53"/>
      <x:c r="AE1460" s="53"/>
      <x:c r="AF1460" s="53"/>
    </x:row>
    <x:row r="1461">
      <x:c r="A1461" s="53"/>
      <x:c r="B1461" s="53"/>
      <x:c r="C1461" s="53"/>
      <x:c r="D1461" s="53"/>
      <x:c r="E1461" s="53"/>
      <x:c r="F1461" s="53"/>
      <x:c r="G1461" s="53"/>
      <x:c r="H1461" s="53"/>
      <x:c r="I1461" s="53"/>
      <x:c r="J1461" s="53"/>
      <x:c r="K1461" s="53"/>
      <x:c r="L1461" s="53"/>
      <x:c r="M1461" s="53"/>
      <x:c r="N1461" s="53"/>
      <x:c r="O1461" s="53"/>
      <x:c r="P1461" s="53"/>
      <x:c r="Q1461" s="53"/>
      <x:c r="R1461" s="53"/>
      <x:c r="S1461" s="53"/>
      <x:c r="T1461" s="53"/>
      <x:c r="U1461" s="53"/>
      <x:c r="V1461" s="53"/>
      <x:c r="W1461" s="53"/>
      <x:c r="X1461" s="53"/>
      <x:c r="Y1461" s="53"/>
      <x:c r="Z1461" s="53"/>
      <x:c r="AA1461" s="53"/>
      <x:c r="AB1461" s="53"/>
      <x:c r="AC1461" s="53"/>
      <x:c r="AD1461" s="53"/>
      <x:c r="AE1461" s="53"/>
      <x:c r="AF1461" s="53"/>
    </x:row>
    <x:row r="1462">
      <x:c r="A1462" s="53"/>
      <x:c r="B1462" s="53"/>
      <x:c r="C1462" s="53"/>
      <x:c r="D1462" s="53"/>
      <x:c r="E1462" s="53"/>
      <x:c r="F1462" s="53"/>
      <x:c r="G1462" s="53"/>
      <x:c r="H1462" s="53"/>
      <x:c r="I1462" s="53"/>
      <x:c r="J1462" s="53"/>
      <x:c r="K1462" s="53"/>
      <x:c r="L1462" s="53"/>
      <x:c r="M1462" s="53"/>
      <x:c r="N1462" s="53"/>
      <x:c r="O1462" s="53"/>
      <x:c r="P1462" s="53"/>
      <x:c r="Q1462" s="53"/>
      <x:c r="R1462" s="53"/>
      <x:c r="S1462" s="53"/>
      <x:c r="T1462" s="53"/>
      <x:c r="U1462" s="53"/>
      <x:c r="V1462" s="53"/>
      <x:c r="W1462" s="53"/>
      <x:c r="X1462" s="53"/>
      <x:c r="Y1462" s="53"/>
      <x:c r="Z1462" s="53"/>
      <x:c r="AA1462" s="53"/>
      <x:c r="AB1462" s="53"/>
      <x:c r="AC1462" s="53"/>
      <x:c r="AD1462" s="53"/>
      <x:c r="AE1462" s="53"/>
      <x:c r="AF1462" s="53"/>
    </x:row>
    <x:row r="1463">
      <x:c r="A1463" s="53"/>
      <x:c r="B1463" s="53"/>
      <x:c r="C1463" s="53"/>
      <x:c r="D1463" s="53"/>
      <x:c r="E1463" s="53"/>
      <x:c r="F1463" s="53"/>
      <x:c r="G1463" s="53"/>
      <x:c r="H1463" s="53"/>
      <x:c r="I1463" s="53"/>
      <x:c r="J1463" s="53"/>
      <x:c r="K1463" s="53"/>
      <x:c r="L1463" s="53"/>
      <x:c r="M1463" s="53"/>
      <x:c r="N1463" s="53"/>
      <x:c r="O1463" s="53"/>
      <x:c r="P1463" s="53"/>
      <x:c r="Q1463" s="53"/>
      <x:c r="R1463" s="53"/>
      <x:c r="S1463" s="53"/>
      <x:c r="T1463" s="53"/>
      <x:c r="U1463" s="53"/>
      <x:c r="V1463" s="53"/>
      <x:c r="W1463" s="53"/>
      <x:c r="X1463" s="53"/>
      <x:c r="Y1463" s="53"/>
      <x:c r="Z1463" s="53"/>
      <x:c r="AA1463" s="53"/>
      <x:c r="AB1463" s="53"/>
      <x:c r="AC1463" s="53"/>
      <x:c r="AD1463" s="53"/>
      <x:c r="AE1463" s="53"/>
      <x:c r="AF1463" s="53"/>
    </x:row>
    <x:row r="1464">
      <x:c r="A1464" s="53"/>
      <x:c r="B1464" s="53"/>
      <x:c r="C1464" s="53"/>
      <x:c r="D1464" s="53"/>
      <x:c r="E1464" s="53"/>
      <x:c r="F1464" s="53"/>
      <x:c r="G1464" s="53"/>
      <x:c r="H1464" s="53"/>
      <x:c r="I1464" s="53"/>
      <x:c r="J1464" s="53"/>
      <x:c r="K1464" s="53"/>
      <x:c r="L1464" s="53"/>
      <x:c r="M1464" s="53"/>
      <x:c r="N1464" s="53"/>
      <x:c r="O1464" s="53"/>
      <x:c r="P1464" s="53"/>
      <x:c r="Q1464" s="53"/>
      <x:c r="R1464" s="53"/>
      <x:c r="S1464" s="53"/>
      <x:c r="T1464" s="53"/>
      <x:c r="U1464" s="53"/>
      <x:c r="V1464" s="53"/>
      <x:c r="W1464" s="53"/>
      <x:c r="X1464" s="53"/>
      <x:c r="Y1464" s="53"/>
      <x:c r="Z1464" s="53"/>
      <x:c r="AA1464" s="53"/>
      <x:c r="AB1464" s="53"/>
      <x:c r="AC1464" s="53"/>
      <x:c r="AD1464" s="53"/>
      <x:c r="AE1464" s="53"/>
      <x:c r="AF1464" s="53"/>
    </x:row>
    <x:row r="1465">
      <x:c r="A1465" s="53"/>
      <x:c r="B1465" s="53"/>
      <x:c r="C1465" s="53"/>
      <x:c r="D1465" s="53"/>
      <x:c r="E1465" s="53"/>
      <x:c r="F1465" s="53"/>
      <x:c r="G1465" s="53"/>
      <x:c r="H1465" s="53"/>
      <x:c r="I1465" s="53"/>
      <x:c r="J1465" s="53"/>
      <x:c r="K1465" s="53"/>
      <x:c r="L1465" s="53"/>
      <x:c r="M1465" s="53"/>
      <x:c r="N1465" s="53"/>
      <x:c r="O1465" s="53"/>
      <x:c r="P1465" s="53"/>
      <x:c r="Q1465" s="53"/>
      <x:c r="R1465" s="53"/>
      <x:c r="S1465" s="53"/>
      <x:c r="T1465" s="53"/>
      <x:c r="U1465" s="53"/>
      <x:c r="V1465" s="53"/>
      <x:c r="W1465" s="53"/>
      <x:c r="X1465" s="53"/>
      <x:c r="Y1465" s="53"/>
      <x:c r="Z1465" s="53"/>
      <x:c r="AA1465" s="53"/>
      <x:c r="AB1465" s="53"/>
      <x:c r="AC1465" s="53"/>
      <x:c r="AD1465" s="53"/>
      <x:c r="AE1465" s="53"/>
      <x:c r="AF1465" s="53"/>
    </x:row>
    <x:row r="1466">
      <x:c r="A1466" s="53"/>
      <x:c r="B1466" s="53"/>
      <x:c r="C1466" s="53"/>
      <x:c r="D1466" s="53"/>
      <x:c r="E1466" s="53"/>
      <x:c r="F1466" s="53"/>
      <x:c r="G1466" s="53"/>
      <x:c r="H1466" s="53"/>
      <x:c r="I1466" s="53"/>
      <x:c r="J1466" s="53"/>
      <x:c r="K1466" s="53"/>
      <x:c r="L1466" s="53"/>
      <x:c r="M1466" s="53"/>
      <x:c r="N1466" s="53"/>
      <x:c r="O1466" s="53"/>
      <x:c r="P1466" s="53"/>
      <x:c r="Q1466" s="53"/>
      <x:c r="R1466" s="53"/>
      <x:c r="S1466" s="53"/>
      <x:c r="T1466" s="53"/>
      <x:c r="U1466" s="53"/>
      <x:c r="V1466" s="53"/>
      <x:c r="W1466" s="53"/>
      <x:c r="X1466" s="53"/>
      <x:c r="Y1466" s="53"/>
      <x:c r="Z1466" s="53"/>
      <x:c r="AA1466" s="53"/>
      <x:c r="AB1466" s="53"/>
      <x:c r="AC1466" s="53"/>
      <x:c r="AD1466" s="53"/>
      <x:c r="AE1466" s="53"/>
      <x:c r="AF1466" s="53"/>
    </x:row>
    <x:row r="1467">
      <x:c r="A1467" s="53"/>
      <x:c r="B1467" s="53"/>
      <x:c r="C1467" s="53"/>
      <x:c r="D1467" s="53"/>
      <x:c r="E1467" s="53"/>
      <x:c r="F1467" s="53"/>
      <x:c r="G1467" s="53"/>
      <x:c r="H1467" s="53"/>
      <x:c r="I1467" s="53"/>
      <x:c r="J1467" s="53"/>
      <x:c r="K1467" s="53"/>
      <x:c r="L1467" s="53"/>
      <x:c r="M1467" s="53"/>
      <x:c r="N1467" s="53"/>
      <x:c r="O1467" s="53"/>
      <x:c r="P1467" s="53"/>
      <x:c r="Q1467" s="53"/>
      <x:c r="R1467" s="53"/>
      <x:c r="S1467" s="53"/>
      <x:c r="T1467" s="53"/>
      <x:c r="U1467" s="53"/>
      <x:c r="V1467" s="53"/>
      <x:c r="W1467" s="53"/>
      <x:c r="X1467" s="53"/>
      <x:c r="Y1467" s="53"/>
      <x:c r="Z1467" s="53"/>
      <x:c r="AA1467" s="53"/>
      <x:c r="AB1467" s="53"/>
      <x:c r="AC1467" s="53"/>
      <x:c r="AD1467" s="53"/>
      <x:c r="AE1467" s="53"/>
      <x:c r="AF1467" s="53"/>
    </x:row>
    <x:row r="1468">
      <x:c r="A1468" s="53"/>
      <x:c r="B1468" s="53"/>
      <x:c r="C1468" s="53"/>
      <x:c r="D1468" s="53"/>
      <x:c r="E1468" s="53"/>
      <x:c r="F1468" s="53"/>
      <x:c r="G1468" s="53"/>
      <x:c r="H1468" s="53"/>
      <x:c r="I1468" s="53"/>
      <x:c r="J1468" s="53"/>
      <x:c r="K1468" s="53"/>
      <x:c r="L1468" s="53"/>
      <x:c r="M1468" s="53"/>
      <x:c r="N1468" s="53"/>
      <x:c r="O1468" s="53"/>
      <x:c r="P1468" s="53"/>
      <x:c r="Q1468" s="53"/>
      <x:c r="R1468" s="53"/>
      <x:c r="S1468" s="53"/>
      <x:c r="T1468" s="53"/>
      <x:c r="U1468" s="53"/>
      <x:c r="V1468" s="53"/>
      <x:c r="W1468" s="53"/>
      <x:c r="X1468" s="53"/>
      <x:c r="Y1468" s="53"/>
      <x:c r="Z1468" s="53"/>
      <x:c r="AA1468" s="53"/>
      <x:c r="AB1468" s="53"/>
      <x:c r="AC1468" s="53"/>
      <x:c r="AD1468" s="53"/>
      <x:c r="AE1468" s="53"/>
      <x:c r="AF1468" s="53"/>
    </x:row>
    <x:row r="1469">
      <x:c r="A1469" s="53"/>
      <x:c r="B1469" s="53"/>
      <x:c r="C1469" s="53"/>
      <x:c r="D1469" s="53"/>
      <x:c r="E1469" s="53"/>
      <x:c r="F1469" s="53"/>
      <x:c r="G1469" s="53"/>
      <x:c r="H1469" s="53"/>
      <x:c r="I1469" s="53"/>
      <x:c r="J1469" s="53"/>
      <x:c r="K1469" s="53"/>
      <x:c r="L1469" s="53"/>
      <x:c r="M1469" s="53"/>
      <x:c r="N1469" s="53"/>
      <x:c r="O1469" s="53"/>
      <x:c r="P1469" s="53"/>
      <x:c r="Q1469" s="53"/>
      <x:c r="R1469" s="53"/>
      <x:c r="S1469" s="53"/>
      <x:c r="T1469" s="53"/>
      <x:c r="U1469" s="53"/>
      <x:c r="V1469" s="53"/>
      <x:c r="W1469" s="53"/>
      <x:c r="X1469" s="53"/>
      <x:c r="Y1469" s="53"/>
      <x:c r="Z1469" s="53"/>
      <x:c r="AA1469" s="53"/>
      <x:c r="AB1469" s="53"/>
      <x:c r="AC1469" s="53"/>
      <x:c r="AD1469" s="53"/>
      <x:c r="AE1469" s="53"/>
      <x:c r="AF1469" s="53"/>
    </x:row>
    <x:row r="1470">
      <x:c r="A1470" s="53"/>
      <x:c r="B1470" s="53"/>
      <x:c r="C1470" s="53"/>
      <x:c r="D1470" s="53"/>
      <x:c r="E1470" s="53"/>
      <x:c r="F1470" s="53"/>
      <x:c r="G1470" s="53"/>
      <x:c r="H1470" s="53"/>
      <x:c r="I1470" s="53"/>
      <x:c r="J1470" s="53"/>
      <x:c r="K1470" s="53"/>
      <x:c r="L1470" s="53"/>
      <x:c r="M1470" s="53"/>
      <x:c r="N1470" s="53"/>
      <x:c r="O1470" s="53"/>
      <x:c r="P1470" s="53"/>
      <x:c r="Q1470" s="53"/>
      <x:c r="R1470" s="53"/>
      <x:c r="S1470" s="53"/>
      <x:c r="T1470" s="53"/>
      <x:c r="U1470" s="53"/>
      <x:c r="V1470" s="53"/>
      <x:c r="W1470" s="53"/>
      <x:c r="X1470" s="53"/>
      <x:c r="Y1470" s="53"/>
      <x:c r="Z1470" s="53"/>
      <x:c r="AA1470" s="53"/>
      <x:c r="AB1470" s="53"/>
      <x:c r="AC1470" s="53"/>
      <x:c r="AD1470" s="53"/>
      <x:c r="AE1470" s="53"/>
      <x:c r="AF1470" s="53"/>
    </x:row>
    <x:row r="1471">
      <x:c r="A1471" s="53"/>
      <x:c r="B1471" s="53"/>
      <x:c r="C1471" s="53"/>
      <x:c r="D1471" s="53"/>
      <x:c r="E1471" s="53"/>
      <x:c r="F1471" s="53"/>
      <x:c r="G1471" s="53"/>
      <x:c r="H1471" s="53"/>
      <x:c r="I1471" s="53"/>
      <x:c r="J1471" s="53"/>
      <x:c r="K1471" s="53"/>
      <x:c r="L1471" s="53"/>
      <x:c r="M1471" s="53"/>
      <x:c r="N1471" s="53"/>
      <x:c r="O1471" s="53"/>
      <x:c r="P1471" s="53"/>
      <x:c r="Q1471" s="53"/>
      <x:c r="R1471" s="53"/>
      <x:c r="S1471" s="53"/>
      <x:c r="T1471" s="53"/>
      <x:c r="U1471" s="53"/>
      <x:c r="V1471" s="53"/>
      <x:c r="W1471" s="53"/>
      <x:c r="X1471" s="53"/>
      <x:c r="Y1471" s="53"/>
      <x:c r="Z1471" s="53"/>
      <x:c r="AA1471" s="53"/>
      <x:c r="AB1471" s="53"/>
      <x:c r="AC1471" s="53"/>
      <x:c r="AD1471" s="53"/>
      <x:c r="AE1471" s="53"/>
      <x:c r="AF1471" s="53"/>
    </x:row>
    <x:row r="1472">
      <x:c r="A1472" s="53"/>
      <x:c r="B1472" s="53"/>
      <x:c r="C1472" s="53"/>
      <x:c r="D1472" s="53"/>
      <x:c r="E1472" s="53"/>
      <x:c r="F1472" s="53"/>
      <x:c r="G1472" s="53"/>
      <x:c r="H1472" s="53"/>
      <x:c r="I1472" s="53"/>
      <x:c r="J1472" s="53"/>
      <x:c r="K1472" s="53"/>
      <x:c r="L1472" s="53"/>
      <x:c r="M1472" s="53"/>
      <x:c r="N1472" s="53"/>
      <x:c r="O1472" s="53"/>
      <x:c r="P1472" s="53"/>
      <x:c r="Q1472" s="53"/>
      <x:c r="R1472" s="53"/>
      <x:c r="S1472" s="53"/>
      <x:c r="T1472" s="53"/>
      <x:c r="U1472" s="53"/>
      <x:c r="V1472" s="53"/>
      <x:c r="W1472" s="53"/>
      <x:c r="X1472" s="53"/>
      <x:c r="Y1472" s="53"/>
      <x:c r="Z1472" s="53"/>
      <x:c r="AA1472" s="53"/>
      <x:c r="AB1472" s="53"/>
      <x:c r="AC1472" s="53"/>
      <x:c r="AD1472" s="53"/>
      <x:c r="AE1472" s="53"/>
      <x:c r="AF1472" s="53"/>
    </x:row>
    <x:row r="1473">
      <x:c r="A1473" s="53"/>
      <x:c r="B1473" s="53"/>
      <x:c r="C1473" s="53"/>
      <x:c r="D1473" s="53"/>
      <x:c r="E1473" s="53"/>
      <x:c r="F1473" s="53"/>
      <x:c r="G1473" s="53"/>
      <x:c r="H1473" s="53"/>
      <x:c r="I1473" s="53"/>
      <x:c r="J1473" s="53"/>
      <x:c r="K1473" s="53"/>
      <x:c r="L1473" s="53"/>
      <x:c r="M1473" s="53"/>
      <x:c r="N1473" s="53"/>
      <x:c r="O1473" s="53"/>
      <x:c r="P1473" s="53"/>
      <x:c r="Q1473" s="53"/>
      <x:c r="R1473" s="53"/>
      <x:c r="S1473" s="53"/>
      <x:c r="T1473" s="53"/>
      <x:c r="U1473" s="53"/>
      <x:c r="V1473" s="53"/>
      <x:c r="W1473" s="53"/>
      <x:c r="X1473" s="53"/>
      <x:c r="Y1473" s="53"/>
      <x:c r="Z1473" s="53"/>
      <x:c r="AA1473" s="53"/>
      <x:c r="AB1473" s="53"/>
      <x:c r="AC1473" s="53"/>
      <x:c r="AD1473" s="53"/>
      <x:c r="AE1473" s="53"/>
      <x:c r="AF1473" s="53"/>
    </x:row>
    <x:row r="1474">
      <x:c r="A1474" s="53"/>
      <x:c r="B1474" s="53"/>
      <x:c r="C1474" s="53"/>
      <x:c r="D1474" s="53"/>
      <x:c r="E1474" s="53"/>
      <x:c r="F1474" s="53"/>
      <x:c r="G1474" s="53"/>
      <x:c r="H1474" s="53"/>
      <x:c r="I1474" s="53"/>
      <x:c r="J1474" s="53"/>
      <x:c r="K1474" s="53"/>
      <x:c r="L1474" s="53"/>
      <x:c r="M1474" s="53"/>
      <x:c r="N1474" s="53"/>
      <x:c r="O1474" s="53"/>
      <x:c r="P1474" s="53"/>
      <x:c r="Q1474" s="53"/>
      <x:c r="R1474" s="53"/>
      <x:c r="S1474" s="53"/>
      <x:c r="T1474" s="53"/>
      <x:c r="U1474" s="53"/>
      <x:c r="V1474" s="53"/>
      <x:c r="W1474" s="53"/>
      <x:c r="X1474" s="53"/>
      <x:c r="Y1474" s="53"/>
      <x:c r="Z1474" s="53"/>
      <x:c r="AA1474" s="53"/>
      <x:c r="AB1474" s="53"/>
      <x:c r="AC1474" s="53"/>
      <x:c r="AD1474" s="53"/>
      <x:c r="AE1474" s="53"/>
      <x:c r="AF1474" s="53"/>
    </x:row>
    <x:row r="1475">
      <x:c r="A1475" s="53"/>
      <x:c r="B1475" s="53"/>
      <x:c r="C1475" s="53"/>
      <x:c r="D1475" s="53"/>
      <x:c r="E1475" s="53"/>
      <x:c r="F1475" s="53"/>
      <x:c r="G1475" s="53"/>
      <x:c r="H1475" s="53"/>
      <x:c r="I1475" s="53"/>
      <x:c r="J1475" s="53"/>
      <x:c r="K1475" s="53"/>
      <x:c r="L1475" s="53"/>
      <x:c r="M1475" s="53"/>
      <x:c r="N1475" s="53"/>
      <x:c r="O1475" s="53"/>
      <x:c r="P1475" s="53"/>
      <x:c r="Q1475" s="53"/>
      <x:c r="R1475" s="53"/>
      <x:c r="S1475" s="53"/>
      <x:c r="T1475" s="53"/>
      <x:c r="U1475" s="53"/>
      <x:c r="V1475" s="53"/>
      <x:c r="W1475" s="53"/>
      <x:c r="X1475" s="53"/>
      <x:c r="Y1475" s="53"/>
      <x:c r="Z1475" s="53"/>
      <x:c r="AA1475" s="53"/>
      <x:c r="AB1475" s="53"/>
      <x:c r="AC1475" s="53"/>
      <x:c r="AD1475" s="53"/>
      <x:c r="AE1475" s="53"/>
      <x:c r="AF1475" s="53"/>
    </x:row>
    <x:row r="1476">
      <x:c r="A1476" s="53"/>
      <x:c r="B1476" s="53"/>
      <x:c r="C1476" s="53"/>
      <x:c r="D1476" s="53"/>
      <x:c r="E1476" s="53"/>
      <x:c r="F1476" s="53"/>
      <x:c r="G1476" s="53"/>
      <x:c r="H1476" s="53"/>
      <x:c r="I1476" s="53"/>
      <x:c r="J1476" s="53"/>
      <x:c r="K1476" s="53"/>
      <x:c r="L1476" s="53"/>
      <x:c r="M1476" s="53"/>
      <x:c r="N1476" s="53"/>
      <x:c r="O1476" s="53"/>
      <x:c r="P1476" s="53"/>
      <x:c r="Q1476" s="53"/>
      <x:c r="R1476" s="53"/>
      <x:c r="S1476" s="53"/>
      <x:c r="T1476" s="53"/>
      <x:c r="U1476" s="53"/>
      <x:c r="V1476" s="53"/>
      <x:c r="W1476" s="53"/>
      <x:c r="X1476" s="53"/>
      <x:c r="Y1476" s="53"/>
      <x:c r="Z1476" s="53"/>
      <x:c r="AA1476" s="53"/>
      <x:c r="AB1476" s="53"/>
      <x:c r="AC1476" s="53"/>
      <x:c r="AD1476" s="53"/>
      <x:c r="AE1476" s="53"/>
      <x:c r="AF1476" s="53"/>
    </x:row>
    <x:row r="1477">
      <x:c r="A1477" s="53"/>
      <x:c r="B1477" s="53"/>
      <x:c r="C1477" s="53"/>
      <x:c r="D1477" s="53"/>
      <x:c r="E1477" s="53"/>
      <x:c r="F1477" s="53"/>
      <x:c r="G1477" s="53"/>
      <x:c r="H1477" s="53"/>
      <x:c r="I1477" s="53"/>
      <x:c r="J1477" s="53"/>
      <x:c r="K1477" s="53"/>
      <x:c r="L1477" s="53"/>
      <x:c r="M1477" s="53"/>
      <x:c r="N1477" s="53"/>
      <x:c r="O1477" s="53"/>
      <x:c r="P1477" s="53"/>
      <x:c r="Q1477" s="53"/>
      <x:c r="R1477" s="53"/>
      <x:c r="S1477" s="53"/>
      <x:c r="T1477" s="53"/>
      <x:c r="U1477" s="53"/>
      <x:c r="V1477" s="53"/>
      <x:c r="W1477" s="53"/>
      <x:c r="X1477" s="53"/>
      <x:c r="Y1477" s="53"/>
      <x:c r="Z1477" s="53"/>
      <x:c r="AA1477" s="53"/>
      <x:c r="AB1477" s="53"/>
      <x:c r="AC1477" s="53"/>
      <x:c r="AD1477" s="53"/>
      <x:c r="AE1477" s="53"/>
      <x:c r="AF1477" s="53"/>
    </x:row>
    <x:row r="1478">
      <x:c r="A1478" s="53"/>
      <x:c r="B1478" s="53"/>
      <x:c r="C1478" s="53"/>
      <x:c r="D1478" s="53"/>
      <x:c r="E1478" s="53"/>
      <x:c r="F1478" s="53"/>
      <x:c r="G1478" s="53"/>
      <x:c r="H1478" s="53"/>
      <x:c r="I1478" s="53"/>
      <x:c r="J1478" s="53"/>
      <x:c r="K1478" s="53"/>
      <x:c r="L1478" s="53"/>
      <x:c r="M1478" s="53"/>
      <x:c r="N1478" s="53"/>
      <x:c r="O1478" s="53"/>
      <x:c r="P1478" s="53"/>
      <x:c r="Q1478" s="53"/>
      <x:c r="R1478" s="53"/>
      <x:c r="S1478" s="53"/>
      <x:c r="T1478" s="53"/>
      <x:c r="U1478" s="53"/>
      <x:c r="V1478" s="53"/>
      <x:c r="W1478" s="53"/>
      <x:c r="X1478" s="53"/>
      <x:c r="Y1478" s="53"/>
      <x:c r="Z1478" s="53"/>
      <x:c r="AA1478" s="53"/>
      <x:c r="AB1478" s="53"/>
      <x:c r="AC1478" s="53"/>
      <x:c r="AD1478" s="53"/>
      <x:c r="AE1478" s="53"/>
      <x:c r="AF1478" s="53"/>
    </x:row>
    <x:row r="1479">
      <x:c r="A1479" s="53"/>
      <x:c r="B1479" s="53"/>
      <x:c r="C1479" s="53"/>
      <x:c r="D1479" s="53"/>
      <x:c r="E1479" s="53"/>
      <x:c r="F1479" s="53"/>
      <x:c r="G1479" s="53"/>
      <x:c r="H1479" s="53"/>
      <x:c r="I1479" s="53"/>
      <x:c r="J1479" s="53"/>
      <x:c r="K1479" s="53"/>
      <x:c r="L1479" s="53"/>
      <x:c r="M1479" s="53"/>
      <x:c r="N1479" s="53"/>
      <x:c r="O1479" s="53"/>
      <x:c r="P1479" s="53"/>
      <x:c r="Q1479" s="53"/>
      <x:c r="R1479" s="53"/>
      <x:c r="S1479" s="53"/>
      <x:c r="T1479" s="53"/>
      <x:c r="U1479" s="53"/>
      <x:c r="V1479" s="53"/>
      <x:c r="W1479" s="53"/>
      <x:c r="X1479" s="53"/>
      <x:c r="Y1479" s="53"/>
      <x:c r="Z1479" s="53"/>
      <x:c r="AA1479" s="53"/>
      <x:c r="AB1479" s="53"/>
      <x:c r="AC1479" s="53"/>
      <x:c r="AD1479" s="53"/>
      <x:c r="AE1479" s="53"/>
      <x:c r="AF1479" s="53"/>
    </x:row>
    <x:row r="1480">
      <x:c r="A1480" s="53"/>
      <x:c r="B1480" s="53"/>
      <x:c r="C1480" s="53"/>
      <x:c r="D1480" s="53"/>
      <x:c r="E1480" s="53"/>
      <x:c r="F1480" s="53"/>
      <x:c r="G1480" s="53"/>
      <x:c r="H1480" s="53"/>
      <x:c r="I1480" s="53"/>
      <x:c r="J1480" s="53"/>
      <x:c r="K1480" s="53"/>
      <x:c r="L1480" s="53"/>
      <x:c r="M1480" s="53"/>
      <x:c r="N1480" s="53"/>
      <x:c r="O1480" s="53"/>
      <x:c r="P1480" s="53"/>
      <x:c r="Q1480" s="53"/>
      <x:c r="R1480" s="53"/>
      <x:c r="S1480" s="53"/>
      <x:c r="T1480" s="53"/>
      <x:c r="U1480" s="53"/>
      <x:c r="V1480" s="53"/>
      <x:c r="W1480" s="53"/>
      <x:c r="X1480" s="53"/>
      <x:c r="Y1480" s="53"/>
      <x:c r="Z1480" s="53"/>
      <x:c r="AA1480" s="53"/>
      <x:c r="AB1480" s="53"/>
      <x:c r="AC1480" s="53"/>
      <x:c r="AD1480" s="53"/>
      <x:c r="AE1480" s="53"/>
      <x:c r="AF1480" s="53"/>
    </x:row>
    <x:row r="1481">
      <x:c r="A1481" s="53"/>
      <x:c r="B1481" s="53"/>
      <x:c r="C1481" s="53"/>
      <x:c r="D1481" s="53"/>
      <x:c r="E1481" s="53"/>
      <x:c r="F1481" s="53"/>
      <x:c r="G1481" s="53"/>
      <x:c r="H1481" s="53"/>
      <x:c r="I1481" s="53"/>
      <x:c r="J1481" s="53"/>
      <x:c r="K1481" s="53"/>
      <x:c r="L1481" s="53"/>
      <x:c r="M1481" s="53"/>
      <x:c r="N1481" s="53"/>
      <x:c r="O1481" s="53"/>
      <x:c r="P1481" s="53"/>
      <x:c r="Q1481" s="53"/>
      <x:c r="R1481" s="53"/>
      <x:c r="S1481" s="53"/>
      <x:c r="T1481" s="53"/>
      <x:c r="U1481" s="53"/>
      <x:c r="V1481" s="53"/>
      <x:c r="W1481" s="53"/>
      <x:c r="X1481" s="53"/>
      <x:c r="Y1481" s="53"/>
      <x:c r="Z1481" s="53"/>
      <x:c r="AA1481" s="53"/>
      <x:c r="AB1481" s="53"/>
      <x:c r="AC1481" s="53"/>
      <x:c r="AD1481" s="53"/>
      <x:c r="AE1481" s="53"/>
      <x:c r="AF1481" s="53"/>
    </x:row>
    <x:row r="1482">
      <x:c r="A1482" s="53"/>
      <x:c r="B1482" s="53"/>
      <x:c r="C1482" s="53"/>
      <x:c r="D1482" s="53"/>
      <x:c r="E1482" s="53"/>
      <x:c r="F1482" s="53"/>
      <x:c r="G1482" s="53"/>
      <x:c r="H1482" s="53"/>
      <x:c r="I1482" s="53"/>
      <x:c r="J1482" s="53"/>
      <x:c r="K1482" s="53"/>
      <x:c r="L1482" s="53"/>
      <x:c r="M1482" s="53"/>
      <x:c r="N1482" s="53"/>
      <x:c r="O1482" s="53"/>
      <x:c r="P1482" s="53"/>
      <x:c r="Q1482" s="53"/>
      <x:c r="R1482" s="53"/>
      <x:c r="S1482" s="53"/>
      <x:c r="T1482" s="53"/>
      <x:c r="U1482" s="53"/>
      <x:c r="V1482" s="53"/>
      <x:c r="W1482" s="53"/>
      <x:c r="X1482" s="53"/>
      <x:c r="Y1482" s="53"/>
      <x:c r="Z1482" s="53"/>
      <x:c r="AA1482" s="53"/>
      <x:c r="AB1482" s="53"/>
      <x:c r="AC1482" s="53"/>
      <x:c r="AD1482" s="53"/>
      <x:c r="AE1482" s="53"/>
      <x:c r="AF1482" s="53"/>
    </x:row>
    <x:row r="1483">
      <x:c r="A1483" s="53"/>
      <x:c r="B1483" s="53"/>
      <x:c r="C1483" s="53"/>
      <x:c r="D1483" s="53"/>
      <x:c r="E1483" s="53"/>
      <x:c r="F1483" s="53"/>
      <x:c r="G1483" s="53"/>
      <x:c r="H1483" s="53"/>
      <x:c r="I1483" s="53"/>
      <x:c r="J1483" s="53"/>
      <x:c r="K1483" s="53"/>
      <x:c r="L1483" s="53"/>
      <x:c r="M1483" s="53"/>
      <x:c r="N1483" s="53"/>
      <x:c r="O1483" s="53"/>
      <x:c r="P1483" s="53"/>
      <x:c r="Q1483" s="53"/>
      <x:c r="R1483" s="53"/>
      <x:c r="S1483" s="53"/>
      <x:c r="T1483" s="53"/>
      <x:c r="U1483" s="53"/>
      <x:c r="V1483" s="53"/>
      <x:c r="W1483" s="53"/>
      <x:c r="X1483" s="53"/>
      <x:c r="Y1483" s="53"/>
      <x:c r="Z1483" s="53"/>
      <x:c r="AA1483" s="53"/>
      <x:c r="AB1483" s="53"/>
      <x:c r="AC1483" s="53"/>
      <x:c r="AD1483" s="53"/>
      <x:c r="AE1483" s="53"/>
      <x:c r="AF1483" s="53"/>
    </x:row>
    <x:row r="1484">
      <x:c r="A1484" s="53"/>
      <x:c r="B1484" s="53"/>
      <x:c r="C1484" s="53"/>
      <x:c r="D1484" s="53"/>
      <x:c r="E1484" s="53"/>
      <x:c r="F1484" s="53"/>
      <x:c r="G1484" s="53"/>
      <x:c r="H1484" s="53"/>
      <x:c r="I1484" s="53"/>
      <x:c r="J1484" s="53"/>
      <x:c r="K1484" s="53"/>
      <x:c r="L1484" s="53"/>
      <x:c r="M1484" s="53"/>
      <x:c r="N1484" s="53"/>
      <x:c r="O1484" s="53"/>
      <x:c r="P1484" s="53"/>
      <x:c r="Q1484" s="53"/>
      <x:c r="R1484" s="53"/>
      <x:c r="S1484" s="53"/>
      <x:c r="T1484" s="53"/>
      <x:c r="U1484" s="53"/>
      <x:c r="V1484" s="53"/>
      <x:c r="W1484" s="53"/>
      <x:c r="X1484" s="53"/>
      <x:c r="Y1484" s="53"/>
      <x:c r="Z1484" s="53"/>
      <x:c r="AA1484" s="53"/>
      <x:c r="AB1484" s="53"/>
      <x:c r="AC1484" s="53"/>
      <x:c r="AD1484" s="53"/>
      <x:c r="AE1484" s="53"/>
      <x:c r="AF1484" s="53"/>
    </x:row>
    <x:row r="1485">
      <x:c r="A1485" s="53"/>
      <x:c r="B1485" s="53"/>
      <x:c r="C1485" s="53"/>
      <x:c r="D1485" s="53"/>
      <x:c r="E1485" s="53"/>
      <x:c r="F1485" s="53"/>
      <x:c r="G1485" s="53"/>
      <x:c r="H1485" s="53"/>
      <x:c r="I1485" s="53"/>
      <x:c r="J1485" s="53"/>
      <x:c r="K1485" s="53"/>
      <x:c r="L1485" s="53"/>
      <x:c r="M1485" s="53"/>
      <x:c r="N1485" s="53"/>
      <x:c r="O1485" s="53"/>
      <x:c r="P1485" s="53"/>
      <x:c r="Q1485" s="53"/>
      <x:c r="R1485" s="53"/>
      <x:c r="S1485" s="53"/>
      <x:c r="T1485" s="53"/>
      <x:c r="U1485" s="53"/>
      <x:c r="V1485" s="53"/>
      <x:c r="W1485" s="53"/>
      <x:c r="X1485" s="53"/>
      <x:c r="Y1485" s="53"/>
      <x:c r="Z1485" s="53"/>
      <x:c r="AA1485" s="53"/>
      <x:c r="AB1485" s="53"/>
      <x:c r="AC1485" s="53"/>
      <x:c r="AD1485" s="53"/>
      <x:c r="AE1485" s="53"/>
      <x:c r="AF1485" s="53"/>
    </x:row>
    <x:row r="1486">
      <x:c r="A1486" s="53"/>
      <x:c r="B1486" s="53"/>
      <x:c r="C1486" s="53"/>
      <x:c r="D1486" s="53"/>
      <x:c r="E1486" s="53"/>
      <x:c r="F1486" s="53"/>
      <x:c r="G1486" s="53"/>
      <x:c r="H1486" s="53"/>
      <x:c r="I1486" s="53"/>
      <x:c r="J1486" s="53"/>
      <x:c r="K1486" s="53"/>
      <x:c r="L1486" s="53"/>
      <x:c r="M1486" s="53"/>
      <x:c r="N1486" s="53"/>
      <x:c r="O1486" s="53"/>
      <x:c r="P1486" s="53"/>
      <x:c r="Q1486" s="53"/>
      <x:c r="R1486" s="53"/>
      <x:c r="S1486" s="53"/>
      <x:c r="T1486" s="53"/>
      <x:c r="U1486" s="53"/>
      <x:c r="V1486" s="53"/>
      <x:c r="W1486" s="53"/>
      <x:c r="X1486" s="53"/>
      <x:c r="Y1486" s="53"/>
      <x:c r="Z1486" s="53"/>
      <x:c r="AA1486" s="53"/>
      <x:c r="AB1486" s="53"/>
      <x:c r="AC1486" s="53"/>
      <x:c r="AD1486" s="53"/>
      <x:c r="AE1486" s="53"/>
      <x:c r="AF1486" s="53"/>
    </x:row>
    <x:row r="1487">
      <x:c r="A1487" s="53"/>
      <x:c r="B1487" s="53"/>
      <x:c r="C1487" s="53"/>
      <x:c r="D1487" s="53"/>
      <x:c r="E1487" s="53"/>
      <x:c r="F1487" s="53"/>
      <x:c r="G1487" s="53"/>
      <x:c r="H1487" s="53"/>
      <x:c r="I1487" s="53"/>
      <x:c r="J1487" s="53"/>
      <x:c r="K1487" s="53"/>
      <x:c r="L1487" s="53"/>
      <x:c r="M1487" s="53"/>
      <x:c r="N1487" s="53"/>
      <x:c r="O1487" s="53"/>
      <x:c r="P1487" s="53"/>
      <x:c r="Q1487" s="53"/>
      <x:c r="R1487" s="53"/>
      <x:c r="S1487" s="53"/>
      <x:c r="T1487" s="53"/>
      <x:c r="U1487" s="53"/>
      <x:c r="V1487" s="53"/>
      <x:c r="W1487" s="53"/>
      <x:c r="X1487" s="53"/>
      <x:c r="Y1487" s="53"/>
      <x:c r="Z1487" s="53"/>
      <x:c r="AA1487" s="53"/>
      <x:c r="AB1487" s="53"/>
      <x:c r="AC1487" s="53"/>
      <x:c r="AD1487" s="53"/>
      <x:c r="AE1487" s="53"/>
      <x:c r="AF1487" s="53"/>
    </x:row>
    <x:row r="1488">
      <x:c r="A1488" s="53"/>
      <x:c r="B1488" s="53"/>
      <x:c r="C1488" s="53"/>
      <x:c r="D1488" s="53"/>
      <x:c r="E1488" s="53"/>
      <x:c r="F1488" s="53"/>
      <x:c r="G1488" s="53"/>
      <x:c r="H1488" s="53"/>
      <x:c r="I1488" s="53"/>
      <x:c r="J1488" s="53"/>
      <x:c r="K1488" s="53"/>
      <x:c r="L1488" s="53"/>
      <x:c r="M1488" s="53"/>
      <x:c r="N1488" s="53"/>
      <x:c r="O1488" s="53"/>
      <x:c r="P1488" s="53"/>
      <x:c r="Q1488" s="53"/>
      <x:c r="R1488" s="53"/>
      <x:c r="S1488" s="53"/>
      <x:c r="T1488" s="53"/>
      <x:c r="U1488" s="53"/>
      <x:c r="V1488" s="53"/>
      <x:c r="W1488" s="53"/>
      <x:c r="X1488" s="53"/>
      <x:c r="Y1488" s="53"/>
      <x:c r="Z1488" s="53"/>
      <x:c r="AA1488" s="53"/>
      <x:c r="AB1488" s="53"/>
      <x:c r="AC1488" s="53"/>
      <x:c r="AD1488" s="53"/>
      <x:c r="AE1488" s="53"/>
      <x:c r="AF1488" s="53"/>
    </x:row>
    <x:row r="1489">
      <x:c r="A1489" s="53"/>
      <x:c r="B1489" s="53"/>
      <x:c r="C1489" s="53"/>
      <x:c r="D1489" s="53"/>
      <x:c r="E1489" s="53"/>
      <x:c r="F1489" s="53"/>
      <x:c r="G1489" s="53"/>
      <x:c r="H1489" s="53"/>
      <x:c r="I1489" s="53"/>
      <x:c r="J1489" s="53"/>
      <x:c r="K1489" s="53"/>
      <x:c r="L1489" s="53"/>
      <x:c r="M1489" s="53"/>
      <x:c r="N1489" s="53"/>
      <x:c r="O1489" s="53"/>
      <x:c r="P1489" s="53"/>
      <x:c r="Q1489" s="53"/>
      <x:c r="R1489" s="53"/>
      <x:c r="S1489" s="53"/>
      <x:c r="T1489" s="53"/>
      <x:c r="U1489" s="53"/>
      <x:c r="V1489" s="53"/>
      <x:c r="W1489" s="53"/>
      <x:c r="X1489" s="53"/>
      <x:c r="Y1489" s="53"/>
      <x:c r="Z1489" s="53"/>
      <x:c r="AA1489" s="53"/>
      <x:c r="AB1489" s="53"/>
      <x:c r="AC1489" s="53"/>
      <x:c r="AD1489" s="53"/>
      <x:c r="AE1489" s="53"/>
      <x:c r="AF1489" s="53"/>
    </x:row>
    <x:row r="1490">
      <x:c r="A1490" s="53"/>
      <x:c r="B1490" s="53"/>
      <x:c r="C1490" s="53"/>
      <x:c r="D1490" s="53"/>
      <x:c r="E1490" s="53"/>
      <x:c r="F1490" s="53"/>
      <x:c r="G1490" s="53"/>
      <x:c r="H1490" s="53"/>
      <x:c r="I1490" s="53"/>
      <x:c r="J1490" s="53"/>
      <x:c r="K1490" s="53"/>
      <x:c r="L1490" s="53"/>
      <x:c r="M1490" s="53"/>
      <x:c r="N1490" s="53"/>
      <x:c r="O1490" s="53"/>
      <x:c r="P1490" s="53"/>
      <x:c r="Q1490" s="53"/>
      <x:c r="R1490" s="53"/>
      <x:c r="S1490" s="53"/>
      <x:c r="T1490" s="53"/>
      <x:c r="U1490" s="53"/>
      <x:c r="V1490" s="53"/>
      <x:c r="W1490" s="53"/>
      <x:c r="X1490" s="53"/>
      <x:c r="Y1490" s="53"/>
      <x:c r="Z1490" s="53"/>
      <x:c r="AA1490" s="53"/>
      <x:c r="AB1490" s="53"/>
      <x:c r="AC1490" s="53"/>
      <x:c r="AD1490" s="53"/>
      <x:c r="AE1490" s="53"/>
      <x:c r="AF1490" s="53"/>
    </x:row>
    <x:row r="1491">
      <x:c r="A1491" s="53"/>
      <x:c r="B1491" s="53"/>
      <x:c r="C1491" s="53"/>
      <x:c r="D1491" s="53"/>
      <x:c r="E1491" s="53"/>
      <x:c r="F1491" s="53"/>
      <x:c r="G1491" s="53"/>
      <x:c r="H1491" s="53"/>
      <x:c r="I1491" s="53"/>
      <x:c r="J1491" s="53"/>
      <x:c r="K1491" s="53"/>
      <x:c r="L1491" s="53"/>
      <x:c r="M1491" s="53"/>
      <x:c r="N1491" s="53"/>
      <x:c r="O1491" s="53"/>
      <x:c r="P1491" s="53"/>
      <x:c r="Q1491" s="53"/>
      <x:c r="R1491" s="53"/>
      <x:c r="S1491" s="53"/>
      <x:c r="T1491" s="53"/>
      <x:c r="U1491" s="53"/>
      <x:c r="V1491" s="53"/>
      <x:c r="W1491" s="53"/>
      <x:c r="X1491" s="53"/>
      <x:c r="Y1491" s="53"/>
      <x:c r="Z1491" s="53"/>
      <x:c r="AA1491" s="53"/>
      <x:c r="AB1491" s="53"/>
      <x:c r="AC1491" s="53"/>
      <x:c r="AD1491" s="53"/>
      <x:c r="AE1491" s="53"/>
      <x:c r="AF1491" s="53"/>
    </x:row>
    <x:row r="1492">
      <x:c r="A1492" s="53"/>
      <x:c r="B1492" s="53"/>
      <x:c r="C1492" s="53"/>
      <x:c r="D1492" s="53"/>
      <x:c r="E1492" s="53"/>
      <x:c r="F1492" s="53"/>
      <x:c r="G1492" s="53"/>
      <x:c r="H1492" s="53"/>
      <x:c r="I1492" s="53"/>
      <x:c r="J1492" s="53"/>
      <x:c r="K1492" s="53"/>
      <x:c r="L1492" s="53"/>
      <x:c r="M1492" s="53"/>
      <x:c r="N1492" s="53"/>
      <x:c r="O1492" s="53"/>
      <x:c r="P1492" s="53"/>
      <x:c r="Q1492" s="53"/>
      <x:c r="R1492" s="53"/>
      <x:c r="S1492" s="53"/>
      <x:c r="T1492" s="53"/>
      <x:c r="U1492" s="53"/>
      <x:c r="V1492" s="53"/>
      <x:c r="W1492" s="53"/>
      <x:c r="X1492" s="53"/>
      <x:c r="Y1492" s="53"/>
      <x:c r="Z1492" s="53"/>
      <x:c r="AA1492" s="53"/>
      <x:c r="AB1492" s="53"/>
      <x:c r="AC1492" s="53"/>
      <x:c r="AD1492" s="53"/>
      <x:c r="AE1492" s="53"/>
      <x:c r="AF1492" s="53"/>
    </x:row>
    <x:row r="1493">
      <x:c r="A1493" s="53"/>
      <x:c r="B1493" s="53"/>
      <x:c r="C1493" s="53"/>
      <x:c r="D1493" s="53"/>
      <x:c r="E1493" s="53"/>
      <x:c r="F1493" s="53"/>
      <x:c r="G1493" s="53"/>
      <x:c r="H1493" s="53"/>
      <x:c r="I1493" s="53"/>
      <x:c r="J1493" s="53"/>
      <x:c r="K1493" s="53"/>
      <x:c r="L1493" s="53"/>
      <x:c r="M1493" s="53"/>
      <x:c r="N1493" s="53"/>
      <x:c r="O1493" s="53"/>
      <x:c r="P1493" s="53"/>
      <x:c r="Q1493" s="53"/>
      <x:c r="R1493" s="53"/>
      <x:c r="S1493" s="53"/>
      <x:c r="T1493" s="53"/>
      <x:c r="U1493" s="53"/>
      <x:c r="V1493" s="53"/>
      <x:c r="W1493" s="53"/>
      <x:c r="X1493" s="53"/>
      <x:c r="Y1493" s="53"/>
      <x:c r="Z1493" s="53"/>
      <x:c r="AA1493" s="53"/>
      <x:c r="AB1493" s="53"/>
      <x:c r="AC1493" s="53"/>
      <x:c r="AD1493" s="53"/>
      <x:c r="AE1493" s="53"/>
      <x:c r="AF1493" s="53"/>
    </x:row>
    <x:row r="1494">
      <x:c r="A1494" s="53"/>
      <x:c r="B1494" s="53"/>
      <x:c r="C1494" s="53"/>
      <x:c r="D1494" s="53"/>
      <x:c r="E1494" s="53"/>
      <x:c r="F1494" s="53"/>
      <x:c r="G1494" s="53"/>
      <x:c r="H1494" s="53"/>
      <x:c r="I1494" s="53"/>
      <x:c r="J1494" s="53"/>
      <x:c r="K1494" s="53"/>
      <x:c r="L1494" s="53"/>
      <x:c r="M1494" s="53"/>
      <x:c r="N1494" s="53"/>
      <x:c r="O1494" s="53"/>
      <x:c r="P1494" s="53"/>
      <x:c r="Q1494" s="53"/>
      <x:c r="R1494" s="53"/>
      <x:c r="S1494" s="53"/>
      <x:c r="T1494" s="53"/>
      <x:c r="U1494" s="53"/>
      <x:c r="V1494" s="53"/>
      <x:c r="W1494" s="53"/>
      <x:c r="X1494" s="53"/>
      <x:c r="Y1494" s="53"/>
      <x:c r="Z1494" s="53"/>
      <x:c r="AA1494" s="53"/>
      <x:c r="AB1494" s="53"/>
      <x:c r="AC1494" s="53"/>
      <x:c r="AD1494" s="53"/>
      <x:c r="AE1494" s="53"/>
      <x:c r="AF1494" s="53"/>
    </x:row>
    <x:row r="1495">
      <x:c r="A1495" s="53"/>
      <x:c r="B1495" s="53"/>
      <x:c r="C1495" s="53"/>
      <x:c r="D1495" s="53"/>
      <x:c r="E1495" s="53"/>
      <x:c r="F1495" s="53"/>
      <x:c r="G1495" s="53"/>
      <x:c r="H1495" s="53"/>
      <x:c r="I1495" s="53"/>
      <x:c r="J1495" s="53"/>
      <x:c r="K1495" s="53"/>
      <x:c r="L1495" s="53"/>
      <x:c r="M1495" s="53"/>
      <x:c r="N1495" s="53"/>
      <x:c r="O1495" s="53"/>
      <x:c r="P1495" s="53"/>
      <x:c r="Q1495" s="53"/>
      <x:c r="R1495" s="53"/>
      <x:c r="S1495" s="53"/>
      <x:c r="T1495" s="53"/>
      <x:c r="U1495" s="53"/>
      <x:c r="V1495" s="53"/>
      <x:c r="W1495" s="53"/>
      <x:c r="X1495" s="53"/>
      <x:c r="Y1495" s="53"/>
      <x:c r="Z1495" s="53"/>
      <x:c r="AA1495" s="53"/>
      <x:c r="AB1495" s="53"/>
      <x:c r="AC1495" s="53"/>
      <x:c r="AD1495" s="53"/>
      <x:c r="AE1495" s="53"/>
      <x:c r="AF1495" s="53"/>
    </x:row>
    <x:row r="1496">
      <x:c r="A1496" s="53"/>
      <x:c r="B1496" s="53"/>
      <x:c r="C1496" s="53"/>
      <x:c r="D1496" s="53"/>
      <x:c r="E1496" s="53"/>
      <x:c r="F1496" s="53"/>
      <x:c r="G1496" s="53"/>
      <x:c r="H1496" s="53"/>
      <x:c r="I1496" s="53"/>
      <x:c r="J1496" s="53"/>
      <x:c r="K1496" s="53"/>
      <x:c r="L1496" s="53"/>
      <x:c r="M1496" s="53"/>
      <x:c r="N1496" s="53"/>
      <x:c r="O1496" s="53"/>
      <x:c r="P1496" s="53"/>
      <x:c r="Q1496" s="53"/>
      <x:c r="R1496" s="53"/>
      <x:c r="S1496" s="53"/>
      <x:c r="T1496" s="53"/>
      <x:c r="U1496" s="53"/>
      <x:c r="V1496" s="53"/>
      <x:c r="W1496" s="53"/>
      <x:c r="X1496" s="53"/>
      <x:c r="Y1496" s="53"/>
      <x:c r="Z1496" s="53"/>
      <x:c r="AA1496" s="53"/>
      <x:c r="AB1496" s="53"/>
      <x:c r="AC1496" s="53"/>
      <x:c r="AD1496" s="53"/>
      <x:c r="AE1496" s="53"/>
      <x:c r="AF1496" s="53"/>
    </x:row>
    <x:row r="1497">
      <x:c r="A1497" s="53"/>
      <x:c r="B1497" s="53"/>
      <x:c r="C1497" s="53"/>
      <x:c r="D1497" s="53"/>
      <x:c r="E1497" s="53"/>
      <x:c r="F1497" s="53"/>
      <x:c r="G1497" s="53"/>
      <x:c r="H1497" s="53"/>
      <x:c r="I1497" s="53"/>
      <x:c r="J1497" s="53"/>
      <x:c r="K1497" s="53"/>
      <x:c r="L1497" s="53"/>
      <x:c r="M1497" s="53"/>
      <x:c r="N1497" s="53"/>
      <x:c r="O1497" s="53"/>
      <x:c r="P1497" s="53"/>
      <x:c r="Q1497" s="53"/>
      <x:c r="R1497" s="53"/>
      <x:c r="S1497" s="53"/>
      <x:c r="T1497" s="53"/>
      <x:c r="U1497" s="53"/>
      <x:c r="V1497" s="53"/>
      <x:c r="W1497" s="53"/>
      <x:c r="X1497" s="53"/>
      <x:c r="Y1497" s="53"/>
      <x:c r="Z1497" s="53"/>
      <x:c r="AA1497" s="53"/>
      <x:c r="AB1497" s="53"/>
      <x:c r="AC1497" s="53"/>
      <x:c r="AD1497" s="53"/>
      <x:c r="AE1497" s="53"/>
      <x:c r="AF1497" s="53"/>
    </x:row>
    <x:row r="1498">
      <x:c r="A1498" s="53"/>
      <x:c r="B1498" s="53"/>
      <x:c r="C1498" s="53"/>
      <x:c r="D1498" s="53"/>
      <x:c r="E1498" s="53"/>
      <x:c r="F1498" s="53"/>
      <x:c r="G1498" s="53"/>
      <x:c r="H1498" s="53"/>
      <x:c r="I1498" s="53"/>
      <x:c r="J1498" s="53"/>
      <x:c r="K1498" s="53"/>
      <x:c r="L1498" s="53"/>
      <x:c r="M1498" s="53"/>
      <x:c r="N1498" s="53"/>
      <x:c r="O1498" s="53"/>
      <x:c r="P1498" s="53"/>
      <x:c r="Q1498" s="53"/>
      <x:c r="R1498" s="53"/>
      <x:c r="S1498" s="53"/>
      <x:c r="T1498" s="53"/>
      <x:c r="U1498" s="53"/>
      <x:c r="V1498" s="53"/>
      <x:c r="W1498" s="53"/>
      <x:c r="X1498" s="53"/>
      <x:c r="Y1498" s="53"/>
      <x:c r="Z1498" s="53"/>
      <x:c r="AA1498" s="53"/>
      <x:c r="AB1498" s="53"/>
      <x:c r="AC1498" s="53"/>
      <x:c r="AD1498" s="53"/>
      <x:c r="AE1498" s="53"/>
      <x:c r="AF1498" s="53"/>
    </x:row>
    <x:row r="1499">
      <x:c r="A1499" s="53"/>
      <x:c r="B1499" s="53"/>
      <x:c r="C1499" s="53"/>
      <x:c r="D1499" s="53"/>
      <x:c r="E1499" s="53"/>
      <x:c r="F1499" s="53"/>
      <x:c r="G1499" s="53"/>
      <x:c r="H1499" s="53"/>
      <x:c r="I1499" s="53"/>
      <x:c r="J1499" s="53"/>
      <x:c r="K1499" s="53"/>
      <x:c r="L1499" s="53"/>
      <x:c r="M1499" s="53"/>
      <x:c r="N1499" s="53"/>
      <x:c r="O1499" s="53"/>
      <x:c r="P1499" s="53"/>
      <x:c r="Q1499" s="53"/>
      <x:c r="R1499" s="53"/>
      <x:c r="S1499" s="53"/>
      <x:c r="T1499" s="53"/>
      <x:c r="U1499" s="53"/>
      <x:c r="V1499" s="53"/>
      <x:c r="W1499" s="53"/>
      <x:c r="X1499" s="53"/>
      <x:c r="Y1499" s="53"/>
      <x:c r="Z1499" s="53"/>
      <x:c r="AA1499" s="53"/>
      <x:c r="AB1499" s="53"/>
      <x:c r="AC1499" s="53"/>
      <x:c r="AD1499" s="53"/>
      <x:c r="AE1499" s="53"/>
      <x:c r="AF1499" s="53"/>
    </x:row>
    <x:row r="1500">
      <x:c r="A1500" s="53"/>
      <x:c r="B1500" s="53"/>
      <x:c r="C1500" s="53"/>
      <x:c r="D1500" s="53"/>
      <x:c r="E1500" s="53"/>
      <x:c r="F1500" s="53"/>
      <x:c r="G1500" s="53"/>
      <x:c r="H1500" s="53"/>
      <x:c r="I1500" s="53"/>
      <x:c r="J1500" s="53"/>
      <x:c r="K1500" s="53"/>
      <x:c r="L1500" s="53"/>
      <x:c r="M1500" s="53"/>
      <x:c r="N1500" s="53"/>
      <x:c r="O1500" s="53"/>
      <x:c r="P1500" s="53"/>
      <x:c r="Q1500" s="53"/>
      <x:c r="R1500" s="53"/>
      <x:c r="S1500" s="53"/>
      <x:c r="T1500" s="53"/>
      <x:c r="U1500" s="53"/>
      <x:c r="V1500" s="53"/>
      <x:c r="W1500" s="53"/>
      <x:c r="X1500" s="53"/>
      <x:c r="Y1500" s="53"/>
      <x:c r="Z1500" s="53"/>
      <x:c r="AA1500" s="53"/>
      <x:c r="AB1500" s="53"/>
      <x:c r="AC1500" s="53"/>
      <x:c r="AD1500" s="53"/>
      <x:c r="AE1500" s="53"/>
      <x:c r="AF1500" s="53"/>
    </x:row>
    <x:row r="1501">
      <x:c r="A1501" s="53"/>
      <x:c r="B1501" s="53"/>
      <x:c r="C1501" s="53"/>
      <x:c r="D1501" s="53"/>
      <x:c r="E1501" s="53"/>
      <x:c r="F1501" s="53"/>
      <x:c r="G1501" s="53"/>
      <x:c r="H1501" s="53"/>
      <x:c r="I1501" s="53"/>
      <x:c r="J1501" s="53"/>
      <x:c r="K1501" s="53"/>
      <x:c r="L1501" s="53"/>
      <x:c r="M1501" s="53"/>
      <x:c r="N1501" s="53"/>
      <x:c r="O1501" s="53"/>
      <x:c r="P1501" s="53"/>
      <x:c r="Q1501" s="53"/>
      <x:c r="R1501" s="53"/>
      <x:c r="S1501" s="53"/>
      <x:c r="T1501" s="53"/>
      <x:c r="U1501" s="53"/>
      <x:c r="V1501" s="53"/>
      <x:c r="W1501" s="53"/>
      <x:c r="X1501" s="53"/>
      <x:c r="Y1501" s="53"/>
      <x:c r="Z1501" s="53"/>
      <x:c r="AA1501" s="53"/>
      <x:c r="AB1501" s="53"/>
      <x:c r="AC1501" s="53"/>
      <x:c r="AD1501" s="53"/>
      <x:c r="AE1501" s="53"/>
      <x:c r="AF1501" s="53"/>
    </x:row>
    <x:row r="1502">
      <x:c r="A1502" s="53"/>
      <x:c r="B1502" s="53"/>
      <x:c r="C1502" s="53"/>
      <x:c r="D1502" s="53"/>
      <x:c r="E1502" s="53"/>
      <x:c r="F1502" s="53"/>
      <x:c r="G1502" s="53"/>
      <x:c r="H1502" s="53"/>
      <x:c r="I1502" s="53"/>
      <x:c r="J1502" s="53"/>
      <x:c r="K1502" s="53"/>
      <x:c r="L1502" s="53"/>
      <x:c r="M1502" s="53"/>
      <x:c r="N1502" s="53"/>
      <x:c r="O1502" s="53"/>
      <x:c r="P1502" s="53"/>
      <x:c r="Q1502" s="53"/>
      <x:c r="R1502" s="53"/>
      <x:c r="S1502" s="53"/>
      <x:c r="T1502" s="53"/>
      <x:c r="U1502" s="53"/>
      <x:c r="V1502" s="53"/>
      <x:c r="W1502" s="53"/>
      <x:c r="X1502" s="53"/>
      <x:c r="Y1502" s="53"/>
      <x:c r="Z1502" s="53"/>
      <x:c r="AA1502" s="53"/>
      <x:c r="AB1502" s="53"/>
      <x:c r="AC1502" s="53"/>
      <x:c r="AD1502" s="53"/>
      <x:c r="AE1502" s="53"/>
      <x:c r="AF1502" s="53"/>
    </x:row>
    <x:row r="1503">
      <x:c r="A1503" s="53"/>
      <x:c r="B1503" s="53"/>
      <x:c r="C1503" s="53"/>
      <x:c r="D1503" s="53"/>
      <x:c r="E1503" s="53"/>
      <x:c r="F1503" s="53"/>
      <x:c r="G1503" s="53"/>
      <x:c r="H1503" s="53"/>
      <x:c r="I1503" s="53"/>
      <x:c r="J1503" s="53"/>
      <x:c r="K1503" s="53"/>
      <x:c r="L1503" s="53"/>
      <x:c r="M1503" s="53"/>
      <x:c r="N1503" s="53"/>
      <x:c r="O1503" s="53"/>
      <x:c r="P1503" s="53"/>
      <x:c r="Q1503" s="53"/>
      <x:c r="R1503" s="53"/>
      <x:c r="S1503" s="53"/>
      <x:c r="T1503" s="53"/>
      <x:c r="U1503" s="53"/>
      <x:c r="V1503" s="53"/>
      <x:c r="W1503" s="53"/>
      <x:c r="X1503" s="53"/>
      <x:c r="Y1503" s="53"/>
      <x:c r="Z1503" s="53"/>
      <x:c r="AA1503" s="53"/>
      <x:c r="AB1503" s="53"/>
      <x:c r="AC1503" s="53"/>
      <x:c r="AD1503" s="53"/>
      <x:c r="AE1503" s="53"/>
      <x:c r="AF1503" s="53"/>
    </x:row>
    <x:row r="1504">
      <x:c r="A1504" s="53"/>
      <x:c r="B1504" s="53"/>
      <x:c r="C1504" s="53"/>
      <x:c r="D1504" s="53"/>
      <x:c r="E1504" s="53"/>
      <x:c r="F1504" s="53"/>
      <x:c r="G1504" s="53"/>
      <x:c r="H1504" s="53"/>
      <x:c r="I1504" s="53"/>
      <x:c r="J1504" s="53"/>
      <x:c r="K1504" s="53"/>
      <x:c r="L1504" s="53"/>
      <x:c r="M1504" s="53"/>
      <x:c r="N1504" s="53"/>
      <x:c r="O1504" s="53"/>
      <x:c r="P1504" s="53"/>
      <x:c r="Q1504" s="53"/>
      <x:c r="R1504" s="53"/>
      <x:c r="S1504" s="53"/>
      <x:c r="T1504" s="53"/>
      <x:c r="U1504" s="53"/>
      <x:c r="V1504" s="53"/>
      <x:c r="W1504" s="53"/>
      <x:c r="X1504" s="53"/>
      <x:c r="Y1504" s="53"/>
      <x:c r="Z1504" s="53"/>
      <x:c r="AA1504" s="53"/>
      <x:c r="AB1504" s="53"/>
      <x:c r="AC1504" s="53"/>
      <x:c r="AD1504" s="53"/>
      <x:c r="AE1504" s="53"/>
      <x:c r="AF1504" s="53"/>
    </x:row>
    <x:row r="1505">
      <x:c r="A1505" s="53"/>
      <x:c r="B1505" s="53"/>
      <x:c r="C1505" s="53"/>
      <x:c r="D1505" s="53"/>
      <x:c r="E1505" s="53"/>
      <x:c r="F1505" s="53"/>
      <x:c r="G1505" s="53"/>
      <x:c r="H1505" s="53"/>
      <x:c r="I1505" s="53"/>
      <x:c r="J1505" s="53"/>
      <x:c r="K1505" s="53"/>
      <x:c r="L1505" s="53"/>
      <x:c r="M1505" s="53"/>
      <x:c r="N1505" s="53"/>
      <x:c r="O1505" s="53"/>
      <x:c r="P1505" s="53"/>
      <x:c r="Q1505" s="53"/>
      <x:c r="R1505" s="53"/>
      <x:c r="S1505" s="53"/>
      <x:c r="T1505" s="53"/>
      <x:c r="U1505" s="53"/>
      <x:c r="V1505" s="53"/>
      <x:c r="W1505" s="53"/>
      <x:c r="X1505" s="53"/>
      <x:c r="Y1505" s="53"/>
      <x:c r="Z1505" s="53"/>
      <x:c r="AA1505" s="53"/>
      <x:c r="AB1505" s="53"/>
      <x:c r="AC1505" s="53"/>
      <x:c r="AD1505" s="53"/>
      <x:c r="AE1505" s="53"/>
      <x:c r="AF1505" s="53"/>
    </x:row>
    <x:row r="1506">
      <x:c r="A1506" s="53"/>
      <x:c r="B1506" s="53"/>
      <x:c r="C1506" s="53"/>
      <x:c r="D1506" s="53"/>
      <x:c r="E1506" s="53"/>
      <x:c r="F1506" s="53"/>
      <x:c r="G1506" s="53"/>
      <x:c r="H1506" s="53"/>
      <x:c r="I1506" s="53"/>
      <x:c r="J1506" s="53"/>
      <x:c r="K1506" s="53"/>
      <x:c r="L1506" s="53"/>
      <x:c r="M1506" s="53"/>
      <x:c r="N1506" s="53"/>
      <x:c r="O1506" s="53"/>
      <x:c r="P1506" s="53"/>
      <x:c r="Q1506" s="53"/>
      <x:c r="R1506" s="53"/>
      <x:c r="S1506" s="53"/>
      <x:c r="T1506" s="53"/>
      <x:c r="U1506" s="53"/>
      <x:c r="V1506" s="53"/>
      <x:c r="W1506" s="53"/>
      <x:c r="X1506" s="53"/>
      <x:c r="Y1506" s="53"/>
      <x:c r="Z1506" s="53"/>
      <x:c r="AA1506" s="53"/>
      <x:c r="AB1506" s="53"/>
      <x:c r="AC1506" s="53"/>
      <x:c r="AD1506" s="53"/>
      <x:c r="AE1506" s="53"/>
      <x:c r="AF1506" s="53"/>
    </x:row>
    <x:row r="1507">
      <x:c r="A1507" s="53"/>
      <x:c r="B1507" s="53"/>
      <x:c r="C1507" s="53"/>
      <x:c r="D1507" s="53"/>
      <x:c r="E1507" s="53"/>
      <x:c r="F1507" s="53"/>
      <x:c r="G1507" s="53"/>
      <x:c r="H1507" s="53"/>
      <x:c r="I1507" s="53"/>
      <x:c r="J1507" s="53"/>
      <x:c r="K1507" s="53"/>
      <x:c r="L1507" s="53"/>
      <x:c r="M1507" s="53"/>
      <x:c r="N1507" s="53"/>
      <x:c r="O1507" s="53"/>
      <x:c r="P1507" s="53"/>
      <x:c r="Q1507" s="53"/>
      <x:c r="R1507" s="53"/>
      <x:c r="S1507" s="53"/>
      <x:c r="T1507" s="53"/>
      <x:c r="U1507" s="53"/>
      <x:c r="V1507" s="53"/>
      <x:c r="W1507" s="53"/>
      <x:c r="X1507" s="53"/>
      <x:c r="Y1507" s="53"/>
      <x:c r="Z1507" s="53"/>
      <x:c r="AA1507" s="53"/>
      <x:c r="AB1507" s="53"/>
      <x:c r="AC1507" s="53"/>
      <x:c r="AD1507" s="53"/>
      <x:c r="AE1507" s="53"/>
      <x:c r="AF1507" s="53"/>
    </x:row>
    <x:row r="1508">
      <x:c r="A1508" s="53"/>
      <x:c r="B1508" s="53"/>
      <x:c r="C1508" s="53"/>
      <x:c r="D1508" s="53"/>
      <x:c r="E1508" s="53"/>
      <x:c r="F1508" s="53"/>
      <x:c r="G1508" s="53"/>
      <x:c r="H1508" s="53"/>
      <x:c r="I1508" s="53"/>
      <x:c r="J1508" s="53"/>
      <x:c r="K1508" s="53"/>
      <x:c r="L1508" s="53"/>
      <x:c r="M1508" s="53"/>
      <x:c r="N1508" s="53"/>
      <x:c r="O1508" s="53"/>
      <x:c r="P1508" s="53"/>
      <x:c r="Q1508" s="53"/>
      <x:c r="R1508" s="53"/>
      <x:c r="S1508" s="53"/>
      <x:c r="T1508" s="53"/>
      <x:c r="U1508" s="53"/>
      <x:c r="V1508" s="53"/>
      <x:c r="W1508" s="53"/>
      <x:c r="X1508" s="53"/>
      <x:c r="Y1508" s="53"/>
      <x:c r="Z1508" s="53"/>
      <x:c r="AA1508" s="53"/>
      <x:c r="AB1508" s="53"/>
      <x:c r="AC1508" s="53"/>
      <x:c r="AD1508" s="53"/>
      <x:c r="AE1508" s="53"/>
      <x:c r="AF1508" s="53"/>
    </x:row>
    <x:row r="1509">
      <x:c r="A1509" s="53"/>
      <x:c r="B1509" s="53"/>
      <x:c r="C1509" s="53"/>
      <x:c r="D1509" s="53"/>
      <x:c r="E1509" s="53"/>
      <x:c r="F1509" s="53"/>
      <x:c r="G1509" s="53"/>
      <x:c r="H1509" s="53"/>
      <x:c r="I1509" s="53"/>
      <x:c r="J1509" s="53"/>
      <x:c r="K1509" s="53"/>
      <x:c r="L1509" s="53"/>
      <x:c r="M1509" s="53"/>
      <x:c r="N1509" s="53"/>
      <x:c r="O1509" s="53"/>
      <x:c r="P1509" s="53"/>
      <x:c r="Q1509" s="53"/>
      <x:c r="R1509" s="53"/>
      <x:c r="S1509" s="53"/>
      <x:c r="T1509" s="53"/>
      <x:c r="U1509" s="53"/>
      <x:c r="V1509" s="53"/>
      <x:c r="W1509" s="53"/>
      <x:c r="X1509" s="53"/>
      <x:c r="Y1509" s="53"/>
      <x:c r="Z1509" s="53"/>
      <x:c r="AA1509" s="53"/>
      <x:c r="AB1509" s="53"/>
      <x:c r="AC1509" s="53"/>
      <x:c r="AD1509" s="53"/>
      <x:c r="AE1509" s="53"/>
      <x:c r="AF1509" s="53"/>
    </x:row>
    <x:row r="1510">
      <x:c r="A1510" s="53"/>
      <x:c r="B1510" s="53"/>
      <x:c r="C1510" s="53"/>
      <x:c r="D1510" s="53"/>
      <x:c r="E1510" s="53"/>
      <x:c r="F1510" s="53"/>
      <x:c r="G1510" s="53"/>
      <x:c r="H1510" s="53"/>
      <x:c r="I1510" s="53"/>
      <x:c r="J1510" s="53"/>
      <x:c r="K1510" s="53"/>
      <x:c r="L1510" s="53"/>
      <x:c r="M1510" s="53"/>
      <x:c r="N1510" s="53"/>
      <x:c r="O1510" s="53"/>
      <x:c r="P1510" s="53"/>
      <x:c r="Q1510" s="53"/>
      <x:c r="R1510" s="53"/>
      <x:c r="S1510" s="53"/>
      <x:c r="T1510" s="53"/>
      <x:c r="U1510" s="53"/>
      <x:c r="V1510" s="53"/>
      <x:c r="W1510" s="53"/>
      <x:c r="X1510" s="53"/>
      <x:c r="Y1510" s="53"/>
      <x:c r="Z1510" s="53"/>
      <x:c r="AA1510" s="53"/>
      <x:c r="AB1510" s="53"/>
      <x:c r="AC1510" s="53"/>
      <x:c r="AD1510" s="53"/>
      <x:c r="AE1510" s="53"/>
      <x:c r="AF1510" s="53"/>
    </x:row>
    <x:row r="1511">
      <x:c r="A1511" s="53"/>
      <x:c r="B1511" s="53"/>
      <x:c r="C1511" s="53"/>
      <x:c r="D1511" s="53"/>
      <x:c r="E1511" s="53"/>
      <x:c r="F1511" s="53"/>
      <x:c r="G1511" s="53"/>
      <x:c r="H1511" s="53"/>
      <x:c r="I1511" s="53"/>
      <x:c r="J1511" s="53"/>
      <x:c r="K1511" s="53"/>
      <x:c r="L1511" s="53"/>
      <x:c r="M1511" s="53"/>
      <x:c r="N1511" s="53"/>
      <x:c r="O1511" s="53"/>
      <x:c r="P1511" s="53"/>
      <x:c r="Q1511" s="53"/>
      <x:c r="R1511" s="53"/>
      <x:c r="S1511" s="53"/>
      <x:c r="T1511" s="53"/>
      <x:c r="U1511" s="53"/>
      <x:c r="V1511" s="53"/>
      <x:c r="W1511" s="53"/>
      <x:c r="X1511" s="53"/>
      <x:c r="Y1511" s="53"/>
      <x:c r="Z1511" s="53"/>
      <x:c r="AA1511" s="53"/>
      <x:c r="AB1511" s="53"/>
      <x:c r="AC1511" s="53"/>
      <x:c r="AD1511" s="53"/>
      <x:c r="AE1511" s="53"/>
      <x:c r="AF1511" s="53"/>
    </x:row>
    <x:row r="1512">
      <x:c r="A1512" s="53"/>
      <x:c r="B1512" s="53"/>
      <x:c r="C1512" s="53"/>
      <x:c r="D1512" s="53"/>
      <x:c r="E1512" s="53"/>
      <x:c r="F1512" s="53"/>
      <x:c r="G1512" s="53"/>
      <x:c r="H1512" s="53"/>
      <x:c r="I1512" s="53"/>
      <x:c r="J1512" s="53"/>
      <x:c r="K1512" s="53"/>
      <x:c r="L1512" s="53"/>
      <x:c r="M1512" s="53"/>
      <x:c r="N1512" s="53"/>
      <x:c r="O1512" s="53"/>
      <x:c r="P1512" s="53"/>
      <x:c r="Q1512" s="53"/>
      <x:c r="R1512" s="53"/>
      <x:c r="S1512" s="53"/>
      <x:c r="T1512" s="53"/>
      <x:c r="U1512" s="53"/>
      <x:c r="V1512" s="53"/>
      <x:c r="W1512" s="53"/>
      <x:c r="X1512" s="53"/>
      <x:c r="Y1512" s="53"/>
      <x:c r="Z1512" s="53"/>
      <x:c r="AA1512" s="53"/>
      <x:c r="AB1512" s="53"/>
      <x:c r="AC1512" s="53"/>
      <x:c r="AD1512" s="53"/>
      <x:c r="AE1512" s="53"/>
      <x:c r="AF1512" s="53"/>
    </x:row>
    <x:row r="1513">
      <x:c r="A1513" s="53"/>
      <x:c r="B1513" s="53"/>
      <x:c r="C1513" s="53"/>
      <x:c r="D1513" s="53"/>
      <x:c r="E1513" s="53"/>
      <x:c r="F1513" s="53"/>
      <x:c r="G1513" s="53"/>
      <x:c r="H1513" s="53"/>
      <x:c r="I1513" s="53"/>
      <x:c r="J1513" s="53"/>
      <x:c r="K1513" s="53"/>
      <x:c r="L1513" s="53"/>
      <x:c r="M1513" s="53"/>
      <x:c r="N1513" s="53"/>
      <x:c r="O1513" s="53"/>
      <x:c r="P1513" s="53"/>
      <x:c r="Q1513" s="53"/>
      <x:c r="R1513" s="53"/>
      <x:c r="S1513" s="53"/>
      <x:c r="T1513" s="53"/>
      <x:c r="U1513" s="53"/>
      <x:c r="V1513" s="53"/>
      <x:c r="W1513" s="53"/>
      <x:c r="X1513" s="53"/>
      <x:c r="Y1513" s="53"/>
      <x:c r="Z1513" s="53"/>
      <x:c r="AA1513" s="53"/>
      <x:c r="AB1513" s="53"/>
      <x:c r="AC1513" s="53"/>
      <x:c r="AD1513" s="53"/>
      <x:c r="AE1513" s="53"/>
      <x:c r="AF1513" s="53"/>
    </x:row>
    <x:row r="1514">
      <x:c r="A1514" s="53"/>
      <x:c r="B1514" s="53"/>
      <x:c r="C1514" s="53"/>
      <x:c r="D1514" s="53"/>
      <x:c r="E1514" s="53"/>
      <x:c r="F1514" s="53"/>
      <x:c r="G1514" s="53"/>
      <x:c r="H1514" s="53"/>
      <x:c r="I1514" s="53"/>
      <x:c r="J1514" s="53"/>
      <x:c r="K1514" s="53"/>
      <x:c r="L1514" s="53"/>
      <x:c r="M1514" s="53"/>
      <x:c r="N1514" s="53"/>
      <x:c r="O1514" s="53"/>
      <x:c r="P1514" s="53"/>
      <x:c r="Q1514" s="53"/>
      <x:c r="R1514" s="53"/>
      <x:c r="S1514" s="53"/>
      <x:c r="T1514" s="53"/>
      <x:c r="U1514" s="53"/>
      <x:c r="V1514" s="53"/>
      <x:c r="W1514" s="53"/>
      <x:c r="X1514" s="53"/>
      <x:c r="Y1514" s="53"/>
      <x:c r="Z1514" s="53"/>
      <x:c r="AA1514" s="53"/>
      <x:c r="AB1514" s="53"/>
      <x:c r="AC1514" s="53"/>
      <x:c r="AD1514" s="53"/>
      <x:c r="AE1514" s="53"/>
      <x:c r="AF1514" s="53"/>
    </x:row>
    <x:row r="1515">
      <x:c r="A1515" s="53"/>
      <x:c r="B1515" s="53"/>
      <x:c r="C1515" s="53"/>
      <x:c r="D1515" s="53"/>
      <x:c r="E1515" s="53"/>
      <x:c r="F1515" s="53"/>
      <x:c r="G1515" s="53"/>
      <x:c r="H1515" s="53"/>
      <x:c r="I1515" s="53"/>
      <x:c r="J1515" s="53"/>
      <x:c r="K1515" s="53"/>
      <x:c r="L1515" s="53"/>
      <x:c r="M1515" s="53"/>
      <x:c r="N1515" s="53"/>
      <x:c r="O1515" s="53"/>
      <x:c r="P1515" s="53"/>
      <x:c r="Q1515" s="53"/>
      <x:c r="R1515" s="53"/>
      <x:c r="S1515" s="53"/>
      <x:c r="T1515" s="53"/>
      <x:c r="U1515" s="53"/>
      <x:c r="V1515" s="53"/>
      <x:c r="W1515" s="53"/>
      <x:c r="X1515" s="53"/>
      <x:c r="Y1515" s="53"/>
      <x:c r="Z1515" s="53"/>
      <x:c r="AA1515" s="53"/>
      <x:c r="AB1515" s="53"/>
      <x:c r="AC1515" s="53"/>
      <x:c r="AD1515" s="53"/>
      <x:c r="AE1515" s="53"/>
      <x:c r="AF1515" s="53"/>
    </x:row>
    <x:row r="1516">
      <x:c r="A1516" s="53"/>
      <x:c r="B1516" s="53"/>
      <x:c r="C1516" s="53"/>
      <x:c r="D1516" s="53"/>
      <x:c r="E1516" s="53"/>
      <x:c r="F1516" s="53"/>
      <x:c r="G1516" s="53"/>
      <x:c r="H1516" s="53"/>
      <x:c r="I1516" s="53"/>
      <x:c r="J1516" s="53"/>
      <x:c r="K1516" s="53"/>
      <x:c r="L1516" s="53"/>
      <x:c r="M1516" s="53"/>
      <x:c r="N1516" s="53"/>
      <x:c r="O1516" s="53"/>
      <x:c r="P1516" s="53"/>
      <x:c r="Q1516" s="53"/>
      <x:c r="R1516" s="53"/>
      <x:c r="S1516" s="53"/>
      <x:c r="T1516" s="53"/>
      <x:c r="U1516" s="53"/>
      <x:c r="V1516" s="53"/>
      <x:c r="W1516" s="53"/>
      <x:c r="X1516" s="53"/>
      <x:c r="Y1516" s="53"/>
      <x:c r="Z1516" s="53"/>
      <x:c r="AA1516" s="53"/>
      <x:c r="AB1516" s="53"/>
      <x:c r="AC1516" s="53"/>
      <x:c r="AD1516" s="53"/>
      <x:c r="AE1516" s="53"/>
      <x:c r="AF1516" s="53"/>
    </x:row>
    <x:row r="1517">
      <x:c r="A1517" s="53"/>
      <x:c r="B1517" s="53"/>
      <x:c r="C1517" s="53"/>
      <x:c r="D1517" s="53"/>
      <x:c r="E1517" s="53"/>
      <x:c r="F1517" s="53"/>
      <x:c r="G1517" s="53"/>
      <x:c r="H1517" s="53"/>
      <x:c r="I1517" s="53"/>
      <x:c r="J1517" s="53"/>
      <x:c r="K1517" s="53"/>
      <x:c r="L1517" s="53"/>
      <x:c r="M1517" s="53"/>
      <x:c r="N1517" s="53"/>
      <x:c r="O1517" s="53"/>
      <x:c r="P1517" s="53"/>
      <x:c r="Q1517" s="53"/>
      <x:c r="R1517" s="53"/>
      <x:c r="S1517" s="53"/>
      <x:c r="T1517" s="53"/>
      <x:c r="U1517" s="53"/>
      <x:c r="V1517" s="53"/>
      <x:c r="W1517" s="53"/>
      <x:c r="X1517" s="53"/>
      <x:c r="Y1517" s="53"/>
      <x:c r="Z1517" s="53"/>
      <x:c r="AA1517" s="53"/>
      <x:c r="AB1517" s="53"/>
      <x:c r="AC1517" s="53"/>
      <x:c r="AD1517" s="53"/>
      <x:c r="AE1517" s="53"/>
      <x:c r="AF1517" s="53"/>
    </x:row>
    <x:row r="1518">
      <x:c r="A1518" s="53"/>
      <x:c r="B1518" s="53"/>
      <x:c r="C1518" s="53"/>
      <x:c r="D1518" s="53"/>
      <x:c r="E1518" s="53"/>
      <x:c r="F1518" s="53"/>
      <x:c r="G1518" s="53"/>
      <x:c r="H1518" s="53"/>
      <x:c r="I1518" s="53"/>
      <x:c r="J1518" s="53"/>
      <x:c r="K1518" s="53"/>
      <x:c r="L1518" s="53"/>
      <x:c r="M1518" s="53"/>
      <x:c r="N1518" s="53"/>
      <x:c r="O1518" s="53"/>
      <x:c r="P1518" s="53"/>
      <x:c r="Q1518" s="53"/>
      <x:c r="R1518" s="53"/>
      <x:c r="S1518" s="53"/>
      <x:c r="T1518" s="53"/>
      <x:c r="U1518" s="53"/>
      <x:c r="V1518" s="53"/>
      <x:c r="W1518" s="53"/>
      <x:c r="X1518" s="53"/>
      <x:c r="Y1518" s="53"/>
      <x:c r="Z1518" s="53"/>
      <x:c r="AA1518" s="53"/>
      <x:c r="AB1518" s="53"/>
      <x:c r="AC1518" s="53"/>
      <x:c r="AD1518" s="53"/>
      <x:c r="AE1518" s="53"/>
      <x:c r="AF1518" s="53"/>
    </x:row>
    <x:row r="1519">
      <x:c r="A1519" s="53"/>
      <x:c r="B1519" s="53"/>
      <x:c r="C1519" s="53"/>
      <x:c r="D1519" s="53"/>
      <x:c r="E1519" s="53"/>
      <x:c r="F1519" s="53"/>
      <x:c r="G1519" s="53"/>
      <x:c r="H1519" s="53"/>
      <x:c r="I1519" s="53"/>
      <x:c r="J1519" s="53"/>
      <x:c r="K1519" s="53"/>
      <x:c r="L1519" s="53"/>
      <x:c r="M1519" s="53"/>
      <x:c r="N1519" s="53"/>
      <x:c r="O1519" s="53"/>
      <x:c r="P1519" s="53"/>
      <x:c r="Q1519" s="53"/>
      <x:c r="R1519" s="53"/>
      <x:c r="S1519" s="53"/>
      <x:c r="T1519" s="53"/>
      <x:c r="U1519" s="53"/>
      <x:c r="V1519" s="53"/>
      <x:c r="W1519" s="53"/>
      <x:c r="X1519" s="53"/>
      <x:c r="Y1519" s="53"/>
      <x:c r="Z1519" s="53"/>
      <x:c r="AA1519" s="53"/>
      <x:c r="AB1519" s="53"/>
      <x:c r="AC1519" s="53"/>
      <x:c r="AD1519" s="53"/>
      <x:c r="AE1519" s="53"/>
      <x:c r="AF1519" s="53"/>
    </x:row>
    <x:row r="1520">
      <x:c r="A1520" s="53"/>
      <x:c r="B1520" s="53"/>
      <x:c r="C1520" s="53"/>
      <x:c r="D1520" s="53"/>
      <x:c r="E1520" s="53"/>
      <x:c r="F1520" s="53"/>
      <x:c r="G1520" s="53"/>
      <x:c r="H1520" s="53"/>
      <x:c r="I1520" s="53"/>
      <x:c r="J1520" s="53"/>
      <x:c r="K1520" s="53"/>
      <x:c r="L1520" s="53"/>
      <x:c r="M1520" s="53"/>
      <x:c r="N1520" s="53"/>
      <x:c r="O1520" s="53"/>
      <x:c r="P1520" s="53"/>
      <x:c r="Q1520" s="53"/>
      <x:c r="R1520" s="53"/>
      <x:c r="S1520" s="53"/>
      <x:c r="T1520" s="53"/>
      <x:c r="U1520" s="53"/>
      <x:c r="V1520" s="53"/>
      <x:c r="W1520" s="53"/>
      <x:c r="X1520" s="53"/>
      <x:c r="Y1520" s="53"/>
      <x:c r="Z1520" s="53"/>
      <x:c r="AA1520" s="53"/>
      <x:c r="AB1520" s="53"/>
      <x:c r="AC1520" s="53"/>
      <x:c r="AD1520" s="53"/>
      <x:c r="AE1520" s="53"/>
      <x:c r="AF1520" s="53"/>
    </x:row>
    <x:row r="1521">
      <x:c r="A1521" s="53"/>
      <x:c r="B1521" s="53"/>
      <x:c r="C1521" s="53"/>
      <x:c r="D1521" s="53"/>
      <x:c r="E1521" s="53"/>
      <x:c r="F1521" s="53"/>
      <x:c r="G1521" s="53"/>
      <x:c r="H1521" s="53"/>
      <x:c r="I1521" s="53"/>
      <x:c r="J1521" s="53"/>
      <x:c r="K1521" s="53"/>
      <x:c r="L1521" s="53"/>
      <x:c r="M1521" s="53"/>
      <x:c r="N1521" s="53"/>
      <x:c r="O1521" s="53"/>
      <x:c r="P1521" s="53"/>
      <x:c r="Q1521" s="53"/>
      <x:c r="R1521" s="53"/>
      <x:c r="S1521" s="53"/>
      <x:c r="T1521" s="53"/>
      <x:c r="U1521" s="53"/>
      <x:c r="V1521" s="53"/>
      <x:c r="W1521" s="53"/>
      <x:c r="X1521" s="53"/>
      <x:c r="Y1521" s="53"/>
      <x:c r="Z1521" s="53"/>
      <x:c r="AA1521" s="53"/>
      <x:c r="AB1521" s="53"/>
      <x:c r="AC1521" s="53"/>
      <x:c r="AD1521" s="53"/>
      <x:c r="AE1521" s="53"/>
      <x:c r="AF1521" s="53"/>
    </x:row>
    <x:row r="1522">
      <x:c r="A1522" s="53"/>
      <x:c r="B1522" s="53"/>
      <x:c r="C1522" s="53"/>
      <x:c r="D1522" s="53"/>
      <x:c r="E1522" s="53"/>
      <x:c r="F1522" s="53"/>
      <x:c r="G1522" s="53"/>
      <x:c r="H1522" s="53"/>
      <x:c r="I1522" s="53"/>
      <x:c r="J1522" s="53"/>
      <x:c r="K1522" s="53"/>
      <x:c r="L1522" s="53"/>
      <x:c r="M1522" s="53"/>
      <x:c r="N1522" s="53"/>
      <x:c r="O1522" s="53"/>
      <x:c r="P1522" s="53"/>
      <x:c r="Q1522" s="53"/>
      <x:c r="R1522" s="53"/>
      <x:c r="S1522" s="53"/>
      <x:c r="T1522" s="53"/>
      <x:c r="U1522" s="53"/>
      <x:c r="V1522" s="53"/>
      <x:c r="W1522" s="53"/>
      <x:c r="X1522" s="53"/>
      <x:c r="Y1522" s="53"/>
      <x:c r="Z1522" s="53"/>
      <x:c r="AA1522" s="53"/>
      <x:c r="AB1522" s="53"/>
      <x:c r="AC1522" s="53"/>
      <x:c r="AD1522" s="53"/>
      <x:c r="AE1522" s="53"/>
      <x:c r="AF1522" s="53"/>
    </x:row>
    <x:row r="1523">
      <x:c r="A1523" s="53"/>
      <x:c r="B1523" s="53"/>
      <x:c r="C1523" s="53"/>
      <x:c r="D1523" s="53"/>
      <x:c r="E1523" s="53"/>
      <x:c r="F1523" s="53"/>
      <x:c r="G1523" s="53"/>
      <x:c r="H1523" s="53"/>
      <x:c r="I1523" s="53"/>
      <x:c r="J1523" s="53"/>
      <x:c r="K1523" s="53"/>
      <x:c r="L1523" s="53"/>
      <x:c r="M1523" s="53"/>
      <x:c r="N1523" s="53"/>
      <x:c r="O1523" s="53"/>
      <x:c r="P1523" s="53"/>
      <x:c r="Q1523" s="53"/>
      <x:c r="R1523" s="53"/>
      <x:c r="S1523" s="53"/>
      <x:c r="T1523" s="53"/>
      <x:c r="U1523" s="53"/>
      <x:c r="V1523" s="53"/>
      <x:c r="W1523" s="53"/>
      <x:c r="X1523" s="53"/>
      <x:c r="Y1523" s="53"/>
      <x:c r="Z1523" s="53"/>
      <x:c r="AA1523" s="53"/>
      <x:c r="AB1523" s="53"/>
      <x:c r="AC1523" s="53"/>
      <x:c r="AD1523" s="53"/>
      <x:c r="AE1523" s="53"/>
      <x:c r="AF1523" s="53"/>
    </x:row>
    <x:row r="1524">
      <x:c r="A1524" s="53"/>
      <x:c r="B1524" s="53"/>
      <x:c r="C1524" s="53"/>
      <x:c r="D1524" s="53"/>
      <x:c r="E1524" s="53"/>
      <x:c r="F1524" s="53"/>
      <x:c r="G1524" s="53"/>
      <x:c r="H1524" s="53"/>
      <x:c r="I1524" s="53"/>
      <x:c r="J1524" s="53"/>
      <x:c r="K1524" s="53"/>
      <x:c r="L1524" s="53"/>
      <x:c r="M1524" s="53"/>
      <x:c r="N1524" s="53"/>
      <x:c r="O1524" s="53"/>
      <x:c r="P1524" s="53"/>
      <x:c r="Q1524" s="53"/>
      <x:c r="R1524" s="53"/>
      <x:c r="S1524" s="53"/>
      <x:c r="T1524" s="53"/>
      <x:c r="U1524" s="53"/>
      <x:c r="V1524" s="53"/>
      <x:c r="W1524" s="53"/>
      <x:c r="X1524" s="53"/>
      <x:c r="Y1524" s="53"/>
      <x:c r="Z1524" s="53"/>
      <x:c r="AA1524" s="53"/>
      <x:c r="AB1524" s="53"/>
      <x:c r="AC1524" s="53"/>
      <x:c r="AD1524" s="53"/>
      <x:c r="AE1524" s="53"/>
      <x:c r="AF1524" s="53"/>
    </x:row>
    <x:row r="1525">
      <x:c r="A1525" s="53"/>
      <x:c r="B1525" s="53"/>
      <x:c r="C1525" s="53"/>
      <x:c r="D1525" s="53"/>
      <x:c r="E1525" s="53"/>
      <x:c r="F1525" s="53"/>
      <x:c r="G1525" s="53"/>
      <x:c r="H1525" s="53"/>
      <x:c r="I1525" s="53"/>
      <x:c r="J1525" s="53"/>
      <x:c r="K1525" s="53"/>
      <x:c r="L1525" s="53"/>
      <x:c r="M1525" s="53"/>
      <x:c r="N1525" s="53"/>
      <x:c r="O1525" s="53"/>
      <x:c r="P1525" s="53"/>
      <x:c r="Q1525" s="53"/>
      <x:c r="R1525" s="53"/>
      <x:c r="S1525" s="53"/>
      <x:c r="T1525" s="53"/>
      <x:c r="U1525" s="53"/>
      <x:c r="V1525" s="53"/>
      <x:c r="W1525" s="53"/>
      <x:c r="X1525" s="53"/>
      <x:c r="Y1525" s="53"/>
      <x:c r="Z1525" s="53"/>
      <x:c r="AA1525" s="53"/>
      <x:c r="AB1525" s="53"/>
      <x:c r="AC1525" s="53"/>
      <x:c r="AD1525" s="53"/>
      <x:c r="AE1525" s="53"/>
      <x:c r="AF1525" s="53"/>
    </x:row>
    <x:row r="1526">
      <x:c r="A1526" s="53"/>
      <x:c r="B1526" s="53"/>
      <x:c r="C1526" s="53"/>
      <x:c r="D1526" s="53"/>
      <x:c r="E1526" s="53"/>
      <x:c r="F1526" s="53"/>
      <x:c r="G1526" s="53"/>
      <x:c r="H1526" s="53"/>
      <x:c r="I1526" s="53"/>
      <x:c r="J1526" s="53"/>
      <x:c r="K1526" s="53"/>
      <x:c r="L1526" s="53"/>
      <x:c r="M1526" s="53"/>
      <x:c r="N1526" s="53"/>
      <x:c r="O1526" s="53"/>
      <x:c r="P1526" s="53"/>
      <x:c r="Q1526" s="53"/>
      <x:c r="R1526" s="53"/>
      <x:c r="S1526" s="53"/>
      <x:c r="T1526" s="53"/>
      <x:c r="U1526" s="53"/>
      <x:c r="V1526" s="53"/>
      <x:c r="W1526" s="53"/>
      <x:c r="X1526" s="53"/>
      <x:c r="Y1526" s="53"/>
      <x:c r="Z1526" s="53"/>
      <x:c r="AA1526" s="53"/>
      <x:c r="AB1526" s="53"/>
      <x:c r="AC1526" s="53"/>
      <x:c r="AD1526" s="53"/>
      <x:c r="AE1526" s="53"/>
      <x:c r="AF1526" s="53"/>
    </x:row>
    <x:row r="1527">
      <x:c r="A1527" s="53"/>
      <x:c r="B1527" s="53"/>
      <x:c r="C1527" s="53"/>
      <x:c r="D1527" s="53"/>
      <x:c r="E1527" s="53"/>
      <x:c r="F1527" s="53"/>
      <x:c r="G1527" s="53"/>
      <x:c r="H1527" s="53"/>
      <x:c r="I1527" s="53"/>
      <x:c r="J1527" s="53"/>
      <x:c r="K1527" s="53"/>
      <x:c r="L1527" s="53"/>
      <x:c r="M1527" s="53"/>
      <x:c r="N1527" s="53"/>
      <x:c r="O1527" s="53"/>
      <x:c r="P1527" s="53"/>
      <x:c r="Q1527" s="53"/>
      <x:c r="R1527" s="53"/>
      <x:c r="S1527" s="53"/>
      <x:c r="T1527" s="53"/>
      <x:c r="U1527" s="53"/>
      <x:c r="V1527" s="53"/>
      <x:c r="W1527" s="53"/>
      <x:c r="X1527" s="53"/>
      <x:c r="Y1527" s="53"/>
      <x:c r="Z1527" s="53"/>
      <x:c r="AA1527" s="53"/>
      <x:c r="AB1527" s="53"/>
      <x:c r="AC1527" s="53"/>
      <x:c r="AD1527" s="53"/>
      <x:c r="AE1527" s="53"/>
      <x:c r="AF1527" s="53"/>
    </x:row>
    <x:row r="1528">
      <x:c r="A1528" s="53"/>
      <x:c r="B1528" s="53"/>
      <x:c r="C1528" s="53"/>
      <x:c r="D1528" s="53"/>
      <x:c r="E1528" s="53"/>
      <x:c r="F1528" s="53"/>
      <x:c r="G1528" s="53"/>
      <x:c r="H1528" s="53"/>
      <x:c r="I1528" s="53"/>
      <x:c r="J1528" s="53"/>
      <x:c r="K1528" s="53"/>
      <x:c r="L1528" s="53"/>
      <x:c r="M1528" s="53"/>
      <x:c r="N1528" s="53"/>
      <x:c r="O1528" s="53"/>
      <x:c r="P1528" s="53"/>
      <x:c r="Q1528" s="53"/>
      <x:c r="R1528" s="53"/>
      <x:c r="S1528" s="53"/>
      <x:c r="T1528" s="53"/>
      <x:c r="U1528" s="53"/>
      <x:c r="V1528" s="53"/>
      <x:c r="W1528" s="53"/>
      <x:c r="X1528" s="53"/>
      <x:c r="Y1528" s="53"/>
      <x:c r="Z1528" s="53"/>
      <x:c r="AA1528" s="53"/>
      <x:c r="AB1528" s="53"/>
      <x:c r="AC1528" s="53"/>
      <x:c r="AD1528" s="53"/>
      <x:c r="AE1528" s="53"/>
      <x:c r="AF1528" s="53"/>
    </x:row>
    <x:row r="1529">
      <x:c r="A1529" s="53"/>
      <x:c r="B1529" s="53"/>
      <x:c r="C1529" s="53"/>
      <x:c r="D1529" s="53"/>
      <x:c r="E1529" s="53"/>
      <x:c r="F1529" s="53"/>
      <x:c r="G1529" s="53"/>
      <x:c r="H1529" s="53"/>
      <x:c r="I1529" s="53"/>
      <x:c r="J1529" s="53"/>
      <x:c r="K1529" s="53"/>
      <x:c r="L1529" s="53"/>
      <x:c r="M1529" s="53"/>
      <x:c r="N1529" s="53"/>
      <x:c r="O1529" s="53"/>
      <x:c r="P1529" s="53"/>
      <x:c r="Q1529" s="53"/>
      <x:c r="R1529" s="53"/>
      <x:c r="S1529" s="53"/>
      <x:c r="T1529" s="53"/>
      <x:c r="U1529" s="53"/>
      <x:c r="V1529" s="53"/>
      <x:c r="W1529" s="53"/>
      <x:c r="X1529" s="53"/>
      <x:c r="Y1529" s="53"/>
      <x:c r="Z1529" s="53"/>
      <x:c r="AA1529" s="53"/>
      <x:c r="AB1529" s="53"/>
      <x:c r="AC1529" s="53"/>
      <x:c r="AD1529" s="53"/>
      <x:c r="AE1529" s="53"/>
      <x:c r="AF1529" s="53"/>
    </x:row>
    <x:row r="1530">
      <x:c r="A1530" s="53"/>
      <x:c r="B1530" s="53"/>
      <x:c r="C1530" s="53"/>
      <x:c r="D1530" s="53"/>
      <x:c r="E1530" s="53"/>
      <x:c r="F1530" s="53"/>
      <x:c r="G1530" s="53"/>
      <x:c r="H1530" s="53"/>
      <x:c r="I1530" s="53"/>
      <x:c r="J1530" s="53"/>
      <x:c r="K1530" s="53"/>
      <x:c r="L1530" s="53"/>
      <x:c r="M1530" s="53"/>
      <x:c r="N1530" s="53"/>
      <x:c r="O1530" s="53"/>
      <x:c r="P1530" s="53"/>
      <x:c r="Q1530" s="53"/>
      <x:c r="R1530" s="53"/>
      <x:c r="S1530" s="53"/>
      <x:c r="T1530" s="53"/>
      <x:c r="U1530" s="53"/>
      <x:c r="V1530" s="53"/>
      <x:c r="W1530" s="53"/>
      <x:c r="X1530" s="53"/>
      <x:c r="Y1530" s="53"/>
      <x:c r="Z1530" s="53"/>
      <x:c r="AA1530" s="53"/>
      <x:c r="AB1530" s="53"/>
      <x:c r="AC1530" s="53"/>
      <x:c r="AD1530" s="53"/>
      <x:c r="AE1530" s="53"/>
      <x:c r="AF1530" s="53"/>
    </x:row>
    <x:row r="1531">
      <x:c r="A1531" s="53"/>
      <x:c r="B1531" s="53"/>
      <x:c r="C1531" s="53"/>
      <x:c r="D1531" s="53"/>
      <x:c r="E1531" s="53"/>
      <x:c r="F1531" s="53"/>
      <x:c r="G1531" s="53"/>
      <x:c r="H1531" s="53"/>
      <x:c r="I1531" s="53"/>
      <x:c r="J1531" s="53"/>
      <x:c r="K1531" s="53"/>
      <x:c r="L1531" s="53"/>
      <x:c r="M1531" s="53"/>
      <x:c r="N1531" s="53"/>
      <x:c r="O1531" s="53"/>
      <x:c r="P1531" s="53"/>
      <x:c r="Q1531" s="53"/>
      <x:c r="R1531" s="53"/>
      <x:c r="S1531" s="53"/>
      <x:c r="T1531" s="53"/>
      <x:c r="U1531" s="53"/>
      <x:c r="V1531" s="53"/>
      <x:c r="W1531" s="53"/>
      <x:c r="X1531" s="53"/>
      <x:c r="Y1531" s="53"/>
      <x:c r="Z1531" s="53"/>
      <x:c r="AA1531" s="53"/>
      <x:c r="AB1531" s="53"/>
      <x:c r="AC1531" s="53"/>
      <x:c r="AD1531" s="53"/>
      <x:c r="AE1531" s="53"/>
      <x:c r="AF1531" s="53"/>
    </x:row>
    <x:row r="1532">
      <x:c r="A1532" s="53"/>
      <x:c r="B1532" s="53"/>
      <x:c r="C1532" s="53"/>
      <x:c r="D1532" s="53"/>
      <x:c r="E1532" s="53"/>
      <x:c r="F1532" s="53"/>
      <x:c r="G1532" s="53"/>
      <x:c r="H1532" s="53"/>
      <x:c r="I1532" s="53"/>
      <x:c r="J1532" s="53"/>
      <x:c r="K1532" s="53"/>
      <x:c r="L1532" s="53"/>
      <x:c r="M1532" s="53"/>
      <x:c r="N1532" s="53"/>
      <x:c r="O1532" s="53"/>
      <x:c r="P1532" s="53"/>
      <x:c r="Q1532" s="53"/>
      <x:c r="R1532" s="53"/>
      <x:c r="S1532" s="53"/>
      <x:c r="T1532" s="53"/>
      <x:c r="U1532" s="53"/>
      <x:c r="V1532" s="53"/>
      <x:c r="W1532" s="53"/>
      <x:c r="X1532" s="53"/>
      <x:c r="Y1532" s="53"/>
      <x:c r="Z1532" s="53"/>
      <x:c r="AA1532" s="53"/>
      <x:c r="AB1532" s="53"/>
      <x:c r="AC1532" s="53"/>
      <x:c r="AD1532" s="53"/>
      <x:c r="AE1532" s="53"/>
      <x:c r="AF1532" s="53"/>
    </x:row>
    <x:row r="1533">
      <x:c r="A1533" s="53"/>
      <x:c r="B1533" s="53"/>
      <x:c r="C1533" s="53"/>
      <x:c r="D1533" s="53"/>
      <x:c r="E1533" s="53"/>
      <x:c r="F1533" s="53"/>
      <x:c r="G1533" s="53"/>
      <x:c r="H1533" s="53"/>
      <x:c r="I1533" s="53"/>
      <x:c r="J1533" s="53"/>
      <x:c r="K1533" s="53"/>
      <x:c r="L1533" s="53"/>
      <x:c r="M1533" s="53"/>
      <x:c r="N1533" s="53"/>
      <x:c r="O1533" s="53"/>
      <x:c r="P1533" s="53"/>
      <x:c r="Q1533" s="53"/>
      <x:c r="R1533" s="53"/>
      <x:c r="S1533" s="53"/>
      <x:c r="T1533" s="53"/>
      <x:c r="U1533" s="53"/>
      <x:c r="V1533" s="53"/>
      <x:c r="W1533" s="53"/>
      <x:c r="X1533" s="53"/>
      <x:c r="Y1533" s="53"/>
      <x:c r="Z1533" s="53"/>
      <x:c r="AA1533" s="53"/>
      <x:c r="AB1533" s="53"/>
      <x:c r="AC1533" s="53"/>
      <x:c r="AD1533" s="53"/>
      <x:c r="AE1533" s="53"/>
      <x:c r="AF1533" s="53"/>
    </x:row>
    <x:row r="1534">
      <x:c r="A1534" s="53"/>
      <x:c r="B1534" s="53"/>
      <x:c r="C1534" s="53"/>
      <x:c r="D1534" s="53"/>
      <x:c r="E1534" s="53"/>
      <x:c r="F1534" s="53"/>
      <x:c r="G1534" s="53"/>
      <x:c r="H1534" s="53"/>
      <x:c r="I1534" s="53"/>
      <x:c r="J1534" s="53"/>
      <x:c r="K1534" s="53"/>
      <x:c r="L1534" s="53"/>
      <x:c r="M1534" s="53"/>
      <x:c r="N1534" s="53"/>
      <x:c r="O1534" s="53"/>
      <x:c r="P1534" s="53"/>
      <x:c r="Q1534" s="53"/>
      <x:c r="R1534" s="53"/>
      <x:c r="S1534" s="53"/>
      <x:c r="T1534" s="53"/>
      <x:c r="U1534" s="53"/>
      <x:c r="V1534" s="53"/>
      <x:c r="W1534" s="53"/>
      <x:c r="X1534" s="53"/>
      <x:c r="Y1534" s="53"/>
      <x:c r="Z1534" s="53"/>
      <x:c r="AA1534" s="53"/>
      <x:c r="AB1534" s="53"/>
      <x:c r="AC1534" s="53"/>
      <x:c r="AD1534" s="53"/>
      <x:c r="AE1534" s="53"/>
      <x:c r="AF1534" s="53"/>
    </x:row>
    <x:row r="1535">
      <x:c r="A1535" s="53"/>
      <x:c r="B1535" s="53"/>
      <x:c r="C1535" s="53"/>
      <x:c r="D1535" s="53"/>
      <x:c r="E1535" s="53"/>
      <x:c r="F1535" s="53"/>
      <x:c r="G1535" s="53"/>
      <x:c r="H1535" s="53"/>
      <x:c r="I1535" s="53"/>
      <x:c r="J1535" s="53"/>
      <x:c r="K1535" s="53"/>
      <x:c r="L1535" s="53"/>
      <x:c r="M1535" s="53"/>
      <x:c r="N1535" s="53"/>
      <x:c r="O1535" s="53"/>
      <x:c r="P1535" s="53"/>
      <x:c r="Q1535" s="53"/>
      <x:c r="R1535" s="53"/>
      <x:c r="S1535" s="53"/>
      <x:c r="T1535" s="53"/>
      <x:c r="U1535" s="53"/>
      <x:c r="V1535" s="53"/>
      <x:c r="W1535" s="53"/>
      <x:c r="X1535" s="53"/>
      <x:c r="Y1535" s="53"/>
      <x:c r="Z1535" s="53"/>
      <x:c r="AA1535" s="53"/>
      <x:c r="AB1535" s="53"/>
      <x:c r="AC1535" s="53"/>
      <x:c r="AD1535" s="53"/>
      <x:c r="AE1535" s="53"/>
      <x:c r="AF1535" s="53"/>
    </x:row>
    <x:row r="1536">
      <x:c r="A1536" s="53"/>
      <x:c r="B1536" s="53"/>
      <x:c r="C1536" s="53"/>
      <x:c r="D1536" s="53"/>
      <x:c r="E1536" s="53"/>
      <x:c r="F1536" s="53"/>
      <x:c r="G1536" s="53"/>
      <x:c r="H1536" s="53"/>
      <x:c r="I1536" s="53"/>
      <x:c r="J1536" s="53"/>
      <x:c r="K1536" s="53"/>
      <x:c r="L1536" s="53"/>
      <x:c r="M1536" s="53"/>
      <x:c r="N1536" s="53"/>
      <x:c r="O1536" s="53"/>
      <x:c r="P1536" s="53"/>
      <x:c r="Q1536" s="53"/>
      <x:c r="R1536" s="53"/>
      <x:c r="S1536" s="53"/>
      <x:c r="T1536" s="53"/>
      <x:c r="U1536" s="53"/>
      <x:c r="V1536" s="53"/>
      <x:c r="W1536" s="53"/>
      <x:c r="X1536" s="53"/>
      <x:c r="Y1536" s="53"/>
      <x:c r="Z1536" s="53"/>
      <x:c r="AA1536" s="53"/>
      <x:c r="AB1536" s="53"/>
      <x:c r="AC1536" s="53"/>
      <x:c r="AD1536" s="53"/>
      <x:c r="AE1536" s="53"/>
      <x:c r="AF1536" s="53"/>
    </x:row>
    <x:row r="1537">
      <x:c r="A1537" s="53"/>
      <x:c r="B1537" s="53"/>
      <x:c r="C1537" s="53"/>
      <x:c r="D1537" s="53"/>
      <x:c r="E1537" s="53"/>
      <x:c r="F1537" s="53"/>
      <x:c r="G1537" s="53"/>
      <x:c r="H1537" s="53"/>
      <x:c r="I1537" s="53"/>
      <x:c r="J1537" s="53"/>
      <x:c r="K1537" s="53"/>
      <x:c r="L1537" s="53"/>
      <x:c r="M1537" s="53"/>
      <x:c r="N1537" s="53"/>
      <x:c r="O1537" s="53"/>
      <x:c r="P1537" s="53"/>
      <x:c r="Q1537" s="53"/>
      <x:c r="R1537" s="53"/>
      <x:c r="S1537" s="53"/>
      <x:c r="T1537" s="53"/>
      <x:c r="U1537" s="53"/>
      <x:c r="V1537" s="53"/>
      <x:c r="W1537" s="53"/>
      <x:c r="X1537" s="53"/>
      <x:c r="Y1537" s="53"/>
      <x:c r="Z1537" s="53"/>
      <x:c r="AA1537" s="53"/>
      <x:c r="AB1537" s="53"/>
      <x:c r="AC1537" s="53"/>
      <x:c r="AD1537" s="53"/>
      <x:c r="AE1537" s="53"/>
      <x:c r="AF1537" s="53"/>
    </x:row>
    <x:row r="1538">
      <x:c r="A1538" s="53"/>
      <x:c r="B1538" s="53"/>
      <x:c r="C1538" s="53"/>
      <x:c r="D1538" s="53"/>
      <x:c r="E1538" s="53"/>
      <x:c r="F1538" s="53"/>
      <x:c r="G1538" s="53"/>
      <x:c r="H1538" s="53"/>
      <x:c r="I1538" s="53"/>
      <x:c r="J1538" s="53"/>
      <x:c r="K1538" s="53"/>
      <x:c r="L1538" s="53"/>
      <x:c r="M1538" s="53"/>
      <x:c r="N1538" s="53"/>
      <x:c r="O1538" s="53"/>
      <x:c r="P1538" s="53"/>
      <x:c r="Q1538" s="53"/>
      <x:c r="R1538" s="53"/>
      <x:c r="S1538" s="53"/>
      <x:c r="T1538" s="53"/>
      <x:c r="U1538" s="53"/>
      <x:c r="V1538" s="53"/>
      <x:c r="W1538" s="53"/>
      <x:c r="X1538" s="53"/>
      <x:c r="Y1538" s="53"/>
      <x:c r="Z1538" s="53"/>
      <x:c r="AA1538" s="53"/>
      <x:c r="AB1538" s="53"/>
      <x:c r="AC1538" s="53"/>
      <x:c r="AD1538" s="53"/>
      <x:c r="AE1538" s="53"/>
      <x:c r="AF1538" s="53"/>
    </x:row>
    <x:row r="1539">
      <x:c r="A1539" s="53"/>
      <x:c r="B1539" s="53"/>
      <x:c r="C1539" s="53"/>
      <x:c r="D1539" s="53"/>
      <x:c r="E1539" s="53"/>
      <x:c r="F1539" s="53"/>
      <x:c r="G1539" s="53"/>
      <x:c r="H1539" s="53"/>
      <x:c r="I1539" s="53"/>
      <x:c r="J1539" s="53"/>
      <x:c r="K1539" s="53"/>
      <x:c r="L1539" s="53"/>
      <x:c r="M1539" s="53"/>
      <x:c r="N1539" s="53"/>
      <x:c r="O1539" s="53"/>
      <x:c r="P1539" s="53"/>
      <x:c r="Q1539" s="53"/>
      <x:c r="R1539" s="53"/>
      <x:c r="S1539" s="53"/>
      <x:c r="T1539" s="53"/>
      <x:c r="U1539" s="53"/>
      <x:c r="V1539" s="53"/>
      <x:c r="W1539" s="53"/>
      <x:c r="X1539" s="53"/>
      <x:c r="Y1539" s="53"/>
      <x:c r="Z1539" s="53"/>
      <x:c r="AA1539" s="53"/>
      <x:c r="AB1539" s="53"/>
      <x:c r="AC1539" s="53"/>
      <x:c r="AD1539" s="53"/>
      <x:c r="AE1539" s="53"/>
      <x:c r="AF1539" s="53"/>
    </x:row>
    <x:row r="1540">
      <x:c r="A1540" s="53"/>
      <x:c r="B1540" s="53"/>
      <x:c r="C1540" s="53"/>
      <x:c r="D1540" s="53"/>
      <x:c r="E1540" s="53"/>
      <x:c r="F1540" s="53"/>
      <x:c r="G1540" s="53"/>
      <x:c r="H1540" s="53"/>
      <x:c r="I1540" s="53"/>
      <x:c r="J1540" s="53"/>
      <x:c r="K1540" s="53"/>
      <x:c r="L1540" s="53"/>
      <x:c r="M1540" s="53"/>
      <x:c r="N1540" s="53"/>
      <x:c r="O1540" s="53"/>
      <x:c r="P1540" s="53"/>
      <x:c r="Q1540" s="53"/>
      <x:c r="R1540" s="53"/>
      <x:c r="S1540" s="53"/>
      <x:c r="T1540" s="53"/>
      <x:c r="U1540" s="53"/>
      <x:c r="V1540" s="53"/>
      <x:c r="W1540" s="53"/>
      <x:c r="X1540" s="53"/>
      <x:c r="Y1540" s="53"/>
      <x:c r="Z1540" s="53"/>
      <x:c r="AA1540" s="53"/>
      <x:c r="AB1540" s="53"/>
      <x:c r="AC1540" s="53"/>
      <x:c r="AD1540" s="53"/>
      <x:c r="AE1540" s="53"/>
      <x:c r="AF1540" s="53"/>
    </x:row>
    <x:row r="1541">
      <x:c r="A1541" s="53"/>
      <x:c r="B1541" s="53"/>
      <x:c r="C1541" s="53"/>
      <x:c r="D1541" s="53"/>
      <x:c r="E1541" s="53"/>
      <x:c r="F1541" s="53"/>
      <x:c r="G1541" s="53"/>
      <x:c r="H1541" s="53"/>
      <x:c r="I1541" s="53"/>
      <x:c r="J1541" s="53"/>
      <x:c r="K1541" s="53"/>
      <x:c r="L1541" s="53"/>
      <x:c r="M1541" s="53"/>
      <x:c r="N1541" s="53"/>
      <x:c r="O1541" s="53"/>
      <x:c r="P1541" s="53"/>
      <x:c r="Q1541" s="53"/>
      <x:c r="R1541" s="53"/>
      <x:c r="S1541" s="53"/>
      <x:c r="T1541" s="53"/>
      <x:c r="U1541" s="53"/>
      <x:c r="V1541" s="53"/>
      <x:c r="W1541" s="53"/>
      <x:c r="X1541" s="53"/>
      <x:c r="Y1541" s="53"/>
      <x:c r="Z1541" s="53"/>
      <x:c r="AA1541" s="53"/>
      <x:c r="AB1541" s="53"/>
      <x:c r="AC1541" s="53"/>
      <x:c r="AD1541" s="53"/>
      <x:c r="AE1541" s="53"/>
      <x:c r="AF1541" s="53"/>
    </x:row>
    <x:row r="1542">
      <x:c r="A1542" s="53"/>
      <x:c r="B1542" s="53"/>
      <x:c r="C1542" s="53"/>
      <x:c r="D1542" s="53"/>
      <x:c r="E1542" s="53"/>
      <x:c r="F1542" s="53"/>
      <x:c r="G1542" s="53"/>
      <x:c r="H1542" s="53"/>
      <x:c r="I1542" s="53"/>
      <x:c r="J1542" s="53"/>
      <x:c r="K1542" s="53"/>
      <x:c r="L1542" s="53"/>
      <x:c r="M1542" s="53"/>
      <x:c r="N1542" s="53"/>
      <x:c r="O1542" s="53"/>
      <x:c r="P1542" s="53"/>
      <x:c r="Q1542" s="53"/>
      <x:c r="R1542" s="53"/>
      <x:c r="S1542" s="53"/>
      <x:c r="T1542" s="53"/>
      <x:c r="U1542" s="53"/>
      <x:c r="V1542" s="53"/>
      <x:c r="W1542" s="53"/>
      <x:c r="X1542" s="53"/>
      <x:c r="Y1542" s="53"/>
      <x:c r="Z1542" s="53"/>
      <x:c r="AA1542" s="53"/>
      <x:c r="AB1542" s="53"/>
      <x:c r="AC1542" s="53"/>
      <x:c r="AD1542" s="53"/>
      <x:c r="AE1542" s="53"/>
      <x:c r="AF1542" s="53"/>
    </x:row>
    <x:row r="1543">
      <x:c r="A1543" s="53"/>
      <x:c r="B1543" s="53"/>
      <x:c r="C1543" s="53"/>
      <x:c r="D1543" s="53"/>
      <x:c r="E1543" s="53"/>
      <x:c r="F1543" s="53"/>
      <x:c r="G1543" s="53"/>
      <x:c r="H1543" s="53"/>
      <x:c r="I1543" s="53"/>
      <x:c r="J1543" s="53"/>
      <x:c r="K1543" s="53"/>
      <x:c r="L1543" s="53"/>
      <x:c r="M1543" s="53"/>
      <x:c r="N1543" s="53"/>
      <x:c r="O1543" s="53"/>
      <x:c r="P1543" s="53"/>
      <x:c r="Q1543" s="53"/>
      <x:c r="R1543" s="53"/>
      <x:c r="S1543" s="53"/>
      <x:c r="T1543" s="53"/>
      <x:c r="U1543" s="53"/>
      <x:c r="V1543" s="53"/>
      <x:c r="W1543" s="53"/>
      <x:c r="X1543" s="53"/>
      <x:c r="Y1543" s="53"/>
      <x:c r="Z1543" s="53"/>
      <x:c r="AA1543" s="53"/>
      <x:c r="AB1543" s="53"/>
      <x:c r="AC1543" s="53"/>
      <x:c r="AD1543" s="53"/>
      <x:c r="AE1543" s="53"/>
      <x:c r="AF1543" s="53"/>
    </x:row>
    <x:row r="1544">
      <x:c r="A1544" s="53"/>
      <x:c r="B1544" s="53"/>
      <x:c r="C1544" s="53"/>
      <x:c r="D1544" s="53"/>
      <x:c r="E1544" s="53"/>
      <x:c r="F1544" s="53"/>
      <x:c r="G1544" s="53"/>
      <x:c r="H1544" s="53"/>
      <x:c r="I1544" s="53"/>
      <x:c r="J1544" s="53"/>
      <x:c r="K1544" s="53"/>
      <x:c r="L1544" s="53"/>
      <x:c r="M1544" s="53"/>
      <x:c r="N1544" s="53"/>
      <x:c r="O1544" s="53"/>
      <x:c r="P1544" s="53"/>
      <x:c r="Q1544" s="53"/>
      <x:c r="R1544" s="53"/>
      <x:c r="S1544" s="53"/>
      <x:c r="T1544" s="53"/>
      <x:c r="U1544" s="53"/>
      <x:c r="V1544" s="53"/>
      <x:c r="W1544" s="53"/>
      <x:c r="X1544" s="53"/>
      <x:c r="Y1544" s="53"/>
      <x:c r="Z1544" s="53"/>
      <x:c r="AA1544" s="53"/>
      <x:c r="AB1544" s="53"/>
      <x:c r="AC1544" s="53"/>
      <x:c r="AD1544" s="53"/>
      <x:c r="AE1544" s="53"/>
      <x:c r="AF1544" s="53"/>
    </x:row>
    <x:row r="1545">
      <x:c r="A1545" s="53"/>
      <x:c r="B1545" s="53"/>
      <x:c r="C1545" s="53"/>
      <x:c r="D1545" s="53"/>
      <x:c r="E1545" s="53"/>
      <x:c r="F1545" s="53"/>
      <x:c r="G1545" s="53"/>
      <x:c r="H1545" s="53"/>
      <x:c r="I1545" s="53"/>
      <x:c r="J1545" s="53"/>
      <x:c r="K1545" s="53"/>
      <x:c r="L1545" s="53"/>
      <x:c r="M1545" s="53"/>
      <x:c r="N1545" s="53"/>
      <x:c r="O1545" s="53"/>
      <x:c r="P1545" s="53"/>
      <x:c r="Q1545" s="53"/>
      <x:c r="R1545" s="53"/>
      <x:c r="S1545" s="53"/>
      <x:c r="T1545" s="53"/>
      <x:c r="U1545" s="53"/>
      <x:c r="V1545" s="53"/>
      <x:c r="W1545" s="53"/>
      <x:c r="X1545" s="53"/>
      <x:c r="Y1545" s="53"/>
      <x:c r="Z1545" s="53"/>
      <x:c r="AA1545" s="53"/>
      <x:c r="AB1545" s="53"/>
      <x:c r="AC1545" s="53"/>
      <x:c r="AD1545" s="53"/>
      <x:c r="AE1545" s="53"/>
      <x:c r="AF1545" s="53"/>
    </x:row>
    <x:row r="1546">
      <x:c r="A1546" s="53"/>
      <x:c r="B1546" s="53"/>
      <x:c r="C1546" s="53"/>
      <x:c r="D1546" s="53"/>
      <x:c r="E1546" s="53"/>
      <x:c r="F1546" s="53"/>
      <x:c r="G1546" s="53"/>
      <x:c r="H1546" s="53"/>
      <x:c r="I1546" s="53"/>
      <x:c r="J1546" s="53"/>
      <x:c r="K1546" s="53"/>
      <x:c r="L1546" s="53"/>
      <x:c r="M1546" s="53"/>
      <x:c r="N1546" s="53"/>
      <x:c r="O1546" s="53"/>
      <x:c r="P1546" s="53"/>
      <x:c r="Q1546" s="53"/>
      <x:c r="R1546" s="53"/>
      <x:c r="S1546" s="53"/>
      <x:c r="T1546" s="53"/>
      <x:c r="U1546" s="53"/>
      <x:c r="V1546" s="53"/>
      <x:c r="W1546" s="53"/>
      <x:c r="X1546" s="53"/>
      <x:c r="Y1546" s="53"/>
      <x:c r="Z1546" s="53"/>
      <x:c r="AA1546" s="53"/>
      <x:c r="AB1546" s="53"/>
      <x:c r="AC1546" s="53"/>
      <x:c r="AD1546" s="53"/>
      <x:c r="AE1546" s="53"/>
      <x:c r="AF1546" s="53"/>
    </x:row>
    <x:row r="1547">
      <x:c r="A1547" s="53"/>
      <x:c r="B1547" s="53"/>
      <x:c r="C1547" s="53"/>
      <x:c r="D1547" s="53"/>
      <x:c r="E1547" s="53"/>
      <x:c r="F1547" s="53"/>
      <x:c r="G1547" s="53"/>
      <x:c r="H1547" s="53"/>
      <x:c r="I1547" s="53"/>
      <x:c r="J1547" s="53"/>
      <x:c r="K1547" s="53"/>
      <x:c r="L1547" s="53"/>
      <x:c r="M1547" s="53"/>
      <x:c r="N1547" s="53"/>
      <x:c r="O1547" s="53"/>
      <x:c r="P1547" s="53"/>
      <x:c r="Q1547" s="53"/>
      <x:c r="R1547" s="53"/>
      <x:c r="S1547" s="53"/>
      <x:c r="T1547" s="53"/>
      <x:c r="U1547" s="53"/>
      <x:c r="V1547" s="53"/>
      <x:c r="W1547" s="53"/>
      <x:c r="X1547" s="53"/>
      <x:c r="Y1547" s="53"/>
      <x:c r="Z1547" s="53"/>
      <x:c r="AA1547" s="53"/>
      <x:c r="AB1547" s="53"/>
      <x:c r="AC1547" s="53"/>
      <x:c r="AD1547" s="53"/>
      <x:c r="AE1547" s="53"/>
      <x:c r="AF1547" s="53"/>
    </x:row>
    <x:row r="1548">
      <x:c r="A1548" s="53"/>
      <x:c r="B1548" s="53"/>
      <x:c r="C1548" s="53"/>
      <x:c r="D1548" s="53"/>
      <x:c r="E1548" s="53"/>
      <x:c r="F1548" s="53"/>
      <x:c r="G1548" s="53"/>
      <x:c r="H1548" s="53"/>
      <x:c r="I1548" s="53"/>
      <x:c r="J1548" s="53"/>
      <x:c r="K1548" s="53"/>
      <x:c r="L1548" s="53"/>
      <x:c r="M1548" s="53"/>
      <x:c r="N1548" s="53"/>
      <x:c r="O1548" s="53"/>
      <x:c r="P1548" s="53"/>
      <x:c r="Q1548" s="53"/>
      <x:c r="R1548" s="53"/>
      <x:c r="S1548" s="53"/>
      <x:c r="T1548" s="53"/>
      <x:c r="U1548" s="53"/>
      <x:c r="V1548" s="53"/>
      <x:c r="W1548" s="53"/>
      <x:c r="X1548" s="53"/>
      <x:c r="Y1548" s="53"/>
      <x:c r="Z1548" s="53"/>
      <x:c r="AA1548" s="53"/>
      <x:c r="AB1548" s="53"/>
      <x:c r="AC1548" s="53"/>
      <x:c r="AD1548" s="53"/>
      <x:c r="AE1548" s="53"/>
      <x:c r="AF1548" s="53"/>
    </x:row>
    <x:row r="1549">
      <x:c r="A1549" s="53"/>
      <x:c r="B1549" s="53"/>
      <x:c r="C1549" s="53"/>
      <x:c r="D1549" s="53"/>
      <x:c r="E1549" s="53"/>
      <x:c r="F1549" s="53"/>
      <x:c r="G1549" s="53"/>
      <x:c r="H1549" s="53"/>
      <x:c r="I1549" s="53"/>
      <x:c r="J1549" s="53"/>
      <x:c r="K1549" s="53"/>
      <x:c r="L1549" s="53"/>
      <x:c r="M1549" s="53"/>
      <x:c r="N1549" s="53"/>
      <x:c r="O1549" s="53"/>
      <x:c r="P1549" s="53"/>
      <x:c r="Q1549" s="53"/>
      <x:c r="R1549" s="53"/>
      <x:c r="S1549" s="53"/>
      <x:c r="T1549" s="53"/>
      <x:c r="U1549" s="53"/>
      <x:c r="V1549" s="53"/>
      <x:c r="W1549" s="53"/>
      <x:c r="X1549" s="53"/>
      <x:c r="Y1549" s="53"/>
      <x:c r="Z1549" s="53"/>
      <x:c r="AA1549" s="53"/>
      <x:c r="AB1549" s="53"/>
      <x:c r="AC1549" s="53"/>
      <x:c r="AD1549" s="53"/>
      <x:c r="AE1549" s="53"/>
      <x:c r="AF1549" s="53"/>
    </x:row>
    <x:row r="1550">
      <x:c r="A1550" s="53"/>
      <x:c r="B1550" s="53"/>
      <x:c r="C1550" s="53"/>
      <x:c r="D1550" s="53"/>
      <x:c r="E1550" s="53"/>
      <x:c r="F1550" s="53"/>
      <x:c r="G1550" s="53"/>
      <x:c r="H1550" s="53"/>
      <x:c r="I1550" s="53"/>
      <x:c r="J1550" s="53"/>
      <x:c r="K1550" s="53"/>
      <x:c r="L1550" s="53"/>
      <x:c r="M1550" s="53"/>
      <x:c r="N1550" s="53"/>
      <x:c r="O1550" s="53"/>
      <x:c r="P1550" s="53"/>
      <x:c r="Q1550" s="53"/>
      <x:c r="R1550" s="53"/>
      <x:c r="S1550" s="53"/>
      <x:c r="T1550" s="53"/>
      <x:c r="U1550" s="53"/>
      <x:c r="V1550" s="53"/>
      <x:c r="W1550" s="53"/>
      <x:c r="X1550" s="53"/>
      <x:c r="Y1550" s="53"/>
      <x:c r="Z1550" s="53"/>
      <x:c r="AA1550" s="53"/>
      <x:c r="AB1550" s="53"/>
      <x:c r="AC1550" s="53"/>
      <x:c r="AD1550" s="53"/>
      <x:c r="AE1550" s="53"/>
      <x:c r="AF1550" s="53"/>
    </x:row>
    <x:row r="1551">
      <x:c r="A1551" s="53"/>
      <x:c r="B1551" s="53"/>
      <x:c r="C1551" s="53"/>
      <x:c r="D1551" s="53"/>
      <x:c r="E1551" s="53"/>
      <x:c r="F1551" s="53"/>
      <x:c r="G1551" s="53"/>
      <x:c r="H1551" s="53"/>
      <x:c r="I1551" s="53"/>
      <x:c r="J1551" s="53"/>
      <x:c r="K1551" s="53"/>
      <x:c r="L1551" s="53"/>
      <x:c r="M1551" s="53"/>
      <x:c r="N1551" s="53"/>
      <x:c r="O1551" s="53"/>
      <x:c r="P1551" s="53"/>
      <x:c r="Q1551" s="53"/>
      <x:c r="R1551" s="53"/>
      <x:c r="S1551" s="53"/>
      <x:c r="T1551" s="53"/>
      <x:c r="U1551" s="53"/>
      <x:c r="V1551" s="53"/>
      <x:c r="W1551" s="53"/>
      <x:c r="X1551" s="53"/>
      <x:c r="Y1551" s="53"/>
      <x:c r="Z1551" s="53"/>
      <x:c r="AA1551" s="53"/>
      <x:c r="AB1551" s="53"/>
      <x:c r="AC1551" s="53"/>
      <x:c r="AD1551" s="53"/>
      <x:c r="AE1551" s="53"/>
      <x:c r="AF1551" s="53"/>
    </x:row>
    <x:row r="1552">
      <x:c r="A1552" s="53"/>
      <x:c r="B1552" s="53"/>
      <x:c r="C1552" s="53"/>
      <x:c r="D1552" s="53"/>
      <x:c r="E1552" s="53"/>
      <x:c r="F1552" s="53"/>
      <x:c r="G1552" s="53"/>
      <x:c r="H1552" s="53"/>
      <x:c r="I1552" s="53"/>
      <x:c r="J1552" s="53"/>
      <x:c r="K1552" s="53"/>
      <x:c r="L1552" s="53"/>
      <x:c r="M1552" s="53"/>
      <x:c r="N1552" s="53"/>
      <x:c r="O1552" s="53"/>
      <x:c r="P1552" s="53"/>
      <x:c r="Q1552" s="53"/>
      <x:c r="R1552" s="53"/>
      <x:c r="S1552" s="53"/>
      <x:c r="T1552" s="53"/>
      <x:c r="U1552" s="53"/>
      <x:c r="V1552" s="53"/>
      <x:c r="W1552" s="53"/>
      <x:c r="X1552" s="53"/>
      <x:c r="Y1552" s="53"/>
      <x:c r="Z1552" s="53"/>
      <x:c r="AA1552" s="53"/>
      <x:c r="AB1552" s="53"/>
      <x:c r="AC1552" s="53"/>
      <x:c r="AD1552" s="53"/>
      <x:c r="AE1552" s="53"/>
      <x:c r="AF1552" s="53"/>
    </x:row>
    <x:row r="1553">
      <x:c r="A1553" s="53"/>
      <x:c r="B1553" s="53"/>
      <x:c r="C1553" s="53"/>
      <x:c r="D1553" s="53"/>
      <x:c r="E1553" s="53"/>
      <x:c r="F1553" s="53"/>
      <x:c r="G1553" s="53"/>
      <x:c r="H1553" s="53"/>
      <x:c r="I1553" s="53"/>
      <x:c r="J1553" s="53"/>
      <x:c r="K1553" s="53"/>
      <x:c r="L1553" s="53"/>
      <x:c r="M1553" s="53"/>
      <x:c r="N1553" s="53"/>
      <x:c r="O1553" s="53"/>
      <x:c r="P1553" s="53"/>
      <x:c r="Q1553" s="53"/>
      <x:c r="R1553" s="53"/>
      <x:c r="S1553" s="53"/>
      <x:c r="T1553" s="53"/>
      <x:c r="U1553" s="53"/>
      <x:c r="V1553" s="53"/>
      <x:c r="W1553" s="53"/>
      <x:c r="X1553" s="53"/>
      <x:c r="Y1553" s="53"/>
      <x:c r="Z1553" s="53"/>
      <x:c r="AA1553" s="53"/>
      <x:c r="AB1553" s="53"/>
      <x:c r="AC1553" s="53"/>
      <x:c r="AD1553" s="53"/>
      <x:c r="AE1553" s="53"/>
      <x:c r="AF1553" s="53"/>
    </x:row>
    <x:row r="1554">
      <x:c r="A1554" s="53"/>
      <x:c r="B1554" s="53"/>
      <x:c r="C1554" s="53"/>
      <x:c r="D1554" s="53"/>
      <x:c r="E1554" s="53"/>
      <x:c r="F1554" s="53"/>
      <x:c r="G1554" s="53"/>
      <x:c r="H1554" s="53"/>
      <x:c r="I1554" s="53"/>
      <x:c r="J1554" s="53"/>
      <x:c r="K1554" s="53"/>
      <x:c r="L1554" s="53"/>
      <x:c r="M1554" s="53"/>
      <x:c r="N1554" s="53"/>
      <x:c r="O1554" s="53"/>
      <x:c r="P1554" s="53"/>
      <x:c r="Q1554" s="53"/>
      <x:c r="R1554" s="53"/>
      <x:c r="S1554" s="53"/>
      <x:c r="T1554" s="53"/>
      <x:c r="U1554" s="53"/>
      <x:c r="V1554" s="53"/>
      <x:c r="W1554" s="53"/>
      <x:c r="X1554" s="53"/>
      <x:c r="Y1554" s="53"/>
      <x:c r="Z1554" s="53"/>
      <x:c r="AA1554" s="53"/>
      <x:c r="AB1554" s="53"/>
      <x:c r="AC1554" s="53"/>
      <x:c r="AD1554" s="53"/>
      <x:c r="AE1554" s="53"/>
      <x:c r="AF1554" s="53"/>
    </x:row>
    <x:row r="1555">
      <x:c r="A1555" s="53"/>
      <x:c r="B1555" s="53"/>
      <x:c r="C1555" s="53"/>
      <x:c r="D1555" s="53"/>
      <x:c r="E1555" s="53"/>
      <x:c r="F1555" s="53"/>
      <x:c r="G1555" s="53"/>
      <x:c r="H1555" s="53"/>
      <x:c r="I1555" s="53"/>
      <x:c r="J1555" s="53"/>
      <x:c r="K1555" s="53"/>
      <x:c r="L1555" s="53"/>
      <x:c r="M1555" s="53"/>
      <x:c r="N1555" s="53"/>
      <x:c r="O1555" s="53"/>
      <x:c r="P1555" s="53"/>
      <x:c r="Q1555" s="53"/>
      <x:c r="R1555" s="53"/>
      <x:c r="S1555" s="53"/>
      <x:c r="T1555" s="53"/>
      <x:c r="U1555" s="53"/>
      <x:c r="V1555" s="53"/>
      <x:c r="W1555" s="53"/>
      <x:c r="X1555" s="53"/>
      <x:c r="Y1555" s="53"/>
      <x:c r="Z1555" s="53"/>
      <x:c r="AA1555" s="53"/>
      <x:c r="AB1555" s="53"/>
      <x:c r="AC1555" s="53"/>
      <x:c r="AD1555" s="53"/>
      <x:c r="AE1555" s="53"/>
      <x:c r="AF1555" s="53"/>
    </x:row>
    <x:row r="1556">
      <x:c r="A1556" s="53"/>
      <x:c r="B1556" s="53"/>
      <x:c r="C1556" s="53"/>
      <x:c r="D1556" s="53"/>
      <x:c r="E1556" s="53"/>
      <x:c r="F1556" s="53"/>
      <x:c r="G1556" s="53"/>
      <x:c r="H1556" s="53"/>
      <x:c r="I1556" s="53"/>
      <x:c r="J1556" s="53"/>
      <x:c r="K1556" s="53"/>
      <x:c r="L1556" s="53"/>
      <x:c r="M1556" s="53"/>
      <x:c r="N1556" s="53"/>
      <x:c r="O1556" s="53"/>
      <x:c r="P1556" s="53"/>
      <x:c r="Q1556" s="53"/>
      <x:c r="R1556" s="53"/>
      <x:c r="S1556" s="53"/>
      <x:c r="T1556" s="53"/>
      <x:c r="U1556" s="53"/>
      <x:c r="V1556" s="53"/>
      <x:c r="W1556" s="53"/>
      <x:c r="X1556" s="53"/>
      <x:c r="Y1556" s="53"/>
      <x:c r="Z1556" s="53"/>
      <x:c r="AA1556" s="53"/>
      <x:c r="AB1556" s="53"/>
      <x:c r="AC1556" s="53"/>
      <x:c r="AD1556" s="53"/>
      <x:c r="AE1556" s="53"/>
      <x:c r="AF1556" s="53"/>
    </x:row>
    <x:row r="1557">
      <x:c r="A1557" s="53"/>
      <x:c r="B1557" s="53"/>
      <x:c r="C1557" s="53"/>
      <x:c r="D1557" s="53"/>
      <x:c r="E1557" s="53"/>
      <x:c r="F1557" s="53"/>
      <x:c r="G1557" s="53"/>
      <x:c r="H1557" s="53"/>
      <x:c r="I1557" s="53"/>
      <x:c r="J1557" s="53"/>
      <x:c r="K1557" s="53"/>
      <x:c r="L1557" s="53"/>
      <x:c r="M1557" s="53"/>
      <x:c r="N1557" s="53"/>
      <x:c r="O1557" s="53"/>
      <x:c r="P1557" s="53"/>
      <x:c r="Q1557" s="53"/>
      <x:c r="R1557" s="53"/>
      <x:c r="S1557" s="53"/>
      <x:c r="T1557" s="53"/>
      <x:c r="U1557" s="53"/>
      <x:c r="V1557" s="53"/>
      <x:c r="W1557" s="53"/>
      <x:c r="X1557" s="53"/>
      <x:c r="Y1557" s="53"/>
      <x:c r="Z1557" s="53"/>
      <x:c r="AA1557" s="53"/>
      <x:c r="AB1557" s="53"/>
      <x:c r="AC1557" s="53"/>
      <x:c r="AD1557" s="53"/>
      <x:c r="AE1557" s="53"/>
      <x:c r="AF1557" s="53"/>
    </x:row>
    <x:row r="1558">
      <x:c r="A1558" s="53"/>
      <x:c r="B1558" s="53"/>
      <x:c r="C1558" s="53"/>
      <x:c r="D1558" s="53"/>
      <x:c r="E1558" s="53"/>
      <x:c r="F1558" s="53"/>
      <x:c r="G1558" s="53"/>
      <x:c r="H1558" s="53"/>
      <x:c r="I1558" s="53"/>
      <x:c r="J1558" s="53"/>
      <x:c r="K1558" s="53"/>
      <x:c r="L1558" s="53"/>
      <x:c r="M1558" s="53"/>
      <x:c r="N1558" s="53"/>
      <x:c r="O1558" s="53"/>
      <x:c r="P1558" s="53"/>
      <x:c r="Q1558" s="53"/>
      <x:c r="R1558" s="53"/>
      <x:c r="S1558" s="53"/>
      <x:c r="T1558" s="53"/>
      <x:c r="U1558" s="53"/>
      <x:c r="V1558" s="53"/>
      <x:c r="W1558" s="53"/>
      <x:c r="X1558" s="53"/>
      <x:c r="Y1558" s="53"/>
      <x:c r="Z1558" s="53"/>
      <x:c r="AA1558" s="53"/>
      <x:c r="AB1558" s="53"/>
      <x:c r="AC1558" s="53"/>
      <x:c r="AD1558" s="53"/>
      <x:c r="AE1558" s="53"/>
      <x:c r="AF1558" s="53"/>
    </x:row>
    <x:row r="1559">
      <x:c r="A1559" s="53"/>
      <x:c r="B1559" s="53"/>
      <x:c r="C1559" s="53"/>
      <x:c r="D1559" s="53"/>
      <x:c r="E1559" s="53"/>
      <x:c r="F1559" s="53"/>
      <x:c r="G1559" s="53"/>
      <x:c r="H1559" s="53"/>
      <x:c r="I1559" s="53"/>
      <x:c r="J1559" s="53"/>
      <x:c r="K1559" s="53"/>
      <x:c r="L1559" s="53"/>
      <x:c r="M1559" s="53"/>
      <x:c r="N1559" s="53"/>
      <x:c r="O1559" s="53"/>
      <x:c r="P1559" s="53"/>
      <x:c r="Q1559" s="53"/>
      <x:c r="R1559" s="53"/>
      <x:c r="S1559" s="53"/>
      <x:c r="T1559" s="53"/>
      <x:c r="U1559" s="53"/>
      <x:c r="V1559" s="53"/>
      <x:c r="W1559" s="53"/>
      <x:c r="X1559" s="53"/>
      <x:c r="Y1559" s="53"/>
      <x:c r="Z1559" s="53"/>
      <x:c r="AA1559" s="53"/>
      <x:c r="AB1559" s="53"/>
      <x:c r="AC1559" s="53"/>
      <x:c r="AD1559" s="53"/>
      <x:c r="AE1559" s="53"/>
      <x:c r="AF1559" s="53"/>
    </x:row>
    <x:row r="1560">
      <x:c r="A1560" s="53"/>
      <x:c r="B1560" s="53"/>
      <x:c r="C1560" s="53"/>
      <x:c r="D1560" s="53"/>
      <x:c r="E1560" s="53"/>
      <x:c r="F1560" s="53"/>
      <x:c r="G1560" s="53"/>
      <x:c r="H1560" s="53"/>
      <x:c r="I1560" s="53"/>
      <x:c r="J1560" s="53"/>
      <x:c r="K1560" s="53"/>
      <x:c r="L1560" s="53"/>
      <x:c r="M1560" s="53"/>
      <x:c r="N1560" s="53"/>
      <x:c r="O1560" s="53"/>
      <x:c r="P1560" s="53"/>
      <x:c r="Q1560" s="53"/>
      <x:c r="R1560" s="53"/>
      <x:c r="S1560" s="53"/>
      <x:c r="T1560" s="53"/>
      <x:c r="U1560" s="53"/>
      <x:c r="V1560" s="53"/>
      <x:c r="W1560" s="53"/>
      <x:c r="X1560" s="53"/>
      <x:c r="Y1560" s="53"/>
      <x:c r="Z1560" s="53"/>
      <x:c r="AA1560" s="53"/>
      <x:c r="AB1560" s="53"/>
      <x:c r="AC1560" s="53"/>
      <x:c r="AD1560" s="53"/>
      <x:c r="AE1560" s="53"/>
      <x:c r="AF1560" s="53"/>
    </x:row>
    <x:row r="1561">
      <x:c r="A1561" s="53"/>
      <x:c r="B1561" s="53"/>
      <x:c r="C1561" s="53"/>
      <x:c r="D1561" s="53"/>
      <x:c r="E1561" s="53"/>
      <x:c r="F1561" s="53"/>
      <x:c r="G1561" s="53"/>
      <x:c r="H1561" s="53"/>
      <x:c r="I1561" s="53"/>
      <x:c r="J1561" s="53"/>
      <x:c r="K1561" s="53"/>
      <x:c r="L1561" s="53"/>
      <x:c r="M1561" s="53"/>
      <x:c r="N1561" s="53"/>
      <x:c r="O1561" s="53"/>
      <x:c r="P1561" s="53"/>
      <x:c r="Q1561" s="53"/>
      <x:c r="R1561" s="53"/>
      <x:c r="S1561" s="53"/>
      <x:c r="T1561" s="53"/>
      <x:c r="U1561" s="53"/>
      <x:c r="V1561" s="53"/>
      <x:c r="W1561" s="53"/>
      <x:c r="X1561" s="53"/>
      <x:c r="Y1561" s="53"/>
      <x:c r="Z1561" s="53"/>
      <x:c r="AA1561" s="53"/>
      <x:c r="AB1561" s="53"/>
      <x:c r="AC1561" s="53"/>
      <x:c r="AD1561" s="53"/>
      <x:c r="AE1561" s="53"/>
      <x:c r="AF1561" s="53"/>
    </x:row>
    <x:row r="1562">
      <x:c r="A1562" s="53"/>
      <x:c r="B1562" s="53"/>
      <x:c r="C1562" s="53"/>
      <x:c r="D1562" s="53"/>
      <x:c r="E1562" s="53"/>
      <x:c r="F1562" s="53"/>
      <x:c r="G1562" s="53"/>
      <x:c r="H1562" s="53"/>
      <x:c r="I1562" s="53"/>
      <x:c r="J1562" s="53"/>
      <x:c r="K1562" s="53"/>
      <x:c r="L1562" s="53"/>
      <x:c r="M1562" s="53"/>
      <x:c r="N1562" s="53"/>
      <x:c r="O1562" s="53"/>
      <x:c r="P1562" s="53"/>
      <x:c r="Q1562" s="53"/>
      <x:c r="R1562" s="53"/>
      <x:c r="S1562" s="53"/>
      <x:c r="T1562" s="53"/>
      <x:c r="U1562" s="53"/>
      <x:c r="V1562" s="53"/>
      <x:c r="W1562" s="53"/>
      <x:c r="X1562" s="53"/>
      <x:c r="Y1562" s="53"/>
      <x:c r="Z1562" s="53"/>
      <x:c r="AA1562" s="53"/>
      <x:c r="AB1562" s="53"/>
      <x:c r="AC1562" s="53"/>
      <x:c r="AD1562" s="53"/>
      <x:c r="AE1562" s="53"/>
      <x:c r="AF1562" s="53"/>
    </x:row>
    <x:row r="1563">
      <x:c r="A1563" s="53"/>
      <x:c r="B1563" s="53"/>
      <x:c r="C1563" s="53"/>
      <x:c r="D1563" s="53"/>
      <x:c r="E1563" s="53"/>
      <x:c r="F1563" s="53"/>
      <x:c r="G1563" s="53"/>
      <x:c r="H1563" s="53"/>
      <x:c r="I1563" s="53"/>
      <x:c r="J1563" s="53"/>
      <x:c r="K1563" s="53"/>
      <x:c r="L1563" s="53"/>
      <x:c r="M1563" s="53"/>
      <x:c r="N1563" s="53"/>
      <x:c r="O1563" s="53"/>
      <x:c r="P1563" s="53"/>
      <x:c r="Q1563" s="53"/>
      <x:c r="R1563" s="53"/>
      <x:c r="S1563" s="53"/>
      <x:c r="T1563" s="53"/>
      <x:c r="U1563" s="53"/>
      <x:c r="V1563" s="53"/>
      <x:c r="W1563" s="53"/>
      <x:c r="X1563" s="53"/>
      <x:c r="Y1563" s="53"/>
      <x:c r="Z1563" s="53"/>
      <x:c r="AA1563" s="53"/>
      <x:c r="AB1563" s="53"/>
      <x:c r="AC1563" s="53"/>
      <x:c r="AD1563" s="53"/>
      <x:c r="AE1563" s="53"/>
      <x:c r="AF1563" s="53"/>
    </x:row>
    <x:row r="1564">
      <x:c r="A1564" s="53"/>
      <x:c r="B1564" s="53"/>
      <x:c r="C1564" s="53"/>
      <x:c r="D1564" s="53"/>
      <x:c r="E1564" s="53"/>
      <x:c r="F1564" s="53"/>
      <x:c r="G1564" s="53"/>
      <x:c r="H1564" s="53"/>
      <x:c r="I1564" s="53"/>
      <x:c r="J1564" s="53"/>
      <x:c r="K1564" s="53"/>
      <x:c r="L1564" s="53"/>
      <x:c r="M1564" s="53"/>
      <x:c r="N1564" s="53"/>
      <x:c r="O1564" s="53"/>
      <x:c r="P1564" s="53"/>
      <x:c r="Q1564" s="53"/>
      <x:c r="R1564" s="53"/>
      <x:c r="S1564" s="53"/>
      <x:c r="T1564" s="53"/>
      <x:c r="U1564" s="53"/>
      <x:c r="V1564" s="53"/>
      <x:c r="W1564" s="53"/>
      <x:c r="X1564" s="53"/>
      <x:c r="Y1564" s="53"/>
      <x:c r="Z1564" s="53"/>
      <x:c r="AA1564" s="53"/>
      <x:c r="AB1564" s="53"/>
      <x:c r="AC1564" s="53"/>
      <x:c r="AD1564" s="53"/>
      <x:c r="AE1564" s="53"/>
      <x:c r="AF1564" s="53"/>
    </x:row>
    <x:row r="1565">
      <x:c r="A1565" s="53"/>
      <x:c r="B1565" s="53"/>
      <x:c r="C1565" s="53"/>
      <x:c r="D1565" s="53"/>
      <x:c r="E1565" s="53"/>
      <x:c r="F1565" s="53"/>
      <x:c r="G1565" s="53"/>
      <x:c r="H1565" s="53"/>
      <x:c r="I1565" s="53"/>
      <x:c r="J1565" s="53"/>
      <x:c r="K1565" s="53"/>
      <x:c r="L1565" s="53"/>
      <x:c r="M1565" s="53"/>
      <x:c r="N1565" s="53"/>
      <x:c r="O1565" s="53"/>
      <x:c r="P1565" s="53"/>
      <x:c r="Q1565" s="53"/>
      <x:c r="R1565" s="53"/>
      <x:c r="S1565" s="53"/>
      <x:c r="T1565" s="53"/>
      <x:c r="U1565" s="53"/>
      <x:c r="V1565" s="53"/>
      <x:c r="W1565" s="53"/>
      <x:c r="X1565" s="53"/>
      <x:c r="Y1565" s="53"/>
      <x:c r="Z1565" s="53"/>
      <x:c r="AA1565" s="53"/>
      <x:c r="AB1565" s="53"/>
      <x:c r="AC1565" s="53"/>
      <x:c r="AD1565" s="53"/>
      <x:c r="AE1565" s="53"/>
      <x:c r="AF1565" s="53"/>
    </x:row>
    <x:row r="1566">
      <x:c r="A1566" s="53"/>
      <x:c r="B1566" s="53"/>
      <x:c r="C1566" s="53"/>
      <x:c r="D1566" s="53"/>
      <x:c r="E1566" s="53"/>
      <x:c r="F1566" s="53"/>
      <x:c r="G1566" s="53"/>
      <x:c r="H1566" s="53"/>
      <x:c r="I1566" s="53"/>
      <x:c r="J1566" s="53"/>
      <x:c r="K1566" s="53"/>
      <x:c r="L1566" s="53"/>
      <x:c r="M1566" s="53"/>
      <x:c r="N1566" s="53"/>
      <x:c r="O1566" s="53"/>
      <x:c r="P1566" s="53"/>
      <x:c r="Q1566" s="53"/>
      <x:c r="R1566" s="53"/>
      <x:c r="S1566" s="53"/>
      <x:c r="T1566" s="53"/>
      <x:c r="U1566" s="53"/>
      <x:c r="V1566" s="53"/>
      <x:c r="W1566" s="53"/>
      <x:c r="X1566" s="53"/>
      <x:c r="Y1566" s="53"/>
      <x:c r="Z1566" s="53"/>
      <x:c r="AA1566" s="53"/>
      <x:c r="AB1566" s="53"/>
      <x:c r="AC1566" s="53"/>
      <x:c r="AD1566" s="53"/>
      <x:c r="AE1566" s="53"/>
      <x:c r="AF1566" s="53"/>
    </x:row>
    <x:row r="1567">
      <x:c r="A1567" s="53"/>
      <x:c r="B1567" s="53"/>
      <x:c r="C1567" s="53"/>
      <x:c r="D1567" s="53"/>
      <x:c r="E1567" s="53"/>
      <x:c r="F1567" s="53"/>
      <x:c r="G1567" s="53"/>
      <x:c r="H1567" s="53"/>
      <x:c r="I1567" s="53"/>
      <x:c r="J1567" s="53"/>
      <x:c r="K1567" s="53"/>
      <x:c r="L1567" s="53"/>
      <x:c r="M1567" s="53"/>
      <x:c r="N1567" s="53"/>
      <x:c r="O1567" s="53"/>
      <x:c r="P1567" s="53"/>
      <x:c r="Q1567" s="53"/>
      <x:c r="R1567" s="53"/>
      <x:c r="S1567" s="53"/>
      <x:c r="T1567" s="53"/>
      <x:c r="U1567" s="53"/>
      <x:c r="V1567" s="53"/>
      <x:c r="W1567" s="53"/>
      <x:c r="X1567" s="53"/>
      <x:c r="Y1567" s="53"/>
      <x:c r="Z1567" s="53"/>
      <x:c r="AA1567" s="53"/>
      <x:c r="AB1567" s="53"/>
      <x:c r="AC1567" s="53"/>
      <x:c r="AD1567" s="53"/>
      <x:c r="AE1567" s="53"/>
      <x:c r="AF1567" s="53"/>
    </x:row>
    <x:row r="1568">
      <x:c r="A1568" s="53"/>
      <x:c r="B1568" s="53"/>
      <x:c r="C1568" s="53"/>
      <x:c r="D1568" s="53"/>
      <x:c r="E1568" s="53"/>
      <x:c r="F1568" s="53"/>
      <x:c r="G1568" s="53"/>
      <x:c r="H1568" s="53"/>
      <x:c r="I1568" s="53"/>
      <x:c r="J1568" s="53"/>
      <x:c r="K1568" s="53"/>
      <x:c r="L1568" s="53"/>
      <x:c r="M1568" s="53"/>
      <x:c r="N1568" s="53"/>
      <x:c r="O1568" s="53"/>
      <x:c r="P1568" s="53"/>
      <x:c r="Q1568" s="53"/>
      <x:c r="R1568" s="53"/>
      <x:c r="S1568" s="53"/>
      <x:c r="T1568" s="53"/>
      <x:c r="U1568" s="53"/>
      <x:c r="V1568" s="53"/>
      <x:c r="W1568" s="53"/>
      <x:c r="X1568" s="53"/>
      <x:c r="Y1568" s="53"/>
      <x:c r="Z1568" s="53"/>
      <x:c r="AA1568" s="53"/>
      <x:c r="AB1568" s="53"/>
      <x:c r="AC1568" s="53"/>
      <x:c r="AD1568" s="53"/>
      <x:c r="AE1568" s="53"/>
      <x:c r="AF1568" s="53"/>
    </x:row>
    <x:row r="1569">
      <x:c r="A1569" s="53"/>
      <x:c r="B1569" s="53"/>
      <x:c r="C1569" s="53"/>
      <x:c r="D1569" s="53"/>
      <x:c r="E1569" s="53"/>
      <x:c r="F1569" s="53"/>
      <x:c r="G1569" s="53"/>
      <x:c r="H1569" s="53"/>
      <x:c r="I1569" s="53"/>
      <x:c r="J1569" s="53"/>
      <x:c r="K1569" s="53"/>
      <x:c r="L1569" s="53"/>
      <x:c r="M1569" s="53"/>
      <x:c r="N1569" s="53"/>
      <x:c r="O1569" s="53"/>
      <x:c r="P1569" s="53"/>
      <x:c r="Q1569" s="53"/>
      <x:c r="R1569" s="53"/>
      <x:c r="S1569" s="53"/>
      <x:c r="T1569" s="53"/>
      <x:c r="U1569" s="53"/>
      <x:c r="V1569" s="53"/>
      <x:c r="W1569" s="53"/>
      <x:c r="X1569" s="53"/>
      <x:c r="Y1569" s="53"/>
      <x:c r="Z1569" s="53"/>
      <x:c r="AA1569" s="53"/>
      <x:c r="AB1569" s="53"/>
      <x:c r="AC1569" s="53"/>
      <x:c r="AD1569" s="53"/>
      <x:c r="AE1569" s="53"/>
      <x:c r="AF1569" s="53"/>
    </x:row>
    <x:row r="1570">
      <x:c r="A1570" s="53"/>
      <x:c r="B1570" s="53"/>
      <x:c r="C1570" s="53"/>
      <x:c r="D1570" s="53"/>
      <x:c r="E1570" s="53"/>
      <x:c r="F1570" s="53"/>
      <x:c r="G1570" s="53"/>
      <x:c r="H1570" s="53"/>
      <x:c r="I1570" s="53"/>
      <x:c r="J1570" s="53"/>
      <x:c r="K1570" s="53"/>
      <x:c r="L1570" s="53"/>
      <x:c r="M1570" s="53"/>
      <x:c r="N1570" s="53"/>
      <x:c r="O1570" s="53"/>
      <x:c r="P1570" s="53"/>
      <x:c r="Q1570" s="53"/>
      <x:c r="R1570" s="53"/>
      <x:c r="S1570" s="53"/>
      <x:c r="T1570" s="53"/>
      <x:c r="U1570" s="53"/>
      <x:c r="V1570" s="53"/>
      <x:c r="W1570" s="53"/>
      <x:c r="X1570" s="53"/>
      <x:c r="Y1570" s="53"/>
      <x:c r="Z1570" s="53"/>
      <x:c r="AA1570" s="53"/>
      <x:c r="AB1570" s="53"/>
      <x:c r="AC1570" s="53"/>
      <x:c r="AD1570" s="53"/>
      <x:c r="AE1570" s="53"/>
      <x:c r="AF1570" s="53"/>
    </x:row>
    <x:row r="1571">
      <x:c r="A1571" s="53"/>
      <x:c r="B1571" s="53"/>
      <x:c r="C1571" s="53"/>
      <x:c r="D1571" s="53"/>
      <x:c r="E1571" s="53"/>
      <x:c r="F1571" s="53"/>
      <x:c r="G1571" s="53"/>
      <x:c r="H1571" s="53"/>
      <x:c r="I1571" s="53"/>
      <x:c r="J1571" s="53"/>
      <x:c r="K1571" s="53"/>
      <x:c r="L1571" s="53"/>
      <x:c r="M1571" s="53"/>
      <x:c r="N1571" s="53"/>
      <x:c r="O1571" s="53"/>
      <x:c r="P1571" s="53"/>
      <x:c r="Q1571" s="53"/>
      <x:c r="R1571" s="53"/>
      <x:c r="S1571" s="53"/>
      <x:c r="T1571" s="53"/>
      <x:c r="U1571" s="53"/>
      <x:c r="V1571" s="53"/>
      <x:c r="W1571" s="53"/>
      <x:c r="X1571" s="53"/>
      <x:c r="Y1571" s="53"/>
      <x:c r="Z1571" s="53"/>
      <x:c r="AA1571" s="53"/>
      <x:c r="AB1571" s="53"/>
      <x:c r="AC1571" s="53"/>
      <x:c r="AD1571" s="53"/>
      <x:c r="AE1571" s="53"/>
      <x:c r="AF1571" s="53"/>
    </x:row>
    <x:row r="1572">
      <x:c r="A1572" s="53"/>
      <x:c r="B1572" s="53"/>
      <x:c r="C1572" s="53"/>
      <x:c r="D1572" s="53"/>
      <x:c r="E1572" s="53"/>
      <x:c r="F1572" s="53"/>
      <x:c r="G1572" s="53"/>
      <x:c r="H1572" s="53"/>
      <x:c r="I1572" s="53"/>
      <x:c r="J1572" s="53"/>
      <x:c r="K1572" s="53"/>
      <x:c r="L1572" s="53"/>
      <x:c r="M1572" s="53"/>
      <x:c r="N1572" s="53"/>
      <x:c r="O1572" s="53"/>
      <x:c r="P1572" s="53"/>
      <x:c r="Q1572" s="53"/>
      <x:c r="R1572" s="53"/>
      <x:c r="S1572" s="53"/>
      <x:c r="T1572" s="53"/>
      <x:c r="U1572" s="53"/>
      <x:c r="V1572" s="53"/>
      <x:c r="W1572" s="53"/>
      <x:c r="X1572" s="53"/>
      <x:c r="Y1572" s="53"/>
      <x:c r="Z1572" s="53"/>
      <x:c r="AA1572" s="53"/>
      <x:c r="AB1572" s="53"/>
      <x:c r="AC1572" s="53"/>
      <x:c r="AD1572" s="53"/>
      <x:c r="AE1572" s="53"/>
      <x:c r="AF1572" s="53"/>
    </x:row>
    <x:row r="1573">
      <x:c r="A1573" s="53"/>
      <x:c r="B1573" s="53"/>
      <x:c r="C1573" s="53"/>
      <x:c r="D1573" s="53"/>
      <x:c r="E1573" s="53"/>
      <x:c r="F1573" s="53"/>
      <x:c r="G1573" s="53"/>
      <x:c r="H1573" s="53"/>
      <x:c r="I1573" s="53"/>
      <x:c r="J1573" s="53"/>
      <x:c r="K1573" s="53"/>
      <x:c r="L1573" s="53"/>
      <x:c r="M1573" s="53"/>
      <x:c r="N1573" s="53"/>
      <x:c r="O1573" s="53"/>
      <x:c r="P1573" s="53"/>
      <x:c r="Q1573" s="53"/>
      <x:c r="R1573" s="53"/>
      <x:c r="S1573" s="53"/>
      <x:c r="T1573" s="53"/>
      <x:c r="U1573" s="53"/>
      <x:c r="V1573" s="53"/>
      <x:c r="W1573" s="53"/>
      <x:c r="X1573" s="53"/>
      <x:c r="Y1573" s="53"/>
      <x:c r="Z1573" s="53"/>
      <x:c r="AA1573" s="53"/>
      <x:c r="AB1573" s="53"/>
      <x:c r="AC1573" s="53"/>
      <x:c r="AD1573" s="53"/>
      <x:c r="AE1573" s="53"/>
      <x:c r="AF1573" s="53"/>
    </x:row>
    <x:row r="1574">
      <x:c r="A1574" s="53"/>
      <x:c r="B1574" s="53"/>
      <x:c r="C1574" s="53"/>
      <x:c r="D1574" s="53"/>
      <x:c r="E1574" s="53"/>
      <x:c r="F1574" s="53"/>
      <x:c r="G1574" s="53"/>
      <x:c r="H1574" s="53"/>
      <x:c r="I1574" s="53"/>
      <x:c r="J1574" s="53"/>
      <x:c r="K1574" s="53"/>
      <x:c r="L1574" s="53"/>
      <x:c r="M1574" s="53"/>
      <x:c r="N1574" s="53"/>
      <x:c r="O1574" s="53"/>
      <x:c r="P1574" s="53"/>
      <x:c r="Q1574" s="53"/>
      <x:c r="R1574" s="53"/>
      <x:c r="S1574" s="53"/>
      <x:c r="T1574" s="53"/>
      <x:c r="U1574" s="53"/>
      <x:c r="V1574" s="53"/>
      <x:c r="W1574" s="53"/>
      <x:c r="X1574" s="53"/>
      <x:c r="Y1574" s="53"/>
      <x:c r="Z1574" s="53"/>
      <x:c r="AA1574" s="53"/>
      <x:c r="AB1574" s="53"/>
      <x:c r="AC1574" s="53"/>
      <x:c r="AD1574" s="53"/>
      <x:c r="AE1574" s="53"/>
      <x:c r="AF1574" s="53"/>
    </x:row>
    <x:row r="1575">
      <x:c r="A1575" s="53"/>
      <x:c r="B1575" s="53"/>
      <x:c r="C1575" s="53"/>
      <x:c r="D1575" s="53"/>
      <x:c r="E1575" s="53"/>
      <x:c r="F1575" s="53"/>
      <x:c r="G1575" s="53"/>
      <x:c r="H1575" s="53"/>
      <x:c r="I1575" s="53"/>
      <x:c r="J1575" s="53"/>
      <x:c r="K1575" s="53"/>
      <x:c r="L1575" s="53"/>
      <x:c r="M1575" s="53"/>
      <x:c r="N1575" s="53"/>
      <x:c r="O1575" s="53"/>
      <x:c r="P1575" s="53"/>
      <x:c r="Q1575" s="53"/>
      <x:c r="R1575" s="53"/>
      <x:c r="S1575" s="53"/>
      <x:c r="T1575" s="53"/>
      <x:c r="U1575" s="53"/>
      <x:c r="V1575" s="53"/>
      <x:c r="W1575" s="53"/>
      <x:c r="X1575" s="53"/>
      <x:c r="Y1575" s="53"/>
      <x:c r="Z1575" s="53"/>
      <x:c r="AA1575" s="53"/>
      <x:c r="AB1575" s="53"/>
      <x:c r="AC1575" s="53"/>
      <x:c r="AD1575" s="53"/>
      <x:c r="AE1575" s="53"/>
      <x:c r="AF1575" s="53"/>
    </x:row>
    <x:row r="1576">
      <x:c r="A1576" s="53"/>
      <x:c r="B1576" s="53"/>
      <x:c r="C1576" s="53"/>
      <x:c r="D1576" s="53"/>
      <x:c r="E1576" s="53"/>
      <x:c r="F1576" s="53"/>
      <x:c r="G1576" s="53"/>
      <x:c r="H1576" s="53"/>
      <x:c r="I1576" s="53"/>
      <x:c r="J1576" s="53"/>
      <x:c r="K1576" s="53"/>
      <x:c r="L1576" s="53"/>
      <x:c r="M1576" s="53"/>
      <x:c r="N1576" s="53"/>
      <x:c r="O1576" s="53"/>
      <x:c r="P1576" s="53"/>
      <x:c r="Q1576" s="53"/>
      <x:c r="R1576" s="53"/>
      <x:c r="S1576" s="53"/>
      <x:c r="T1576" s="53"/>
      <x:c r="U1576" s="53"/>
      <x:c r="V1576" s="53"/>
      <x:c r="W1576" s="53"/>
      <x:c r="X1576" s="53"/>
      <x:c r="Y1576" s="53"/>
      <x:c r="Z1576" s="53"/>
      <x:c r="AA1576" s="53"/>
      <x:c r="AB1576" s="53"/>
      <x:c r="AC1576" s="53"/>
      <x:c r="AD1576" s="53"/>
      <x:c r="AE1576" s="53"/>
      <x:c r="AF1576" s="53"/>
    </x:row>
    <x:row r="1577">
      <x:c r="A1577" s="53"/>
      <x:c r="B1577" s="53"/>
      <x:c r="C1577" s="53"/>
      <x:c r="D1577" s="53"/>
      <x:c r="E1577" s="53"/>
      <x:c r="F1577" s="53"/>
      <x:c r="G1577" s="53"/>
      <x:c r="H1577" s="53"/>
      <x:c r="I1577" s="53"/>
      <x:c r="J1577" s="53"/>
      <x:c r="K1577" s="53"/>
      <x:c r="L1577" s="53"/>
      <x:c r="M1577" s="53"/>
      <x:c r="N1577" s="53"/>
      <x:c r="O1577" s="53"/>
      <x:c r="P1577" s="53"/>
      <x:c r="Q1577" s="53"/>
      <x:c r="R1577" s="53"/>
      <x:c r="S1577" s="53"/>
      <x:c r="T1577" s="53"/>
      <x:c r="U1577" s="53"/>
      <x:c r="V1577" s="53"/>
      <x:c r="W1577" s="53"/>
      <x:c r="X1577" s="53"/>
      <x:c r="Y1577" s="53"/>
      <x:c r="Z1577" s="53"/>
      <x:c r="AA1577" s="53"/>
      <x:c r="AB1577" s="53"/>
      <x:c r="AC1577" s="53"/>
      <x:c r="AD1577" s="53"/>
      <x:c r="AE1577" s="53"/>
      <x:c r="AF1577" s="53"/>
    </x:row>
    <x:row r="1578">
      <x:c r="A1578" s="53"/>
      <x:c r="B1578" s="53"/>
      <x:c r="C1578" s="53"/>
      <x:c r="D1578" s="53"/>
      <x:c r="E1578" s="53"/>
      <x:c r="F1578" s="53"/>
      <x:c r="G1578" s="53"/>
      <x:c r="H1578" s="53"/>
      <x:c r="I1578" s="53"/>
      <x:c r="J1578" s="53"/>
      <x:c r="K1578" s="53"/>
      <x:c r="L1578" s="53"/>
      <x:c r="M1578" s="53"/>
      <x:c r="N1578" s="53"/>
      <x:c r="O1578" s="53"/>
      <x:c r="P1578" s="53"/>
      <x:c r="Q1578" s="53"/>
      <x:c r="R1578" s="53"/>
      <x:c r="S1578" s="53"/>
      <x:c r="T1578" s="53"/>
      <x:c r="U1578" s="53"/>
      <x:c r="V1578" s="53"/>
      <x:c r="W1578" s="53"/>
      <x:c r="X1578" s="53"/>
      <x:c r="Y1578" s="53"/>
      <x:c r="Z1578" s="53"/>
      <x:c r="AA1578" s="53"/>
      <x:c r="AB1578" s="53"/>
      <x:c r="AC1578" s="53"/>
      <x:c r="AD1578" s="53"/>
      <x:c r="AE1578" s="53"/>
      <x:c r="AF1578" s="53"/>
    </x:row>
    <x:row r="1579">
      <x:c r="A1579" s="53"/>
      <x:c r="B1579" s="53"/>
      <x:c r="C1579" s="53"/>
      <x:c r="D1579" s="53"/>
      <x:c r="E1579" s="53"/>
      <x:c r="F1579" s="53"/>
      <x:c r="G1579" s="53"/>
      <x:c r="H1579" s="53"/>
      <x:c r="I1579" s="53"/>
      <x:c r="J1579" s="53"/>
      <x:c r="K1579" s="53"/>
      <x:c r="L1579" s="53"/>
      <x:c r="M1579" s="53"/>
      <x:c r="N1579" s="53"/>
      <x:c r="O1579" s="53"/>
      <x:c r="P1579" s="53"/>
      <x:c r="Q1579" s="53"/>
      <x:c r="R1579" s="53"/>
      <x:c r="S1579" s="53"/>
      <x:c r="T1579" s="53"/>
      <x:c r="U1579" s="53"/>
      <x:c r="V1579" s="53"/>
      <x:c r="W1579" s="53"/>
      <x:c r="X1579" s="53"/>
      <x:c r="Y1579" s="53"/>
      <x:c r="Z1579" s="53"/>
      <x:c r="AA1579" s="53"/>
      <x:c r="AB1579" s="53"/>
      <x:c r="AC1579" s="53"/>
      <x:c r="AD1579" s="53"/>
      <x:c r="AE1579" s="53"/>
      <x:c r="AF1579" s="53"/>
    </x:row>
    <x:row r="1580">
      <x:c r="A1580" s="53"/>
      <x:c r="B1580" s="53"/>
      <x:c r="C1580" s="53"/>
      <x:c r="D1580" s="53"/>
      <x:c r="E1580" s="53"/>
      <x:c r="F1580" s="53"/>
      <x:c r="G1580" s="53"/>
      <x:c r="H1580" s="53"/>
      <x:c r="I1580" s="53"/>
      <x:c r="J1580" s="53"/>
      <x:c r="K1580" s="53"/>
      <x:c r="L1580" s="53"/>
      <x:c r="M1580" s="53"/>
      <x:c r="N1580" s="53"/>
      <x:c r="O1580" s="53"/>
      <x:c r="P1580" s="53"/>
      <x:c r="Q1580" s="53"/>
      <x:c r="R1580" s="53"/>
      <x:c r="S1580" s="53"/>
      <x:c r="T1580" s="53"/>
      <x:c r="U1580" s="53"/>
      <x:c r="V1580" s="53"/>
      <x:c r="W1580" s="53"/>
      <x:c r="X1580" s="53"/>
      <x:c r="Y1580" s="53"/>
      <x:c r="Z1580" s="53"/>
      <x:c r="AA1580" s="53"/>
      <x:c r="AB1580" s="53"/>
      <x:c r="AC1580" s="53"/>
      <x:c r="AD1580" s="53"/>
      <x:c r="AE1580" s="53"/>
      <x:c r="AF1580" s="53"/>
    </x:row>
    <x:row r="1581">
      <x:c r="A1581" s="53"/>
      <x:c r="B1581" s="53"/>
      <x:c r="C1581" s="53"/>
      <x:c r="D1581" s="53"/>
      <x:c r="E1581" s="53"/>
      <x:c r="F1581" s="53"/>
      <x:c r="G1581" s="53"/>
      <x:c r="H1581" s="53"/>
      <x:c r="I1581" s="53"/>
      <x:c r="J1581" s="53"/>
      <x:c r="K1581" s="53"/>
      <x:c r="L1581" s="53"/>
      <x:c r="M1581" s="53"/>
      <x:c r="N1581" s="53"/>
      <x:c r="O1581" s="53"/>
      <x:c r="P1581" s="53"/>
      <x:c r="Q1581" s="53"/>
      <x:c r="R1581" s="53"/>
      <x:c r="S1581" s="53"/>
      <x:c r="T1581" s="53"/>
      <x:c r="U1581" s="53"/>
      <x:c r="V1581" s="53"/>
      <x:c r="W1581" s="53"/>
      <x:c r="X1581" s="53"/>
      <x:c r="Y1581" s="53"/>
      <x:c r="Z1581" s="53"/>
      <x:c r="AA1581" s="53"/>
      <x:c r="AB1581" s="53"/>
      <x:c r="AC1581" s="53"/>
      <x:c r="AD1581" s="53"/>
      <x:c r="AE1581" s="53"/>
      <x:c r="AF1581" s="53"/>
    </x:row>
    <x:row r="1582">
      <x:c r="A1582" s="53"/>
      <x:c r="B1582" s="53"/>
      <x:c r="C1582" s="53"/>
      <x:c r="D1582" s="53"/>
      <x:c r="E1582" s="53"/>
      <x:c r="F1582" s="53"/>
      <x:c r="G1582" s="53"/>
      <x:c r="H1582" s="53"/>
      <x:c r="I1582" s="53"/>
      <x:c r="J1582" s="53"/>
      <x:c r="K1582" s="53"/>
      <x:c r="L1582" s="53"/>
      <x:c r="M1582" s="53"/>
      <x:c r="N1582" s="53"/>
      <x:c r="O1582" s="53"/>
      <x:c r="P1582" s="53"/>
      <x:c r="Q1582" s="53"/>
      <x:c r="R1582" s="53"/>
      <x:c r="S1582" s="53"/>
      <x:c r="T1582" s="53"/>
      <x:c r="U1582" s="53"/>
      <x:c r="V1582" s="53"/>
      <x:c r="W1582" s="53"/>
      <x:c r="X1582" s="53"/>
      <x:c r="Y1582" s="53"/>
      <x:c r="Z1582" s="53"/>
      <x:c r="AA1582" s="53"/>
      <x:c r="AB1582" s="53"/>
      <x:c r="AC1582" s="53"/>
      <x:c r="AD1582" s="53"/>
      <x:c r="AE1582" s="53"/>
      <x:c r="AF1582" s="53"/>
    </x:row>
    <x:row r="1583">
      <x:c r="A1583" s="53"/>
      <x:c r="B1583" s="53"/>
      <x:c r="C1583" s="53"/>
      <x:c r="D1583" s="53"/>
      <x:c r="E1583" s="53"/>
      <x:c r="F1583" s="53"/>
      <x:c r="G1583" s="53"/>
      <x:c r="H1583" s="53"/>
      <x:c r="I1583" s="53"/>
      <x:c r="J1583" s="53"/>
      <x:c r="K1583" s="53"/>
      <x:c r="L1583" s="53"/>
      <x:c r="M1583" s="53"/>
      <x:c r="N1583" s="53"/>
      <x:c r="O1583" s="53"/>
      <x:c r="P1583" s="53"/>
      <x:c r="Q1583" s="53"/>
      <x:c r="R1583" s="53"/>
      <x:c r="S1583" s="53"/>
      <x:c r="T1583" s="53"/>
      <x:c r="U1583" s="53"/>
      <x:c r="V1583" s="53"/>
      <x:c r="W1583" s="53"/>
      <x:c r="X1583" s="53"/>
      <x:c r="Y1583" s="53"/>
      <x:c r="Z1583" s="53"/>
      <x:c r="AA1583" s="53"/>
      <x:c r="AB1583" s="53"/>
      <x:c r="AC1583" s="53"/>
      <x:c r="AD1583" s="53"/>
      <x:c r="AE1583" s="53"/>
      <x:c r="AF1583" s="53"/>
    </x:row>
    <x:row r="1584">
      <x:c r="A1584" s="53"/>
      <x:c r="B1584" s="53"/>
      <x:c r="C1584" s="53"/>
      <x:c r="D1584" s="53"/>
      <x:c r="E1584" s="53"/>
      <x:c r="F1584" s="53"/>
      <x:c r="G1584" s="53"/>
      <x:c r="H1584" s="53"/>
      <x:c r="I1584" s="53"/>
      <x:c r="J1584" s="53"/>
      <x:c r="K1584" s="53"/>
      <x:c r="L1584" s="53"/>
      <x:c r="M1584" s="53"/>
      <x:c r="N1584" s="53"/>
      <x:c r="O1584" s="53"/>
      <x:c r="P1584" s="53"/>
      <x:c r="Q1584" s="53"/>
      <x:c r="R1584" s="53"/>
      <x:c r="S1584" s="53"/>
      <x:c r="T1584" s="53"/>
      <x:c r="U1584" s="53"/>
      <x:c r="V1584" s="53"/>
      <x:c r="W1584" s="53"/>
      <x:c r="X1584" s="53"/>
      <x:c r="Y1584" s="53"/>
      <x:c r="Z1584" s="53"/>
      <x:c r="AA1584" s="53"/>
      <x:c r="AB1584" s="53"/>
      <x:c r="AC1584" s="53"/>
      <x:c r="AD1584" s="53"/>
      <x:c r="AE1584" s="53"/>
      <x:c r="AF1584" s="53"/>
    </x:row>
    <x:row r="1585">
      <x:c r="A1585" s="53"/>
      <x:c r="B1585" s="53"/>
      <x:c r="C1585" s="53"/>
      <x:c r="D1585" s="53"/>
      <x:c r="E1585" s="53"/>
      <x:c r="F1585" s="53"/>
      <x:c r="G1585" s="53"/>
      <x:c r="H1585" s="53"/>
      <x:c r="I1585" s="53"/>
      <x:c r="J1585" s="53"/>
      <x:c r="K1585" s="53"/>
      <x:c r="L1585" s="53"/>
      <x:c r="M1585" s="53"/>
      <x:c r="N1585" s="53"/>
      <x:c r="O1585" s="53"/>
      <x:c r="P1585" s="53"/>
      <x:c r="Q1585" s="53"/>
      <x:c r="R1585" s="53"/>
      <x:c r="S1585" s="53"/>
      <x:c r="T1585" s="53"/>
      <x:c r="U1585" s="53"/>
      <x:c r="V1585" s="53"/>
      <x:c r="W1585" s="53"/>
      <x:c r="X1585" s="53"/>
      <x:c r="Y1585" s="53"/>
      <x:c r="Z1585" s="53"/>
      <x:c r="AA1585" s="53"/>
      <x:c r="AB1585" s="53"/>
      <x:c r="AC1585" s="53"/>
      <x:c r="AD1585" s="53"/>
      <x:c r="AE1585" s="53"/>
      <x:c r="AF1585" s="53"/>
    </x:row>
    <x:row r="1586">
      <x:c r="A1586" s="53"/>
      <x:c r="B1586" s="53"/>
      <x:c r="C1586" s="53"/>
      <x:c r="D1586" s="53"/>
      <x:c r="E1586" s="53"/>
      <x:c r="F1586" s="53"/>
      <x:c r="G1586" s="53"/>
      <x:c r="H1586" s="53"/>
      <x:c r="I1586" s="53"/>
      <x:c r="J1586" s="53"/>
      <x:c r="K1586" s="53"/>
      <x:c r="L1586" s="53"/>
      <x:c r="M1586" s="53"/>
      <x:c r="N1586" s="53"/>
      <x:c r="O1586" s="53"/>
      <x:c r="P1586" s="53"/>
      <x:c r="Q1586" s="53"/>
      <x:c r="R1586" s="53"/>
      <x:c r="S1586" s="53"/>
      <x:c r="T1586" s="53"/>
      <x:c r="U1586" s="53"/>
      <x:c r="V1586" s="53"/>
      <x:c r="W1586" s="53"/>
      <x:c r="X1586" s="53"/>
      <x:c r="Y1586" s="53"/>
      <x:c r="Z1586" s="53"/>
      <x:c r="AA1586" s="53"/>
      <x:c r="AB1586" s="53"/>
      <x:c r="AC1586" s="53"/>
      <x:c r="AD1586" s="53"/>
      <x:c r="AE1586" s="53"/>
      <x:c r="AF1586" s="53"/>
    </x:row>
    <x:row r="1587">
      <x:c r="A1587" s="53"/>
      <x:c r="B1587" s="53"/>
      <x:c r="C1587" s="53"/>
      <x:c r="D1587" s="53"/>
      <x:c r="E1587" s="53"/>
      <x:c r="F1587" s="53"/>
      <x:c r="G1587" s="53"/>
      <x:c r="H1587" s="53"/>
      <x:c r="I1587" s="53"/>
      <x:c r="J1587" s="53"/>
      <x:c r="K1587" s="53"/>
      <x:c r="L1587" s="53"/>
      <x:c r="M1587" s="53"/>
      <x:c r="N1587" s="53"/>
      <x:c r="O1587" s="53"/>
      <x:c r="P1587" s="53"/>
      <x:c r="Q1587" s="53"/>
      <x:c r="R1587" s="53"/>
      <x:c r="S1587" s="53"/>
      <x:c r="T1587" s="53"/>
      <x:c r="U1587" s="53"/>
      <x:c r="V1587" s="53"/>
      <x:c r="W1587" s="53"/>
      <x:c r="X1587" s="53"/>
      <x:c r="Y1587" s="53"/>
      <x:c r="Z1587" s="53"/>
      <x:c r="AA1587" s="53"/>
      <x:c r="AB1587" s="53"/>
      <x:c r="AC1587" s="53"/>
      <x:c r="AD1587" s="53"/>
      <x:c r="AE1587" s="53"/>
      <x:c r="AF1587" s="53"/>
    </x:row>
    <x:row r="1588">
      <x:c r="A1588" s="53"/>
      <x:c r="B1588" s="53"/>
      <x:c r="C1588" s="53"/>
      <x:c r="D1588" s="53"/>
      <x:c r="E1588" s="53"/>
      <x:c r="F1588" s="53"/>
      <x:c r="G1588" s="53"/>
      <x:c r="H1588" s="53"/>
      <x:c r="I1588" s="53"/>
      <x:c r="J1588" s="53"/>
      <x:c r="K1588" s="53"/>
      <x:c r="L1588" s="53"/>
      <x:c r="M1588" s="53"/>
      <x:c r="N1588" s="53"/>
      <x:c r="O1588" s="53"/>
      <x:c r="P1588" s="53"/>
      <x:c r="Q1588" s="53"/>
      <x:c r="R1588" s="53"/>
      <x:c r="S1588" s="53"/>
      <x:c r="T1588" s="53"/>
      <x:c r="U1588" s="53"/>
      <x:c r="V1588" s="53"/>
      <x:c r="W1588" s="53"/>
      <x:c r="X1588" s="53"/>
      <x:c r="Y1588" s="53"/>
      <x:c r="Z1588" s="53"/>
      <x:c r="AA1588" s="53"/>
      <x:c r="AB1588" s="53"/>
      <x:c r="AC1588" s="53"/>
      <x:c r="AD1588" s="53"/>
      <x:c r="AE1588" s="53"/>
      <x:c r="AF1588" s="53"/>
    </x:row>
    <x:row r="1589">
      <x:c r="A1589" s="53"/>
      <x:c r="B1589" s="53"/>
      <x:c r="C1589" s="53"/>
      <x:c r="D1589" s="53"/>
      <x:c r="E1589" s="53"/>
      <x:c r="F1589" s="53"/>
      <x:c r="G1589" s="53"/>
      <x:c r="H1589" s="53"/>
      <x:c r="I1589" s="53"/>
      <x:c r="J1589" s="53"/>
      <x:c r="K1589" s="53"/>
      <x:c r="L1589" s="53"/>
      <x:c r="M1589" s="53"/>
      <x:c r="N1589" s="53"/>
      <x:c r="O1589" s="53"/>
      <x:c r="P1589" s="53"/>
      <x:c r="Q1589" s="53"/>
      <x:c r="R1589" s="53"/>
      <x:c r="S1589" s="53"/>
      <x:c r="T1589" s="53"/>
      <x:c r="U1589" s="53"/>
      <x:c r="V1589" s="53"/>
      <x:c r="W1589" s="53"/>
      <x:c r="X1589" s="53"/>
      <x:c r="Y1589" s="53"/>
      <x:c r="Z1589" s="53"/>
      <x:c r="AA1589" s="53"/>
      <x:c r="AB1589" s="53"/>
      <x:c r="AC1589" s="53"/>
      <x:c r="AD1589" s="53"/>
      <x:c r="AE1589" s="53"/>
      <x:c r="AF1589" s="53"/>
    </x:row>
    <x:row r="1590">
      <x:c r="A1590" s="53"/>
      <x:c r="B1590" s="53"/>
      <x:c r="C1590" s="53"/>
      <x:c r="D1590" s="53"/>
      <x:c r="E1590" s="53"/>
      <x:c r="F1590" s="53"/>
      <x:c r="G1590" s="53"/>
      <x:c r="H1590" s="53"/>
      <x:c r="I1590" s="53"/>
      <x:c r="J1590" s="53"/>
      <x:c r="K1590" s="53"/>
      <x:c r="L1590" s="53"/>
      <x:c r="M1590" s="53"/>
      <x:c r="N1590" s="53"/>
      <x:c r="O1590" s="53"/>
      <x:c r="P1590" s="53"/>
      <x:c r="Q1590" s="53"/>
      <x:c r="R1590" s="53"/>
      <x:c r="S1590" s="53"/>
      <x:c r="T1590" s="53"/>
      <x:c r="U1590" s="53"/>
      <x:c r="V1590" s="53"/>
      <x:c r="W1590" s="53"/>
      <x:c r="X1590" s="53"/>
      <x:c r="Y1590" s="53"/>
      <x:c r="Z1590" s="53"/>
      <x:c r="AA1590" s="53"/>
      <x:c r="AB1590" s="53"/>
      <x:c r="AC1590" s="53"/>
      <x:c r="AD1590" s="53"/>
      <x:c r="AE1590" s="53"/>
      <x:c r="AF1590" s="53"/>
    </x:row>
    <x:row r="1591">
      <x:c r="A1591" s="53"/>
      <x:c r="B1591" s="53"/>
      <x:c r="C1591" s="53"/>
      <x:c r="D1591" s="53"/>
      <x:c r="E1591" s="53"/>
      <x:c r="F1591" s="53"/>
      <x:c r="G1591" s="53"/>
      <x:c r="H1591" s="53"/>
      <x:c r="I1591" s="53"/>
      <x:c r="J1591" s="53"/>
      <x:c r="K1591" s="53"/>
      <x:c r="L1591" s="53"/>
      <x:c r="M1591" s="53"/>
      <x:c r="N1591" s="53"/>
      <x:c r="O1591" s="53"/>
      <x:c r="P1591" s="53"/>
      <x:c r="Q1591" s="53"/>
      <x:c r="R1591" s="53"/>
      <x:c r="S1591" s="53"/>
      <x:c r="T1591" s="53"/>
      <x:c r="U1591" s="53"/>
      <x:c r="V1591" s="53"/>
      <x:c r="W1591" s="53"/>
      <x:c r="X1591" s="53"/>
      <x:c r="Y1591" s="53"/>
      <x:c r="Z1591" s="53"/>
      <x:c r="AA1591" s="53"/>
      <x:c r="AB1591" s="53"/>
      <x:c r="AC1591" s="53"/>
      <x:c r="AD1591" s="53"/>
      <x:c r="AE1591" s="53"/>
      <x:c r="AF1591" s="53"/>
    </x:row>
    <x:row r="1592">
      <x:c r="A1592" s="53"/>
      <x:c r="B1592" s="53"/>
      <x:c r="C1592" s="53"/>
      <x:c r="D1592" s="53"/>
      <x:c r="E1592" s="53"/>
      <x:c r="F1592" s="53"/>
      <x:c r="G1592" s="53"/>
      <x:c r="H1592" s="53"/>
      <x:c r="I1592" s="53"/>
      <x:c r="J1592" s="53"/>
      <x:c r="K1592" s="53"/>
      <x:c r="L1592" s="53"/>
      <x:c r="M1592" s="53"/>
      <x:c r="N1592" s="53"/>
      <x:c r="O1592" s="53"/>
      <x:c r="P1592" s="53"/>
      <x:c r="Q1592" s="53"/>
      <x:c r="R1592" s="53"/>
      <x:c r="S1592" s="53"/>
      <x:c r="T1592" s="53"/>
      <x:c r="U1592" s="53"/>
      <x:c r="V1592" s="53"/>
      <x:c r="W1592" s="53"/>
      <x:c r="X1592" s="53"/>
      <x:c r="Y1592" s="53"/>
      <x:c r="Z1592" s="53"/>
      <x:c r="AA1592" s="53"/>
      <x:c r="AB1592" s="53"/>
      <x:c r="AC1592" s="53"/>
      <x:c r="AD1592" s="53"/>
      <x:c r="AE1592" s="53"/>
      <x:c r="AF1592" s="53"/>
    </x:row>
    <x:row r="1593">
      <x:c r="A1593" s="53"/>
      <x:c r="B1593" s="53"/>
      <x:c r="C1593" s="53"/>
      <x:c r="D1593" s="53"/>
      <x:c r="E1593" s="53"/>
      <x:c r="F1593" s="53"/>
      <x:c r="G1593" s="53"/>
      <x:c r="H1593" s="53"/>
      <x:c r="I1593" s="53"/>
      <x:c r="J1593" s="53"/>
      <x:c r="K1593" s="53"/>
      <x:c r="L1593" s="53"/>
      <x:c r="M1593" s="53"/>
      <x:c r="N1593" s="53"/>
      <x:c r="O1593" s="53"/>
      <x:c r="P1593" s="53"/>
      <x:c r="Q1593" s="53"/>
      <x:c r="R1593" s="53"/>
      <x:c r="S1593" s="53"/>
      <x:c r="T1593" s="53"/>
      <x:c r="U1593" s="53"/>
      <x:c r="V1593" s="53"/>
      <x:c r="W1593" s="53"/>
      <x:c r="X1593" s="53"/>
      <x:c r="Y1593" s="53"/>
      <x:c r="Z1593" s="53"/>
      <x:c r="AA1593" s="53"/>
      <x:c r="AB1593" s="53"/>
      <x:c r="AC1593" s="53"/>
      <x:c r="AD1593" s="53"/>
      <x:c r="AE1593" s="53"/>
      <x:c r="AF1593" s="53"/>
    </x:row>
    <x:row r="1594">
      <x:c r="A1594" s="53"/>
      <x:c r="B1594" s="53"/>
      <x:c r="C1594" s="53"/>
      <x:c r="D1594" s="53"/>
      <x:c r="E1594" s="53"/>
      <x:c r="F1594" s="53"/>
      <x:c r="G1594" s="53"/>
      <x:c r="H1594" s="53"/>
      <x:c r="I1594" s="53"/>
      <x:c r="J1594" s="53"/>
      <x:c r="K1594" s="53"/>
      <x:c r="L1594" s="53"/>
      <x:c r="M1594" s="53"/>
      <x:c r="N1594" s="53"/>
      <x:c r="O1594" s="53"/>
      <x:c r="P1594" s="53"/>
      <x:c r="Q1594" s="53"/>
      <x:c r="R1594" s="53"/>
      <x:c r="S1594" s="53"/>
      <x:c r="T1594" s="53"/>
      <x:c r="U1594" s="53"/>
      <x:c r="V1594" s="53"/>
      <x:c r="W1594" s="53"/>
      <x:c r="X1594" s="53"/>
      <x:c r="Y1594" s="53"/>
      <x:c r="Z1594" s="53"/>
      <x:c r="AA1594" s="53"/>
      <x:c r="AB1594" s="53"/>
      <x:c r="AC1594" s="53"/>
      <x:c r="AD1594" s="53"/>
      <x:c r="AE1594" s="53"/>
      <x:c r="AF1594" s="53"/>
    </x:row>
    <x:row r="1595">
      <x:c r="A1595" s="53"/>
      <x:c r="B1595" s="53"/>
      <x:c r="C1595" s="53"/>
      <x:c r="D1595" s="53"/>
      <x:c r="E1595" s="53"/>
      <x:c r="F1595" s="53"/>
      <x:c r="G1595" s="53"/>
      <x:c r="H1595" s="53"/>
      <x:c r="I1595" s="53"/>
      <x:c r="J1595" s="53"/>
      <x:c r="K1595" s="53"/>
      <x:c r="L1595" s="53"/>
      <x:c r="M1595" s="53"/>
      <x:c r="N1595" s="53"/>
      <x:c r="O1595" s="53"/>
      <x:c r="P1595" s="53"/>
      <x:c r="Q1595" s="53"/>
      <x:c r="R1595" s="53"/>
      <x:c r="S1595" s="53"/>
      <x:c r="T1595" s="53"/>
      <x:c r="U1595" s="53"/>
      <x:c r="V1595" s="53"/>
      <x:c r="W1595" s="53"/>
      <x:c r="X1595" s="53"/>
      <x:c r="Y1595" s="53"/>
      <x:c r="Z1595" s="53"/>
      <x:c r="AA1595" s="53"/>
      <x:c r="AB1595" s="53"/>
      <x:c r="AC1595" s="53"/>
      <x:c r="AD1595" s="53"/>
      <x:c r="AE1595" s="53"/>
      <x:c r="AF1595" s="53"/>
    </x:row>
    <x:row r="1596">
      <x:c r="A1596" s="53"/>
      <x:c r="B1596" s="53"/>
      <x:c r="C1596" s="53"/>
      <x:c r="D1596" s="53"/>
      <x:c r="E1596" s="53"/>
      <x:c r="F1596" s="53"/>
      <x:c r="G1596" s="53"/>
      <x:c r="H1596" s="53"/>
      <x:c r="I1596" s="53"/>
      <x:c r="J1596" s="53"/>
      <x:c r="K1596" s="53"/>
      <x:c r="L1596" s="53"/>
      <x:c r="M1596" s="53"/>
      <x:c r="N1596" s="53"/>
      <x:c r="O1596" s="53"/>
      <x:c r="P1596" s="53"/>
      <x:c r="Q1596" s="53"/>
      <x:c r="R1596" s="53"/>
      <x:c r="S1596" s="53"/>
      <x:c r="T1596" s="53"/>
      <x:c r="U1596" s="53"/>
      <x:c r="V1596" s="53"/>
      <x:c r="W1596" s="53"/>
      <x:c r="X1596" s="53"/>
      <x:c r="Y1596" s="53"/>
      <x:c r="Z1596" s="53"/>
      <x:c r="AA1596" s="53"/>
      <x:c r="AB1596" s="53"/>
      <x:c r="AC1596" s="53"/>
      <x:c r="AD1596" s="53"/>
      <x:c r="AE1596" s="53"/>
      <x:c r="AF1596" s="53"/>
    </x:row>
    <x:row r="1597">
      <x:c r="A1597" s="53"/>
      <x:c r="B1597" s="53"/>
      <x:c r="C1597" s="53"/>
      <x:c r="D1597" s="53"/>
      <x:c r="E1597" s="53"/>
      <x:c r="F1597" s="53"/>
      <x:c r="G1597" s="53"/>
      <x:c r="H1597" s="53"/>
      <x:c r="I1597" s="53"/>
      <x:c r="J1597" s="53"/>
      <x:c r="K1597" s="53"/>
      <x:c r="L1597" s="53"/>
      <x:c r="M1597" s="53"/>
      <x:c r="N1597" s="53"/>
      <x:c r="O1597" s="53"/>
      <x:c r="P1597" s="53"/>
      <x:c r="Q1597" s="53"/>
      <x:c r="R1597" s="53"/>
      <x:c r="S1597" s="53"/>
      <x:c r="T1597" s="53"/>
      <x:c r="U1597" s="53"/>
      <x:c r="V1597" s="53"/>
      <x:c r="W1597" s="53"/>
      <x:c r="X1597" s="53"/>
      <x:c r="Y1597" s="53"/>
      <x:c r="Z1597" s="53"/>
      <x:c r="AA1597" s="53"/>
      <x:c r="AB1597" s="53"/>
      <x:c r="AC1597" s="53"/>
      <x:c r="AD1597" s="53"/>
      <x:c r="AE1597" s="53"/>
      <x:c r="AF1597" s="53"/>
    </x:row>
    <x:row r="1598">
      <x:c r="A1598" s="53"/>
      <x:c r="B1598" s="53"/>
      <x:c r="C1598" s="53"/>
      <x:c r="D1598" s="53"/>
      <x:c r="E1598" s="53"/>
      <x:c r="F1598" s="53"/>
      <x:c r="G1598" s="53"/>
      <x:c r="H1598" s="53"/>
      <x:c r="I1598" s="53"/>
      <x:c r="J1598" s="53"/>
      <x:c r="K1598" s="53"/>
      <x:c r="L1598" s="53"/>
      <x:c r="M1598" s="53"/>
      <x:c r="N1598" s="53"/>
      <x:c r="O1598" s="53"/>
      <x:c r="P1598" s="53"/>
      <x:c r="Q1598" s="53"/>
      <x:c r="R1598" s="53"/>
      <x:c r="S1598" s="53"/>
      <x:c r="T1598" s="53"/>
      <x:c r="U1598" s="53"/>
      <x:c r="V1598" s="53"/>
      <x:c r="W1598" s="53"/>
      <x:c r="X1598" s="53"/>
      <x:c r="Y1598" s="53"/>
      <x:c r="Z1598" s="53"/>
      <x:c r="AA1598" s="53"/>
      <x:c r="AB1598" s="53"/>
      <x:c r="AC1598" s="53"/>
      <x:c r="AD1598" s="53"/>
      <x:c r="AE1598" s="53"/>
      <x:c r="AF1598" s="53"/>
    </x:row>
    <x:row r="1599">
      <x:c r="A1599" s="53"/>
      <x:c r="B1599" s="53"/>
      <x:c r="C1599" s="53"/>
      <x:c r="D1599" s="53"/>
      <x:c r="E1599" s="53"/>
      <x:c r="F1599" s="53"/>
      <x:c r="G1599" s="53"/>
      <x:c r="H1599" s="53"/>
      <x:c r="I1599" s="53"/>
      <x:c r="J1599" s="53"/>
      <x:c r="K1599" s="53"/>
      <x:c r="L1599" s="53"/>
      <x:c r="M1599" s="53"/>
      <x:c r="N1599" s="53"/>
      <x:c r="O1599" s="53"/>
      <x:c r="P1599" s="53"/>
      <x:c r="Q1599" s="53"/>
      <x:c r="R1599" s="53"/>
      <x:c r="S1599" s="53"/>
      <x:c r="T1599" s="53"/>
      <x:c r="U1599" s="53"/>
      <x:c r="V1599" s="53"/>
      <x:c r="W1599" s="53"/>
      <x:c r="X1599" s="53"/>
      <x:c r="Y1599" s="53"/>
      <x:c r="Z1599" s="53"/>
      <x:c r="AA1599" s="53"/>
      <x:c r="AB1599" s="53"/>
      <x:c r="AC1599" s="53"/>
      <x:c r="AD1599" s="53"/>
      <x:c r="AE1599" s="53"/>
      <x:c r="AF1599" s="53"/>
    </x:row>
    <x:row r="1600">
      <x:c r="A1600" s="53"/>
      <x:c r="B1600" s="53"/>
      <x:c r="C1600" s="53"/>
      <x:c r="D1600" s="53"/>
      <x:c r="E1600" s="53"/>
      <x:c r="F1600" s="53"/>
      <x:c r="G1600" s="53"/>
      <x:c r="H1600" s="53"/>
      <x:c r="I1600" s="53"/>
      <x:c r="J1600" s="53"/>
      <x:c r="K1600" s="53"/>
      <x:c r="L1600" s="53"/>
      <x:c r="M1600" s="53"/>
      <x:c r="N1600" s="53"/>
      <x:c r="O1600" s="53"/>
      <x:c r="P1600" s="53"/>
      <x:c r="Q1600" s="53"/>
      <x:c r="R1600" s="53"/>
      <x:c r="S1600" s="53"/>
      <x:c r="T1600" s="53"/>
      <x:c r="U1600" s="53"/>
      <x:c r="V1600" s="53"/>
      <x:c r="W1600" s="53"/>
      <x:c r="X1600" s="53"/>
      <x:c r="Y1600" s="53"/>
      <x:c r="Z1600" s="53"/>
      <x:c r="AA1600" s="53"/>
      <x:c r="AB1600" s="53"/>
      <x:c r="AC1600" s="53"/>
      <x:c r="AD1600" s="53"/>
      <x:c r="AE1600" s="53"/>
      <x:c r="AF1600" s="5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68" hidden="0" customWidth="1"/>
    <x:col min="4" max="4" width="45" hidden="0" customWidth="1"/>
  </x:cols>
  <x:sheetData>
    <x:row r="1">
      <x:c r="A1" s="97" t="str">
        <x:v>Migration from ICT-FRM-001 v1.1 — What Changed and Why</x:v>
      </x:c>
      <x:c r="B1" s="97"/>
      <x:c r="C1" s="97"/>
      <x:c r="D1" s="97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</x:row>
    <x:row r="2">
      <x:c r="A2" s="97"/>
      <x:c r="B2" s="97"/>
      <x:c r="C2" s="97"/>
      <x:c r="D2" s="97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  <x:c r="AA2" s="53"/>
      <x:c r="AB2" s="53"/>
      <x:c r="AC2" s="53"/>
      <x:c r="AD2" s="53"/>
      <x:c r="AE2" s="53"/>
      <x:c r="AF2" s="53"/>
    </x:row>
    <x:row r="3" ht="15" hidden="0" customHeight="1">
      <x:c r="A3" s="55"/>
      <x:c r="B3" s="55"/>
      <x:c r="C3" s="55"/>
      <x:c r="D3" s="55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</x:row>
    <x:row r="4" ht="15" hidden="0" customHeight="1">
      <x:c r="A4" s="56" t="str">
        <x:v>Old v1.1 design issue</x:v>
      </x:c>
      <x:c r="B4" s="56" t="str">
        <x:v>Why it is a problem now</x:v>
      </x:c>
      <x:c r="C4" s="56" t="str">
        <x:v>New design</x:v>
      </x:c>
      <x:c r="D4" s="56" t="str">
        <x:v>BUV basis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  <x:c r="AA4" s="53"/>
      <x:c r="AB4" s="53"/>
      <x:c r="AC4" s="53"/>
      <x:c r="AD4" s="53"/>
      <x:c r="AE4" s="53"/>
      <x:c r="AF4" s="53"/>
    </x:row>
    <x:row r="5" ht="26.399999618530273" hidden="0" customHeight="1">
      <x:c r="A5" s="55" t="str">
        <x:v>One numeric total score drove APPROVE / CONDITIONAL / REJECT thresholds.</x:v>
      </x:c>
      <x:c r="B5" s="55" t="str">
        <x:v>A low total can hide a single non-waivable privacy, security, ethics or high-impact trigger.</x:v>
      </x:c>
      <x:c r="C5" s="55" t="str">
        <x:v>Score is retained only as a risk indicator. Final status is based on triggers, evidence, specialist reviews and delegated decision rights.</x:v>
      </x:c>
      <x:c r="D5" s="55" t="str">
        <x:v>ICT Policy IV, VII, XIII; Guideline §4.2, §9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  <x:c r="AA5" s="53"/>
      <x:c r="AB5" s="53"/>
      <x:c r="AC5" s="53"/>
      <x:c r="AD5" s="53"/>
      <x:c r="AE5" s="53"/>
      <x:c r="AF5" s="53"/>
    </x:row>
    <x:row r="6" ht="26.399999618530273" hidden="0" customHeight="1">
      <x:c r="A6" s="55" t="str">
        <x:v>All decisions required dual ICT Director + Committee Chair sign-off.</x:v>
      </x:c>
      <x:c r="B6" s="55" t="str">
        <x:v>Current governance assigns decisions by subject-matter authority; ICT cannot accept legal/privacy/academic/enterprise risk outside its remit.</x:v>
      </x:c>
      <x:c r="C6" s="55" t="str">
        <x:v>Dashboard tracks each specialist review and the actual decision owner separately.</x:v>
      </x:c>
      <x:c r="D6" s="55" t="str">
        <x:v>ICT Policy IV and Appendix A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</x:row>
    <x:row r="7" ht="26.399999618530273" hidden="0" customHeight="1">
      <x:c r="A7" s="55" t="str">
        <x:v>15-day default approval / provisional Green wording.</x:v>
      </x:c>
      <x:c r="B7" s="55" t="str">
        <x:v>Current Guideline states delay does not constitute approval; Safe Exploration may continue only within its conditions.</x:v>
      </x:c>
      <x:c r="C7" s="55" t="str">
        <x:v>Dashboard shows assessment age and escalation, but never converts elapsed time into approval.</x:v>
      </x:c>
      <x:c r="D7" s="55" t="str">
        <x:v>Guideline §5.2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3"/>
      <x:c r="AE7" s="53"/>
      <x:c r="AF7" s="53"/>
    </x:row>
    <x:row r="8" ht="26.399999618530273" hidden="0" customHeight="1">
      <x:c r="A8" s="55" t="str">
        <x:v>Safe Harbor terminology and consumer-account research model.</x:v>
      </x:c>
      <x:c r="B8" s="55" t="str">
        <x:v>V3 replaced this with the Research Confidentiality Route using appropriately assured enterprise/API/research environments.</x:v>
      </x:c>
      <x:c r="C8" s="55" t="str">
        <x:v>Dedicated Research Confidentiality trigger and review path.</x:v>
      </x:c>
      <x:c r="D8" s="55" t="str">
        <x:v>Guideline §7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</x:row>
    <x:row r="9" ht="26.399999618530273" hidden="0" customHeight="1">
      <x:c r="A9" s="55" t="str">
        <x:v>Dashboard title referenced ICT / DPO and used a narrow technical view.</x:v>
      </x:c>
      <x:c r="B9" s="55" t="str">
        <x:v>Current documents use cross-functional Privacy/Data Protection, Legal, Academic/Research, Procurement and risk-owner roles.</x:v>
      </x:c>
      <x:c r="C9" s="55" t="str">
        <x:v>Dashboard is committee-facing and cross-functional while retaining ICT technical assurance as a distinct finding.</x:v>
      </x:c>
      <x:c r="D9" s="55" t="str">
        <x:v>ICT Policy IV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</x:row>
    <x:row r="10" ht="26.399999618530273" hidden="0" customHeight="1">
      <x:c r="A10" s="55" t="str">
        <x:v>Approval treated a vendor/tool name as the object of decision.</x:v>
      </x:c>
      <x:c r="B10" s="55" t="str">
        <x:v>Policy requires authorisation to be specific to service + account/tenant + features/integrations + purpose + users + data.</x:v>
      </x:c>
      <x:c r="C10" s="55" t="str">
        <x:v>Register records the assessed configuration and use-case boundary.</x:v>
      </x:c>
      <x:c r="D10" s="55" t="str">
        <x:v>ICT Policy V</x:v>
      </x:c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</x:row>
    <x:row r="11" ht="26.399999618530273" hidden="0" customHeight="1">
      <x:c r="A11" s="55" t="str">
        <x:v>Old workbook formulas/ranges did not consistently cover all 29 criteria.</x:v>
      </x:c>
      <x:c r="B11" s="55" t="str">
        <x:v>This risks misleading totals and dashboard counts.</x:v>
      </x:c>
      <x:c r="C11" s="55" t="str">
        <x:v>New relational response table supports any number of criteria and uses Evaluation ID as the key.</x:v>
      </x:c>
      <x:c r="D11" s="55" t="str">
        <x:v>Data design uplift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</x:row>
    <x:row r="12" ht="26.399999618530273" hidden="0" customHeight="1">
      <x:c r="A12" s="55" t="str">
        <x:v>Traffic-light pathway and Policy assurance were conflated.</x:v>
      </x:c>
      <x:c r="B12" s="55" t="str">
        <x:v>A formal Policy assurance trigger does not always mean the Guideline route is Red.</x:v>
      </x:c>
      <x:c r="C12" s="55" t="str">
        <x:v>Dashboard now displays Guideline Pathway and Policy Assurance as two separate signals.</x:v>
      </x:c>
      <x:c r="D12" s="55" t="str">
        <x:v>Policy Appendix B; Guideline §2, §4, §5</x:v>
      </x:c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</x:row>
    <x:row r="13" ht="26.399999618530273" hidden="0" customHeight="1">
      <x:c r="A13" s="55" t="str">
        <x:v>Unknown values were treated as Red in the pathway preview.</x:v>
      </x:c>
      <x:c r="B13" s="55" t="str">
        <x:v>Unknown is missing evidence, not evidence that a Red condition exists.</x:v>
      </x:c>
      <x:c r="C13" s="55" t="str">
        <x:v>Unknown/incomplete scope now shows Undetermined/provisional until enough information is recorded.</x:v>
      </x:c>
      <x:c r="D13" s="55" t="str">
        <x:v>Guideline §4 decision matrix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</x:row>
    <x:row r="14" ht="26.399999618530273" hidden="0" customHeight="1">
      <x:c r="A14" s="55" t="str">
        <x:v>Academic and Research review were combined.</x:v>
      </x:c>
      <x:c r="B14" s="55" t="str">
        <x:v>The Policy assigns academic/professional suitability and research/ethics to different accountable functions.</x:v>
      </x:c>
      <x:c r="C14" s="55" t="str">
        <x:v>Separate Academic/Professional and Research/Ethics review fields.</x:v>
      </x:c>
      <x:c r="D14" s="55" t="str">
        <x:v>ICT Policy IV and Appendix A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</x:row>
    <x:row r="15" ht="26.399999618530273" hidden="0" customHeight="1">
      <x:c r="A15" s="55" t="str">
        <x:v>Safe Exploration was mentioned but not explicitly surfaced.</x:v>
      </x:c>
      <x:c r="B15" s="55" t="str">
        <x:v>Committee members need to distinguish low-risk exploration from institutional approval.</x:v>
      </x:c>
      <x:c r="C15" s="55" t="str">
        <x:v>Dashboard shows Potential Safe Exploration eligibility separately from Register Status and Decision.</x:v>
      </x:c>
      <x:c r="D15" s="55" t="str">
        <x:v>Guideline §2, §5.1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</x:row>
    <x:row r="16" ht="26.399999618530273" hidden="0" customHeight="1">
      <x:c r="A16" s="55" t="str">
        <x:v>15-working-day target was not operationally visible.</x:v>
      </x:c>
      <x:c r="B16" s="55" t="str">
        <x:v>The current Guideline allows escalation after delay but explicitly rejects approval-by-timeout.</x:v>
      </x:c>
      <x:c r="C16" s="55" t="str">
        <x:v>Complete Request Date and target-status signal added. Delay never changes approval automatically.</x:v>
      </x:c>
      <x:c r="D16" s="55" t="str">
        <x:v>Guideline §5.2, §9</x:v>
      </x:c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3"/>
      <x:c r="AB16" s="53"/>
      <x:c r="AC16" s="53"/>
      <x:c r="AD16" s="53"/>
      <x:c r="AE16" s="53"/>
      <x:c r="AF16" s="53"/>
    </x:row>
    <x:row r="17" ht="26.399999618530273" hidden="0" customHeight="1">
      <x:c r="A17" s="55" t="str">
        <x:v>Excel Dashboard review-due KPI inherited a date format.</x:v>
      </x:c>
      <x:c r="B17" s="55" t="str">
        <x:v>A count could display as 30-Dec-1899 when the value was zero.</x:v>
      </x:c>
      <x:c r="C17" s="55" t="str">
        <x:v>KPI number format corrected to integer.</x:v>
      </x:c>
      <x:c r="D17" s="55" t="str">
        <x:v>Workbook quality fix</x:v>
      </x:c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  <x:c r="AA17" s="53"/>
      <x:c r="AB17" s="53"/>
      <x:c r="AC17" s="53"/>
      <x:c r="AD17" s="53"/>
      <x:c r="AE17" s="53"/>
      <x:c r="AF17" s="53"/>
    </x:row>
    <x:row r="18" ht="15" hidden="0" customHeight="1">
      <x:c r="A18" s="55"/>
      <x:c r="B18" s="55"/>
      <x:c r="C18" s="55"/>
      <x:c r="D18" s="55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3"/>
      <x:c r="AB18" s="53"/>
      <x:c r="AC18" s="53"/>
      <x:c r="AD18" s="53"/>
      <x:c r="AE18" s="53"/>
      <x:c r="AF18" s="53"/>
    </x:row>
    <x:row r="19" ht="39.599998474121094" hidden="0" customHeight="1">
      <x:c r="A19" s="55" t="str">
        <x:v>Users had to understand the whole form before knowing what to enter next.</x:v>
      </x:c>
      <x:c r="B19" s="55" t="str">
        <x:v>A long single-page form creates avoidable navigation and training burden for Committee and occasional reviewers.</x:v>
      </x:c>
      <x:c r="C19" s="55" t="str">
        <x:v>v1.3 Guided Evaluation Blueprint presents the same governed data model as 10 sequential pages, with live route preview, examples, validation, automatic draft saves at key gates and a final outcome summary.</x:v>
      </x:c>
      <x:c r="D19" s="55" t="str">
        <x:v>Usability uplift; Policy V / Appendix B; Guideline §2, §4, §5</x:v>
      </x:c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  <x:c r="AA19" s="53"/>
      <x:c r="AB19" s="53"/>
      <x:c r="AC19" s="53"/>
      <x:c r="AD19" s="53"/>
      <x:c r="AE19" s="53"/>
      <x:c r="AF19" s="53"/>
    </x:row>
    <x:row r="20" ht="15" hidden="0" customHeight="1">
      <x:c r="A20" s="55" t="str">
        <x:v>v2.0 production-ready technical uplift</x:v>
      </x:c>
      <x:c r="B20" s="55" t="str">
        <x:v>Reason</x:v>
      </x:c>
      <x:c r="C20" s="55" t="str">
        <x:v>Implementation</x:v>
      </x:c>
      <x:c r="D20" s="55" t="str">
        <x:v>Outcome</x:v>
      </x:c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3"/>
      <x:c r="AB20" s="53"/>
      <x:c r="AC20" s="53"/>
      <x:c r="AD20" s="53"/>
      <x:c r="AE20" s="53"/>
      <x:c r="AF20" s="53"/>
    </x:row>
    <x:row r="21" ht="26.399999618530273" hidden="0" customHeight="1">
      <x:c r="A21" s="55" t="str">
        <x:v>All 30 criteria were effectively mandatory for final approval.</x:v>
      </x:c>
      <x:c r="B21" s="55" t="str">
        <x:v>This is disproportionate for routine assured use and low-risk exploration.</x:v>
      </x:c>
      <x:c r="C21" s="55" t="str">
        <x:v>Dynamic criterion applicability: Required / Recommended / Not in scope based on facts.</x:v>
      </x:c>
      <x:c r="D21" s="55" t="str">
        <x:v>Less noise without weakening non-waivable triggers.</x:v>
      </x:c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  <x:c r="AA21" s="53"/>
      <x:c r="AB21" s="53"/>
      <x:c r="AC21" s="53"/>
      <x:c r="AD21" s="53"/>
      <x:c r="AE21" s="53"/>
      <x:c r="AF21" s="53"/>
    </x:row>
    <x:row r="22" ht="26.399999618530273" hidden="0" customHeight="1">
      <x:c r="A22" s="55" t="str">
        <x:v>Users were asked to choose a generic statutory high-risk label.</x:v>
      </x:c>
      <x:c r="B22" s="55" t="str">
        <x:v>Occasional evaluators should not be expected to make legal classifications.</x:v>
      </x:c>
      <x:c r="C22" s="55" t="str">
        <x:v>Screen with concrete education/high-impact scenarios; route uncertain/possible triggers to Privacy/Legal.</x:v>
      </x:c>
      <x:c r="D22" s="55" t="str">
        <x:v>Factual screening, specialist legal determination.</x:v>
      </x:c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3"/>
      <x:c r="AB22" s="53"/>
      <x:c r="AC22" s="53"/>
      <x:c r="AD22" s="53"/>
      <x:c r="AE22" s="53"/>
      <x:c r="AF22" s="53"/>
    </x:row>
    <x:row r="23" ht="26.399999618530273" hidden="0" customHeight="1">
      <x:c r="A23" s="55" t="str">
        <x:v>Personal-data choices did not distinguish anonymised from pseudonymised/masked.</x:v>
      </x:c>
      <x:c r="B23" s="55" t="str">
        <x:v>Masking does not automatically remove personal-data obligations.</x:v>
      </x:c>
      <x:c r="C23" s="55" t="str">
        <x:v>Lookup and UI distinguish fully anonymised, pseudonymised/masked and identifiable data.</x:v>
      </x:c>
      <x:c r="D23" s="55" t="str">
        <x:v>Better privacy triage and fewer false 'anonymous' assumptions.</x:v>
      </x:c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  <x:c r="AA23" s="53"/>
      <x:c r="AB23" s="53"/>
      <x:c r="AC23" s="53"/>
      <x:c r="AD23" s="53"/>
      <x:c r="AE23" s="53"/>
      <x:c r="AF23" s="53"/>
    </x:row>
    <x:row r="24" ht="26.399999618530273" hidden="0" customHeight="1">
      <x:c r="A24" s="55" t="str">
        <x:v>Colour could dominate the user experience.</x:v>
      </x:c>
      <x:c r="B24" s="55" t="str">
        <x:v>GREEN/AMBER/RED is a governance route, not an approval or legal classification.</x:v>
      </x:c>
      <x:c r="C24" s="55" t="str">
        <x:v>Outcome page leads with 'What may I do now?', operational lane and next owner; colour remains supporting context.</x:v>
      </x:c>
      <x:c r="D24" s="55" t="str">
        <x:v>Clearer stakeholder action.</x:v>
      </x:c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3"/>
      <x:c r="AB24" s="53"/>
      <x:c r="AC24" s="53"/>
      <x:c r="AD24" s="53"/>
      <x:c r="AE24" s="53"/>
      <x:c r="AF24" s="53"/>
    </x:row>
    <x:row r="25" ht="26.399999618530273" hidden="0" customHeight="1">
      <x:c r="A25" s="55" t="str">
        <x:v>Errors were mainly visible in the console.</x:v>
      </x:c>
      <x:c r="B25" s="55" t="str">
        <x:v>Committee users need supportable diagnostics without exposing assessment content.</x:v>
      </x:c>
      <x:c r="C25" s="55" t="str">
        <x:v>Structured system log + privacy-minimised audit log + downloadable diagnostics bundle.</x:v>
      </x:c>
      <x:c r="D25" s="55" t="str">
        <x:v>Faster support and troubleshooting.</x:v>
      </x:c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  <x:c r="AA25" s="53"/>
      <x:c r="AB25" s="53"/>
      <x:c r="AC25" s="53"/>
      <x:c r="AD25" s="53"/>
      <x:c r="AE25" s="53"/>
      <x:c r="AF25" s="53"/>
    </x:row>
    <x:row r="26" ht="26.399999618530273" hidden="0" customHeight="1">
      <x:c r="A26" s="55" t="str">
        <x:v>Configuration was hard-coded.</x:v>
      </x:c>
      <x:c r="B26" s="55" t="str">
        <x:v>Operational settings and draft-governance source status should be visible and maintainable.</x:v>
      </x:c>
      <x:c r="C26" s="55" t="str">
        <x:v>config/settings.json + governance_sources.json + holidays.json.</x:v>
      </x:c>
      <x:c r="D26" s="55" t="str">
        <x:v>Cleaner configuration and release control.</x:v>
      </x:c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3"/>
      <x:c r="AB26" s="53"/>
      <x:c r="AC26" s="53"/>
      <x:c r="AD26" s="53"/>
      <x:c r="AE26" s="53"/>
      <x:c r="AF26" s="53"/>
    </x:row>
    <x:row r="27" ht="26.399999618530273" hidden="0" customHeight="1">
      <x:c r="A27" s="55" t="str">
        <x:v>Local server lacked several defensive controls.</x:v>
      </x:c>
      <x:c r="B27" s="55" t="str">
        <x:v>Even localhost tools should apply secure defaults.</x:v>
      </x:c>
      <x:c r="C27" s="55" t="str">
        <x:v>Request-size limit, localhost-origin validation, security headers, safe error IDs and instance lock.</x:v>
      </x:c>
      <x:c r="D27" s="55" t="str">
        <x:v>Reduced accidental/malicious misuse.</x:v>
      </x:c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3"/>
      <x:c r="AD27" s="53"/>
      <x:c r="AE27" s="53"/>
      <x:c r="AF27" s="53"/>
    </x:row>
    <x:row r="28" ht="15" hidden="0" customHeight="1">
      <x:c r="A28" s="55" t="str">
        <x:v>Decision IDs used row count.</x:v>
      </x:c>
      <x:c r="B28" s="55" t="str">
        <x:v>Deleted/reordered rows could produce duplicate identifiers.</x:v>
      </x:c>
      <x:c r="C28" s="55" t="str">
        <x:v>Timestamp/random-suffix decision IDs.</x:v>
      </x:c>
      <x:c r="D28" s="55" t="str">
        <x:v>More robust audit identifiers.</x:v>
      </x:c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3"/>
      <x:c r="AB28" s="53"/>
      <x:c r="AC28" s="53"/>
      <x:c r="AD28" s="53"/>
      <x:c r="AE28" s="53"/>
      <x:c r="AF28" s="53"/>
    </x:row>
    <x:row r="29" ht="26.399999618530273" hidden="0" customHeight="1">
      <x:c r="A29" s="55" t="str">
        <x:v>Legacy draft documents could be mistaken for current authority.</x:v>
      </x:c>
      <x:c r="B29" s="55" t="str">
        <x:v>V2.1/Tier/Safe-Harbor wording conflicts with v3.0 direction.</x:v>
      </x:c>
      <x:c r="C29" s="55" t="str">
        <x:v>Current drafts separated from archive/reference-only material with warnings.</x:v>
      </x:c>
      <x:c r="D29" s="55" t="str">
        <x:v>Less governance ambiguity.</x:v>
      </x:c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  <x:c r="AA29" s="53"/>
      <x:c r="AB29" s="53"/>
      <x:c r="AC29" s="53"/>
      <x:c r="AD29" s="53"/>
      <x:c r="AE29" s="53"/>
      <x:c r="AF29" s="53"/>
    </x:row>
    <x:row r="30" ht="26.399999618530273" hidden="0" customHeight="1">
      <x:c r="A30" s="55" t="str">
        <x:v>Release terminology could blur software readiness with governance authority.</x:v>
      </x:c>
      <x:c r="B30" s="55" t="str">
        <x:v>The bundled Guideline and ICT Policy are final drafts pending BUV approval; software readiness cannot make them effective policy.</x:v>
      </x:c>
      <x:c r="C30" s="55" t="str">
        <x:v>v2.0.0 is labelled a live-ready local controlled release, while the UI/config/go-live checklist explicitly show source approval as an institutional dependency.</x:v>
      </x:c>
      <x:c r="D30" s="55" t="str">
        <x:v>Clear separation of technical readiness and institutional policy authority.</x:v>
      </x:c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3"/>
      <x:c r="AB30" s="53"/>
      <x:c r="AC30" s="53"/>
      <x:c r="AD30" s="53"/>
      <x:c r="AE30" s="53"/>
      <x:c r="AF30" s="53"/>
    </x:row>
    <x:row r="31" ht="15" hidden="0" customHeight="1">
      <x:c r="A31" s="55" t="str">
        <x:v>Technical release status</x:v>
      </x:c>
      <x:c r="B31" s="55" t="str">
        <x:v>This build is production-ready as software, but the current governance sources are still final drafts pending BUV approval.</x:v>
      </x:c>
      <x:c r="C31" s="55" t="str">
        <x:v>The application displays governance-source status and keeps the go-live decision separate from technical readiness.</x:v>
      </x:c>
      <x:c r="D31" s="55" t="str">
        <x:v>Honest release control.</x:v>
      </x:c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  <x:c r="AA31" s="53"/>
      <x:c r="AB31" s="53"/>
      <x:c r="AC31" s="53"/>
      <x:c r="AD31" s="53"/>
      <x:c r="AE31" s="53"/>
      <x:c r="AF31" s="53"/>
    </x:row>
    <x:row r="32" ht="26.399999618530273" hidden="0" customHeight="1">
      <x:c r="A32" s="55" t="str">
        <x:v>Solution design/build/deployment/implementation</x:v>
      </x:c>
      <x:c r="B32" s="55" t="str">
        <x:v>Omar, 2026</x:v>
      </x:c>
      <x:c r="C32" s="55" t="str">
        <x:v>Recorded in package README/version metadata and source comments where appropriate.</x:v>
      </x:c>
      <x:c r="D32" s="55" t="str">
        <x:v>Attribution without cluttering operational screens.</x:v>
      </x:c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3"/>
      <x:c r="AB32" s="53"/>
      <x:c r="AC32" s="53"/>
      <x:c r="AD32" s="53"/>
      <x:c r="AE32" s="53"/>
      <x:c r="AF32" s="53"/>
    </x:row>
    <x:row r="33">
      <x:c r="A33" s="55"/>
      <x:c r="B33" s="55"/>
      <x:c r="C33" s="55"/>
      <x:c r="D33" s="55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  <x:c r="AA33" s="53"/>
      <x:c r="AB33" s="53"/>
      <x:c r="AC33" s="53"/>
      <x:c r="AD33" s="53"/>
      <x:c r="AE33" s="53"/>
      <x:c r="AF33" s="53"/>
    </x:row>
    <x:row r="34">
      <x:c r="A34" s="55"/>
      <x:c r="B34" s="55"/>
      <x:c r="C34" s="55"/>
      <x:c r="D34" s="55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3"/>
      <x:c r="AB34" s="53"/>
      <x:c r="AC34" s="53"/>
      <x:c r="AD34" s="53"/>
      <x:c r="AE34" s="53"/>
      <x:c r="AF34" s="53"/>
    </x:row>
    <x:row r="35">
      <x:c r="A35" s="55"/>
      <x:c r="B35" s="55"/>
      <x:c r="C35" s="55"/>
      <x:c r="D35" s="55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  <x:c r="AA35" s="53"/>
      <x:c r="AB35" s="53"/>
      <x:c r="AC35" s="53"/>
      <x:c r="AD35" s="53"/>
      <x:c r="AE35" s="53"/>
      <x:c r="AF35" s="53"/>
    </x:row>
    <x:row r="36">
      <x:c r="A36" s="55"/>
      <x:c r="B36" s="55"/>
      <x:c r="C36" s="55"/>
      <x:c r="D36" s="55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3"/>
      <x:c r="AB36" s="53"/>
      <x:c r="AC36" s="53"/>
      <x:c r="AD36" s="53"/>
      <x:c r="AE36" s="53"/>
      <x:c r="AF36" s="53"/>
    </x:row>
    <x:row r="37">
      <x:c r="A37" s="55"/>
      <x:c r="B37" s="55"/>
      <x:c r="C37" s="55"/>
      <x:c r="D37" s="55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  <x:c r="AA37" s="53"/>
      <x:c r="AB37" s="53"/>
      <x:c r="AC37" s="53"/>
      <x:c r="AD37" s="53"/>
      <x:c r="AE37" s="53"/>
      <x:c r="AF37" s="53"/>
    </x:row>
    <x:row r="38">
      <x:c r="A38" s="55"/>
      <x:c r="B38" s="55"/>
      <x:c r="C38" s="55"/>
      <x:c r="D38" s="55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3"/>
      <x:c r="AB38" s="53"/>
      <x:c r="AC38" s="53"/>
      <x:c r="AD38" s="53"/>
      <x:c r="AE38" s="53"/>
      <x:c r="AF38" s="53"/>
    </x:row>
    <x:row r="39">
      <x:c r="A39" s="55"/>
      <x:c r="B39" s="55"/>
      <x:c r="C39" s="55"/>
      <x:c r="D39" s="55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  <x:c r="AA39" s="53"/>
      <x:c r="AB39" s="53"/>
      <x:c r="AC39" s="53"/>
      <x:c r="AD39" s="53"/>
      <x:c r="AE39" s="53"/>
      <x:c r="AF39" s="53"/>
    </x:row>
    <x:row r="40">
      <x:c r="A40" s="55"/>
      <x:c r="B40" s="55"/>
      <x:c r="C40" s="55"/>
      <x:c r="D40" s="55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3"/>
      <x:c r="AB40" s="53"/>
      <x:c r="AC40" s="53"/>
      <x:c r="AD40" s="53"/>
      <x:c r="AE40" s="53"/>
      <x:c r="AF40" s="53"/>
    </x:row>
    <x:row r="41">
      <x:c r="A41" s="55"/>
      <x:c r="B41" s="55"/>
      <x:c r="C41" s="55"/>
      <x:c r="D41" s="55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  <x:c r="AA41" s="53"/>
      <x:c r="AB41" s="53"/>
      <x:c r="AC41" s="53"/>
      <x:c r="AD41" s="53"/>
      <x:c r="AE41" s="53"/>
      <x:c r="AF41" s="53"/>
    </x:row>
    <x:row r="42">
      <x:c r="A42" s="55"/>
      <x:c r="B42" s="55"/>
      <x:c r="C42" s="55"/>
      <x:c r="D42" s="55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3"/>
      <x:c r="AB42" s="53"/>
      <x:c r="AC42" s="53"/>
      <x:c r="AD42" s="53"/>
      <x:c r="AE42" s="53"/>
      <x:c r="AF42" s="53"/>
    </x:row>
    <x:row r="43">
      <x:c r="A43" s="55"/>
      <x:c r="B43" s="55"/>
      <x:c r="C43" s="55"/>
      <x:c r="D43" s="55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  <x:c r="AA43" s="53"/>
      <x:c r="AB43" s="53"/>
      <x:c r="AC43" s="53"/>
      <x:c r="AD43" s="53"/>
      <x:c r="AE43" s="53"/>
      <x:c r="AF43" s="53"/>
    </x:row>
    <x:row r="44">
      <x:c r="A44" s="55"/>
      <x:c r="B44" s="55"/>
      <x:c r="C44" s="55"/>
      <x:c r="D44" s="55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3"/>
      <x:c r="AB44" s="53"/>
      <x:c r="AC44" s="53"/>
      <x:c r="AD44" s="53"/>
      <x:c r="AE44" s="53"/>
      <x:c r="AF44" s="53"/>
    </x:row>
    <x:row r="45">
      <x:c r="A45" s="55"/>
      <x:c r="B45" s="55"/>
      <x:c r="C45" s="55"/>
      <x:c r="D45" s="55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  <x:c r="AA45" s="53"/>
      <x:c r="AB45" s="53"/>
      <x:c r="AC45" s="53"/>
      <x:c r="AD45" s="53"/>
      <x:c r="AE45" s="53"/>
      <x:c r="AF45" s="53"/>
    </x:row>
    <x:row r="46">
      <x:c r="A46" s="55"/>
      <x:c r="B46" s="55"/>
      <x:c r="C46" s="55"/>
      <x:c r="D46" s="55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3"/>
      <x:c r="AB46" s="53"/>
      <x:c r="AC46" s="53"/>
      <x:c r="AD46" s="53"/>
      <x:c r="AE46" s="53"/>
      <x:c r="AF46" s="53"/>
    </x:row>
    <x:row r="47">
      <x:c r="A47" s="55"/>
      <x:c r="B47" s="55"/>
      <x:c r="C47" s="55"/>
      <x:c r="D47" s="55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  <x:c r="AA47" s="53"/>
      <x:c r="AB47" s="53"/>
      <x:c r="AC47" s="53"/>
      <x:c r="AD47" s="53"/>
      <x:c r="AE47" s="53"/>
      <x:c r="AF47" s="53"/>
    </x:row>
    <x:row r="48">
      <x:c r="A48" s="55"/>
      <x:c r="B48" s="55"/>
      <x:c r="C48" s="55"/>
      <x:c r="D48" s="55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3"/>
      <x:c r="AB48" s="53"/>
      <x:c r="AC48" s="53"/>
      <x:c r="AD48" s="53"/>
      <x:c r="AE48" s="53"/>
      <x:c r="AF48" s="53"/>
    </x:row>
    <x:row r="49">
      <x:c r="A49" s="55"/>
      <x:c r="B49" s="55"/>
      <x:c r="C49" s="55"/>
      <x:c r="D49" s="55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  <x:c r="AA49" s="53"/>
      <x:c r="AB49" s="53"/>
      <x:c r="AC49" s="53"/>
      <x:c r="AD49" s="53"/>
      <x:c r="AE49" s="53"/>
      <x:c r="AF49" s="53"/>
    </x:row>
    <x:row r="50">
      <x:c r="A50" s="55"/>
      <x:c r="B50" s="55"/>
      <x:c r="C50" s="55"/>
      <x:c r="D50" s="55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3"/>
      <x:c r="AB50" s="53"/>
      <x:c r="AC50" s="53"/>
      <x:c r="AD50" s="53"/>
      <x:c r="AE50" s="53"/>
      <x:c r="AF50" s="53"/>
    </x:row>
    <x:row r="51">
      <x:c r="A51" s="55"/>
      <x:c r="B51" s="55"/>
      <x:c r="C51" s="55"/>
      <x:c r="D51" s="55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  <x:c r="AA51" s="53"/>
      <x:c r="AB51" s="53"/>
      <x:c r="AC51" s="53"/>
      <x:c r="AD51" s="53"/>
      <x:c r="AE51" s="53"/>
      <x:c r="AF51" s="53"/>
    </x:row>
    <x:row r="52">
      <x:c r="A52" s="55"/>
      <x:c r="B52" s="55"/>
      <x:c r="C52" s="55"/>
      <x:c r="D52" s="55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3"/>
    </x:row>
    <x:row r="53">
      <x:c r="A53" s="55"/>
      <x:c r="B53" s="55"/>
      <x:c r="C53" s="55"/>
      <x:c r="D53" s="55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3"/>
    </x:row>
    <x:row r="54">
      <x:c r="A54" s="55"/>
      <x:c r="B54" s="55"/>
      <x:c r="C54" s="55"/>
      <x:c r="D54" s="55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</x:row>
    <x:row r="55">
      <x:c r="A55" s="55"/>
      <x:c r="B55" s="55"/>
      <x:c r="C55" s="55"/>
      <x:c r="D55" s="55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</x:row>
    <x:row r="56">
      <x:c r="A56" s="55"/>
      <x:c r="B56" s="55"/>
      <x:c r="C56" s="55"/>
      <x:c r="D56" s="55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</x:row>
    <x:row r="57">
      <x:c r="A57" s="55"/>
      <x:c r="B57" s="55"/>
      <x:c r="C57" s="55"/>
      <x:c r="D57" s="55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</x:row>
    <x:row r="58">
      <x:c r="A58" s="55"/>
      <x:c r="B58" s="55"/>
      <x:c r="C58" s="55"/>
      <x:c r="D58" s="55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</x:row>
    <x:row r="59">
      <x:c r="A59" s="55"/>
      <x:c r="B59" s="55"/>
      <x:c r="C59" s="55"/>
      <x:c r="D59" s="55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</x:row>
    <x:row r="60">
      <x:c r="A60" s="55"/>
      <x:c r="B60" s="55"/>
      <x:c r="C60" s="55"/>
      <x:c r="D60" s="55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3"/>
      <x:c r="AB74" s="53"/>
      <x:c r="AC74" s="53"/>
      <x:c r="AD74" s="53"/>
      <x:c r="AE74" s="53"/>
      <x:c r="AF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3"/>
      <x:c r="AB75" s="53"/>
      <x:c r="AC75" s="53"/>
      <x:c r="AD75" s="53"/>
      <x:c r="AE75" s="53"/>
      <x:c r="AF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3"/>
      <x:c r="AB76" s="53"/>
      <x:c r="AC76" s="53"/>
      <x:c r="AD76" s="53"/>
      <x:c r="AE76" s="53"/>
      <x:c r="AF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  <x:c r="AA77" s="53"/>
      <x:c r="AB77" s="53"/>
      <x:c r="AC77" s="53"/>
      <x:c r="AD77" s="53"/>
      <x:c r="AE77" s="53"/>
      <x:c r="AF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3"/>
      <x:c r="AB78" s="53"/>
      <x:c r="AC78" s="53"/>
      <x:c r="AD78" s="53"/>
      <x:c r="AE78" s="53"/>
      <x:c r="AF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  <x:c r="AA79" s="53"/>
      <x:c r="AB79" s="53"/>
      <x:c r="AC79" s="53"/>
      <x:c r="AD79" s="53"/>
      <x:c r="AE79" s="53"/>
      <x:c r="AF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3"/>
      <x:c r="AB80" s="53"/>
      <x:c r="AC80" s="53"/>
      <x:c r="AD80" s="53"/>
      <x:c r="AE80" s="53"/>
      <x:c r="AF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  <x:c r="AA81" s="53"/>
      <x:c r="AB81" s="53"/>
      <x:c r="AC81" s="53"/>
      <x:c r="AD81" s="53"/>
      <x:c r="AE81" s="53"/>
      <x:c r="AF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3"/>
      <x:c r="AB82" s="53"/>
      <x:c r="AC82" s="53"/>
      <x:c r="AD82" s="53"/>
      <x:c r="AE82" s="53"/>
      <x:c r="AF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  <x:c r="AA83" s="53"/>
      <x:c r="AB83" s="53"/>
      <x:c r="AC83" s="53"/>
      <x:c r="AD83" s="53"/>
      <x:c r="AE83" s="53"/>
      <x:c r="AF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3"/>
      <x:c r="AB84" s="53"/>
      <x:c r="AC84" s="53"/>
      <x:c r="AD84" s="53"/>
      <x:c r="AE84" s="53"/>
      <x:c r="AF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  <x:c r="AA85" s="53"/>
      <x:c r="AB85" s="53"/>
      <x:c r="AC85" s="53"/>
      <x:c r="AD85" s="53"/>
      <x:c r="AE85" s="53"/>
      <x:c r="AF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3"/>
      <x:c r="AB86" s="53"/>
      <x:c r="AC86" s="53"/>
      <x:c r="AD86" s="53"/>
      <x:c r="AE86" s="53"/>
      <x:c r="AF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  <x:c r="AA87" s="53"/>
      <x:c r="AB87" s="53"/>
      <x:c r="AC87" s="53"/>
      <x:c r="AD87" s="53"/>
      <x:c r="AE87" s="53"/>
      <x:c r="AF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3"/>
      <x:c r="AB88" s="53"/>
      <x:c r="AC88" s="53"/>
      <x:c r="AD88" s="53"/>
      <x:c r="AE88" s="53"/>
      <x:c r="AF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  <x:c r="AA89" s="53"/>
      <x:c r="AB89" s="53"/>
      <x:c r="AC89" s="53"/>
      <x:c r="AD89" s="53"/>
      <x:c r="AE89" s="53"/>
      <x:c r="AF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3"/>
      <x:c r="AB90" s="53"/>
      <x:c r="AC90" s="53"/>
      <x:c r="AD90" s="53"/>
      <x:c r="AE90" s="53"/>
      <x:c r="AF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  <x:c r="AA91" s="53"/>
      <x:c r="AB91" s="53"/>
      <x:c r="AC91" s="53"/>
      <x:c r="AD91" s="53"/>
      <x:c r="AE91" s="53"/>
      <x:c r="AF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3"/>
      <x:c r="AB92" s="53"/>
      <x:c r="AC92" s="53"/>
      <x:c r="AD92" s="53"/>
      <x:c r="AE92" s="53"/>
      <x:c r="AF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  <x:c r="AA93" s="53"/>
      <x:c r="AB93" s="53"/>
      <x:c r="AC93" s="53"/>
      <x:c r="AD93" s="53"/>
      <x:c r="AE93" s="53"/>
      <x:c r="AF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3"/>
      <x:c r="AB94" s="53"/>
      <x:c r="AC94" s="53"/>
      <x:c r="AD94" s="53"/>
      <x:c r="AE94" s="53"/>
      <x:c r="AF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  <x:c r="AA95" s="53"/>
      <x:c r="AB95" s="53"/>
      <x:c r="AC95" s="53"/>
      <x:c r="AD95" s="53"/>
      <x:c r="AE95" s="53"/>
      <x:c r="AF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3"/>
      <x:c r="AB96" s="53"/>
      <x:c r="AC96" s="53"/>
      <x:c r="AD96" s="53"/>
      <x:c r="AE96" s="53"/>
      <x:c r="AF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  <x:c r="AA97" s="53"/>
      <x:c r="AB97" s="53"/>
      <x:c r="AC97" s="53"/>
      <x:c r="AD97" s="53"/>
      <x:c r="AE97" s="53"/>
      <x:c r="AF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3"/>
      <x:c r="AB98" s="53"/>
      <x:c r="AC98" s="53"/>
      <x:c r="AD98" s="53"/>
      <x:c r="AE98" s="53"/>
      <x:c r="AF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  <x:c r="AA99" s="53"/>
      <x:c r="AB99" s="53"/>
      <x:c r="AC99" s="53"/>
      <x:c r="AD99" s="53"/>
      <x:c r="AE99" s="53"/>
      <x:c r="AF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3"/>
      <x:c r="AB100" s="53"/>
      <x:c r="AC100" s="53"/>
      <x:c r="AD100" s="53"/>
      <x:c r="AE100" s="53"/>
      <x:c r="AF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  <x:c r="AA101" s="53"/>
      <x:c r="AB101" s="53"/>
      <x:c r="AC101" s="53"/>
      <x:c r="AD101" s="53"/>
      <x:c r="AE101" s="53"/>
      <x:c r="AF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3"/>
      <x:c r="AB102" s="53"/>
      <x:c r="AC102" s="53"/>
      <x:c r="AD102" s="53"/>
      <x:c r="AE102" s="53"/>
      <x:c r="AF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  <x:c r="AA103" s="53"/>
      <x:c r="AB103" s="53"/>
      <x:c r="AC103" s="53"/>
      <x:c r="AD103" s="53"/>
      <x:c r="AE103" s="53"/>
      <x:c r="AF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  <x:c r="AA104" s="53"/>
      <x:c r="AB104" s="53"/>
      <x:c r="AC104" s="53"/>
      <x:c r="AD104" s="53"/>
      <x:c r="AE104" s="53"/>
      <x:c r="AF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  <x:c r="AA105" s="53"/>
      <x:c r="AB105" s="53"/>
      <x:c r="AC105" s="53"/>
      <x:c r="AD105" s="53"/>
      <x:c r="AE105" s="53"/>
      <x:c r="AF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  <x:c r="AA106" s="53"/>
      <x:c r="AB106" s="53"/>
      <x:c r="AC106" s="53"/>
      <x:c r="AD106" s="53"/>
      <x:c r="AE106" s="53"/>
      <x:c r="AF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  <x:c r="AA107" s="53"/>
      <x:c r="AB107" s="53"/>
      <x:c r="AC107" s="53"/>
      <x:c r="AD107" s="53"/>
      <x:c r="AE107" s="53"/>
      <x:c r="AF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  <x:c r="AA108" s="53"/>
      <x:c r="AB108" s="53"/>
      <x:c r="AC108" s="53"/>
      <x:c r="AD108" s="53"/>
      <x:c r="AE108" s="53"/>
      <x:c r="AF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  <x:c r="AA109" s="53"/>
      <x:c r="AB109" s="53"/>
      <x:c r="AC109" s="53"/>
      <x:c r="AD109" s="53"/>
      <x:c r="AE109" s="53"/>
      <x:c r="AF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  <x:c r="AA110" s="53"/>
      <x:c r="AB110" s="53"/>
      <x:c r="AC110" s="53"/>
      <x:c r="AD110" s="53"/>
      <x:c r="AE110" s="53"/>
      <x:c r="AF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  <x:c r="AA111" s="53"/>
      <x:c r="AB111" s="53"/>
      <x:c r="AC111" s="53"/>
      <x:c r="AD111" s="53"/>
      <x:c r="AE111" s="53"/>
      <x:c r="AF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  <x:c r="AA112" s="53"/>
      <x:c r="AB112" s="53"/>
      <x:c r="AC112" s="53"/>
      <x:c r="AD112" s="53"/>
      <x:c r="AE112" s="53"/>
      <x:c r="AF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  <x:c r="AA113" s="53"/>
      <x:c r="AB113" s="53"/>
      <x:c r="AC113" s="53"/>
      <x:c r="AD113" s="53"/>
      <x:c r="AE113" s="53"/>
      <x:c r="AF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  <x:c r="AA114" s="53"/>
      <x:c r="AB114" s="53"/>
      <x:c r="AC114" s="53"/>
      <x:c r="AD114" s="53"/>
      <x:c r="AE114" s="53"/>
      <x:c r="AF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  <x:c r="AA115" s="53"/>
      <x:c r="AB115" s="53"/>
      <x:c r="AC115" s="53"/>
      <x:c r="AD115" s="53"/>
      <x:c r="AE115" s="53"/>
      <x:c r="AF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  <x:c r="AA116" s="53"/>
      <x:c r="AB116" s="53"/>
      <x:c r="AC116" s="53"/>
      <x:c r="AD116" s="53"/>
      <x:c r="AE116" s="53"/>
      <x:c r="AF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  <x:c r="AA117" s="53"/>
      <x:c r="AB117" s="53"/>
      <x:c r="AC117" s="53"/>
      <x:c r="AD117" s="53"/>
      <x:c r="AE117" s="53"/>
      <x:c r="AF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  <x:c r="AA118" s="53"/>
      <x:c r="AB118" s="53"/>
      <x:c r="AC118" s="53"/>
      <x:c r="AD118" s="53"/>
      <x:c r="AE118" s="53"/>
      <x:c r="AF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53"/>
      <x:c r="AC119" s="53"/>
      <x:c r="AD119" s="53"/>
      <x:c r="AE119" s="53"/>
      <x:c r="AF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53"/>
      <x:c r="AC120" s="53"/>
      <x:c r="AD120" s="53"/>
      <x:c r="AE120" s="53"/>
      <x:c r="AF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53"/>
      <x:c r="AC121" s="53"/>
      <x:c r="AD121" s="53"/>
      <x:c r="AE121" s="53"/>
      <x:c r="AF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53"/>
      <x:c r="AC122" s="53"/>
      <x:c r="AD122" s="53"/>
      <x:c r="AE122" s="53"/>
      <x:c r="AF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53"/>
      <x:c r="AC123" s="53"/>
      <x:c r="AD123" s="53"/>
      <x:c r="AE123" s="53"/>
      <x:c r="AF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53"/>
      <x:c r="AC124" s="53"/>
      <x:c r="AD124" s="53"/>
      <x:c r="AE124" s="53"/>
      <x:c r="AF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53"/>
      <x:c r="AC125" s="53"/>
      <x:c r="AD125" s="53"/>
      <x:c r="AE125" s="53"/>
      <x:c r="AF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53"/>
      <x:c r="AC126" s="53"/>
      <x:c r="AD126" s="53"/>
      <x:c r="AE126" s="53"/>
      <x:c r="AF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53"/>
      <x:c r="AC127" s="53"/>
      <x:c r="AD127" s="53"/>
      <x:c r="AE127" s="53"/>
      <x:c r="AF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53"/>
      <x:c r="AC128" s="53"/>
      <x:c r="AD128" s="53"/>
      <x:c r="AE128" s="53"/>
      <x:c r="AF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53"/>
      <x:c r="AC129" s="53"/>
      <x:c r="AD129" s="53"/>
      <x:c r="AE129" s="53"/>
      <x:c r="AF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53"/>
      <x:c r="AC130" s="53"/>
      <x:c r="AD130" s="53"/>
      <x:c r="AE130" s="53"/>
      <x:c r="AF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53"/>
      <x:c r="AC131" s="53"/>
      <x:c r="AD131" s="53"/>
      <x:c r="AE131" s="53"/>
      <x:c r="AF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53"/>
      <x:c r="AC132" s="53"/>
      <x:c r="AD132" s="53"/>
      <x:c r="AE132" s="53"/>
      <x:c r="AF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53"/>
      <x:c r="AC133" s="53"/>
      <x:c r="AD133" s="53"/>
      <x:c r="AE133" s="53"/>
      <x:c r="AF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53"/>
      <x:c r="AC134" s="53"/>
      <x:c r="AD134" s="53"/>
      <x:c r="AE134" s="53"/>
      <x:c r="AF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53"/>
      <x:c r="AC135" s="53"/>
      <x:c r="AD135" s="53"/>
      <x:c r="AE135" s="53"/>
      <x:c r="AF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53"/>
      <x:c r="AC136" s="53"/>
      <x:c r="AD136" s="53"/>
      <x:c r="AE136" s="53"/>
      <x:c r="AF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53"/>
      <x:c r="AC137" s="53"/>
      <x:c r="AD137" s="53"/>
      <x:c r="AE137" s="53"/>
      <x:c r="AF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53"/>
      <x:c r="AC138" s="53"/>
      <x:c r="AD138" s="53"/>
      <x:c r="AE138" s="53"/>
      <x:c r="AF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53"/>
      <x:c r="AC139" s="53"/>
      <x:c r="AD139" s="53"/>
      <x:c r="AE139" s="53"/>
      <x:c r="AF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53"/>
      <x:c r="AC140" s="53"/>
      <x:c r="AD140" s="53"/>
      <x:c r="AE140" s="53"/>
      <x:c r="AF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53"/>
      <x:c r="AC141" s="53"/>
      <x:c r="AD141" s="53"/>
      <x:c r="AE141" s="53"/>
      <x:c r="AF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53"/>
      <x:c r="AC142" s="53"/>
      <x:c r="AD142" s="53"/>
      <x:c r="AE142" s="53"/>
      <x:c r="AF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53"/>
      <x:c r="AC143" s="53"/>
      <x:c r="AD143" s="53"/>
      <x:c r="AE143" s="53"/>
      <x:c r="AF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53"/>
      <x:c r="AC144" s="53"/>
      <x:c r="AD144" s="53"/>
      <x:c r="AE144" s="53"/>
      <x:c r="AF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53"/>
      <x:c r="AC145" s="53"/>
      <x:c r="AD145" s="53"/>
      <x:c r="AE145" s="53"/>
      <x:c r="AF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53"/>
      <x:c r="AC146" s="53"/>
      <x:c r="AD146" s="53"/>
      <x:c r="AE146" s="53"/>
      <x:c r="AF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53"/>
      <x:c r="AC147" s="53"/>
      <x:c r="AD147" s="53"/>
      <x:c r="AE147" s="53"/>
      <x:c r="AF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53"/>
      <x:c r="AC148" s="53"/>
      <x:c r="AD148" s="53"/>
      <x:c r="AE148" s="53"/>
      <x:c r="AF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53"/>
      <x:c r="AC149" s="53"/>
      <x:c r="AD149" s="53"/>
      <x:c r="AE149" s="53"/>
      <x:c r="AF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53"/>
      <x:c r="AC150" s="53"/>
      <x:c r="AD150" s="53"/>
      <x:c r="AE150" s="53"/>
      <x:c r="AF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53"/>
      <x:c r="AC151" s="53"/>
      <x:c r="AD151" s="53"/>
      <x:c r="AE151" s="53"/>
      <x:c r="AF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53"/>
      <x:c r="AC152" s="53"/>
      <x:c r="AD152" s="53"/>
      <x:c r="AE152" s="53"/>
      <x:c r="AF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53"/>
      <x:c r="AC153" s="53"/>
      <x:c r="AD153" s="53"/>
      <x:c r="AE153" s="53"/>
      <x:c r="AF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53"/>
      <x:c r="AC154" s="53"/>
      <x:c r="AD154" s="53"/>
      <x:c r="AE154" s="53"/>
      <x:c r="AF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53"/>
      <x:c r="AC155" s="53"/>
      <x:c r="AD155" s="53"/>
      <x:c r="AE155" s="53"/>
      <x:c r="AF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53"/>
      <x:c r="AC156" s="53"/>
      <x:c r="AD156" s="53"/>
      <x:c r="AE156" s="53"/>
      <x:c r="AF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53"/>
      <x:c r="AC157" s="53"/>
      <x:c r="AD157" s="53"/>
      <x:c r="AE157" s="53"/>
      <x:c r="AF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53"/>
      <x:c r="AC158" s="53"/>
      <x:c r="AD158" s="53"/>
      <x:c r="AE158" s="53"/>
      <x:c r="AF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53"/>
      <x:c r="AC159" s="53"/>
      <x:c r="AD159" s="53"/>
      <x:c r="AE159" s="53"/>
      <x:c r="AF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53"/>
      <x:c r="AC160" s="53"/>
      <x:c r="AD160" s="53"/>
      <x:c r="AE160" s="53"/>
      <x:c r="AF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53"/>
      <x:c r="AC161" s="53"/>
      <x:c r="AD161" s="53"/>
      <x:c r="AE161" s="53"/>
      <x:c r="AF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53"/>
      <x:c r="AC162" s="53"/>
      <x:c r="AD162" s="53"/>
      <x:c r="AE162" s="53"/>
      <x:c r="AF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53"/>
      <x:c r="AC163" s="53"/>
      <x:c r="AD163" s="53"/>
      <x:c r="AE163" s="53"/>
      <x:c r="AF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53"/>
      <x:c r="AC164" s="53"/>
      <x:c r="AD164" s="53"/>
      <x:c r="AE164" s="53"/>
      <x:c r="AF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53"/>
      <x:c r="AC165" s="53"/>
      <x:c r="AD165" s="53"/>
      <x:c r="AE165" s="53"/>
      <x:c r="AF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53"/>
      <x:c r="AC166" s="53"/>
      <x:c r="AD166" s="53"/>
      <x:c r="AE166" s="53"/>
      <x:c r="AF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53"/>
      <x:c r="AC167" s="53"/>
      <x:c r="AD167" s="53"/>
      <x:c r="AE167" s="53"/>
      <x:c r="AF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53"/>
      <x:c r="AC168" s="53"/>
      <x:c r="AD168" s="53"/>
      <x:c r="AE168" s="53"/>
      <x:c r="AF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53"/>
      <x:c r="AC169" s="53"/>
      <x:c r="AD169" s="53"/>
      <x:c r="AE169" s="53"/>
      <x:c r="AF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53"/>
      <x:c r="AC170" s="53"/>
      <x:c r="AD170" s="53"/>
      <x:c r="AE170" s="53"/>
      <x:c r="AF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53"/>
      <x:c r="AC171" s="53"/>
      <x:c r="AD171" s="53"/>
      <x:c r="AE171" s="53"/>
      <x:c r="AF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53"/>
      <x:c r="AC172" s="53"/>
      <x:c r="AD172" s="53"/>
      <x:c r="AE172" s="53"/>
      <x:c r="AF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53"/>
      <x:c r="AC173" s="53"/>
      <x:c r="AD173" s="53"/>
      <x:c r="AE173" s="53"/>
      <x:c r="AF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53"/>
      <x:c r="AC174" s="53"/>
      <x:c r="AD174" s="53"/>
      <x:c r="AE174" s="53"/>
      <x:c r="AF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53"/>
      <x:c r="AC175" s="53"/>
      <x:c r="AD175" s="53"/>
      <x:c r="AE175" s="53"/>
      <x:c r="AF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53"/>
      <x:c r="AC176" s="53"/>
      <x:c r="AD176" s="53"/>
      <x:c r="AE176" s="53"/>
      <x:c r="AF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53"/>
      <x:c r="AC177" s="53"/>
      <x:c r="AD177" s="53"/>
      <x:c r="AE177" s="53"/>
      <x:c r="AF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53"/>
      <x:c r="AC178" s="53"/>
      <x:c r="AD178" s="53"/>
      <x:c r="AE178" s="53"/>
      <x:c r="AF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53"/>
      <x:c r="AC179" s="53"/>
      <x:c r="AD179" s="53"/>
      <x:c r="AE179" s="53"/>
      <x:c r="AF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53"/>
      <x:c r="AC180" s="53"/>
      <x:c r="AD180" s="53"/>
      <x:c r="AE180" s="53"/>
      <x:c r="AF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53"/>
      <x:c r="AC181" s="53"/>
      <x:c r="AD181" s="53"/>
      <x:c r="AE181" s="53"/>
      <x:c r="AF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53"/>
      <x:c r="AC182" s="53"/>
      <x:c r="AD182" s="53"/>
      <x:c r="AE182" s="53"/>
      <x:c r="AF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53"/>
      <x:c r="AC183" s="53"/>
      <x:c r="AD183" s="53"/>
      <x:c r="AE183" s="53"/>
      <x:c r="AF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53"/>
      <x:c r="AC184" s="53"/>
      <x:c r="AD184" s="53"/>
      <x:c r="AE184" s="53"/>
      <x:c r="AF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53"/>
      <x:c r="AC185" s="53"/>
      <x:c r="AD185" s="53"/>
      <x:c r="AE185" s="53"/>
      <x:c r="AF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53"/>
      <x:c r="AC186" s="53"/>
      <x:c r="AD186" s="53"/>
      <x:c r="AE186" s="53"/>
      <x:c r="AF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53"/>
      <x:c r="AC187" s="53"/>
      <x:c r="AD187" s="53"/>
      <x:c r="AE187" s="53"/>
      <x:c r="AF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53"/>
      <x:c r="AC188" s="53"/>
      <x:c r="AD188" s="53"/>
      <x:c r="AE188" s="53"/>
      <x:c r="AF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53"/>
      <x:c r="AC189" s="53"/>
      <x:c r="AD189" s="53"/>
      <x:c r="AE189" s="53"/>
      <x:c r="AF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53"/>
      <x:c r="AC190" s="53"/>
      <x:c r="AD190" s="53"/>
      <x:c r="AE190" s="53"/>
      <x:c r="AF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53"/>
      <x:c r="AC191" s="53"/>
      <x:c r="AD191" s="53"/>
      <x:c r="AE191" s="53"/>
      <x:c r="AF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53"/>
      <x:c r="AC192" s="53"/>
      <x:c r="AD192" s="53"/>
      <x:c r="AE192" s="53"/>
      <x:c r="AF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53"/>
      <x:c r="AC193" s="53"/>
      <x:c r="AD193" s="53"/>
      <x:c r="AE193" s="53"/>
      <x:c r="AF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53"/>
      <x:c r="AC194" s="53"/>
      <x:c r="AD194" s="53"/>
      <x:c r="AE194" s="53"/>
      <x:c r="AF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53"/>
      <x:c r="AC195" s="53"/>
      <x:c r="AD195" s="53"/>
      <x:c r="AE195" s="53"/>
      <x:c r="AF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53"/>
      <x:c r="AC196" s="53"/>
      <x:c r="AD196" s="53"/>
      <x:c r="AE196" s="53"/>
      <x:c r="AF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  <x:c r="AA197" s="53"/>
      <x:c r="AB197" s="53"/>
      <x:c r="AC197" s="53"/>
      <x:c r="AD197" s="53"/>
      <x:c r="AE197" s="53"/>
      <x:c r="AF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  <x:c r="AA198" s="53"/>
      <x:c r="AB198" s="53"/>
      <x:c r="AC198" s="53"/>
      <x:c r="AD198" s="53"/>
      <x:c r="AE198" s="53"/>
      <x:c r="AF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  <x:c r="AA199" s="53"/>
      <x:c r="AB199" s="53"/>
      <x:c r="AC199" s="53"/>
      <x:c r="AD199" s="53"/>
      <x:c r="AE199" s="53"/>
      <x:c r="AF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  <x:c r="AA200" s="53"/>
      <x:c r="AB200" s="53"/>
      <x:c r="AC200" s="53"/>
      <x:c r="AD200" s="53"/>
      <x:c r="AE200" s="53"/>
      <x:c r="AF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  <x:c r="AA201" s="53"/>
      <x:c r="AB201" s="53"/>
      <x:c r="AC201" s="53"/>
      <x:c r="AD201" s="53"/>
      <x:c r="AE201" s="53"/>
      <x:c r="AF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  <x:c r="AA202" s="53"/>
      <x:c r="AB202" s="53"/>
      <x:c r="AC202" s="53"/>
      <x:c r="AD202" s="53"/>
      <x:c r="AE202" s="53"/>
      <x:c r="AF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  <x:c r="AA203" s="53"/>
      <x:c r="AB203" s="53"/>
      <x:c r="AC203" s="53"/>
      <x:c r="AD203" s="53"/>
      <x:c r="AE203" s="53"/>
      <x:c r="AF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  <x:c r="AA204" s="53"/>
      <x:c r="AB204" s="53"/>
      <x:c r="AC204" s="53"/>
      <x:c r="AD204" s="53"/>
      <x:c r="AE204" s="53"/>
      <x:c r="AF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  <x:c r="AA205" s="53"/>
      <x:c r="AB205" s="53"/>
      <x:c r="AC205" s="53"/>
      <x:c r="AD205" s="53"/>
      <x:c r="AE205" s="53"/>
      <x:c r="AF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  <x:c r="AA206" s="53"/>
      <x:c r="AB206" s="53"/>
      <x:c r="AC206" s="53"/>
      <x:c r="AD206" s="53"/>
      <x:c r="AE206" s="53"/>
      <x:c r="AF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  <x:c r="AA207" s="53"/>
      <x:c r="AB207" s="53"/>
      <x:c r="AC207" s="53"/>
      <x:c r="AD207" s="53"/>
      <x:c r="AE207" s="53"/>
      <x:c r="AF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  <x:c r="AA208" s="53"/>
      <x:c r="AB208" s="53"/>
      <x:c r="AC208" s="53"/>
      <x:c r="AD208" s="53"/>
      <x:c r="AE208" s="53"/>
      <x:c r="AF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  <x:c r="AA209" s="53"/>
      <x:c r="AB209" s="53"/>
      <x:c r="AC209" s="53"/>
      <x:c r="AD209" s="53"/>
      <x:c r="AE209" s="53"/>
      <x:c r="AF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  <x:c r="AA210" s="53"/>
      <x:c r="AB210" s="53"/>
      <x:c r="AC210" s="53"/>
      <x:c r="AD210" s="53"/>
      <x:c r="AE210" s="53"/>
      <x:c r="AF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  <x:c r="AA211" s="53"/>
      <x:c r="AB211" s="53"/>
      <x:c r="AC211" s="53"/>
      <x:c r="AD211" s="53"/>
      <x:c r="AE211" s="53"/>
      <x:c r="AF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  <x:c r="AA212" s="53"/>
      <x:c r="AB212" s="53"/>
      <x:c r="AC212" s="53"/>
      <x:c r="AD212" s="53"/>
      <x:c r="AE212" s="53"/>
      <x:c r="AF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  <x:c r="AA213" s="53"/>
      <x:c r="AB213" s="53"/>
      <x:c r="AC213" s="53"/>
      <x:c r="AD213" s="53"/>
      <x:c r="AE213" s="53"/>
      <x:c r="AF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  <x:c r="AA214" s="53"/>
      <x:c r="AB214" s="53"/>
      <x:c r="AC214" s="53"/>
      <x:c r="AD214" s="53"/>
      <x:c r="AE214" s="53"/>
      <x:c r="AF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  <x:c r="AA215" s="53"/>
      <x:c r="AB215" s="53"/>
      <x:c r="AC215" s="53"/>
      <x:c r="AD215" s="53"/>
      <x:c r="AE215" s="53"/>
      <x:c r="AF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  <x:c r="AA216" s="53"/>
      <x:c r="AB216" s="53"/>
      <x:c r="AC216" s="53"/>
      <x:c r="AD216" s="53"/>
      <x:c r="AE216" s="53"/>
      <x:c r="AF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  <x:c r="AA217" s="53"/>
      <x:c r="AB217" s="53"/>
      <x:c r="AC217" s="53"/>
      <x:c r="AD217" s="53"/>
      <x:c r="AE217" s="53"/>
      <x:c r="AF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  <x:c r="AA218" s="53"/>
      <x:c r="AB218" s="53"/>
      <x:c r="AC218" s="53"/>
      <x:c r="AD218" s="53"/>
      <x:c r="AE218" s="53"/>
      <x:c r="AF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  <x:c r="AA219" s="53"/>
      <x:c r="AB219" s="53"/>
      <x:c r="AC219" s="53"/>
      <x:c r="AD219" s="53"/>
      <x:c r="AE219" s="53"/>
      <x:c r="AF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  <x:c r="AA220" s="53"/>
      <x:c r="AB220" s="53"/>
      <x:c r="AC220" s="53"/>
      <x:c r="AD220" s="53"/>
      <x:c r="AE220" s="53"/>
      <x:c r="AF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  <x:c r="AA221" s="53"/>
      <x:c r="AB221" s="53"/>
      <x:c r="AC221" s="53"/>
      <x:c r="AD221" s="53"/>
      <x:c r="AE221" s="53"/>
      <x:c r="AF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  <x:c r="AA222" s="53"/>
      <x:c r="AB222" s="53"/>
      <x:c r="AC222" s="53"/>
      <x:c r="AD222" s="53"/>
      <x:c r="AE222" s="53"/>
      <x:c r="AF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  <x:c r="AA223" s="53"/>
      <x:c r="AB223" s="53"/>
      <x:c r="AC223" s="53"/>
      <x:c r="AD223" s="53"/>
      <x:c r="AE223" s="53"/>
      <x:c r="AF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  <x:c r="AA224" s="53"/>
      <x:c r="AB224" s="53"/>
      <x:c r="AC224" s="53"/>
      <x:c r="AD224" s="53"/>
      <x:c r="AE224" s="53"/>
      <x:c r="AF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  <x:c r="AA225" s="53"/>
      <x:c r="AB225" s="53"/>
      <x:c r="AC225" s="53"/>
      <x:c r="AD225" s="53"/>
      <x:c r="AE225" s="53"/>
      <x:c r="AF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  <x:c r="AA226" s="53"/>
      <x:c r="AB226" s="53"/>
      <x:c r="AC226" s="53"/>
      <x:c r="AD226" s="53"/>
      <x:c r="AE226" s="53"/>
      <x:c r="AF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  <x:c r="AA227" s="53"/>
      <x:c r="AB227" s="53"/>
      <x:c r="AC227" s="53"/>
      <x:c r="AD227" s="53"/>
      <x:c r="AE227" s="53"/>
      <x:c r="AF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  <x:c r="AA228" s="53"/>
      <x:c r="AB228" s="53"/>
      <x:c r="AC228" s="53"/>
      <x:c r="AD228" s="53"/>
      <x:c r="AE228" s="53"/>
      <x:c r="AF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  <x:c r="AA229" s="53"/>
      <x:c r="AB229" s="53"/>
      <x:c r="AC229" s="53"/>
      <x:c r="AD229" s="53"/>
      <x:c r="AE229" s="53"/>
      <x:c r="AF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  <x:c r="AA230" s="53"/>
      <x:c r="AB230" s="53"/>
      <x:c r="AC230" s="53"/>
      <x:c r="AD230" s="53"/>
      <x:c r="AE230" s="53"/>
      <x:c r="AF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  <x:c r="AA231" s="53"/>
      <x:c r="AB231" s="53"/>
      <x:c r="AC231" s="53"/>
      <x:c r="AD231" s="53"/>
      <x:c r="AE231" s="53"/>
      <x:c r="AF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  <x:c r="AA232" s="53"/>
      <x:c r="AB232" s="53"/>
      <x:c r="AC232" s="53"/>
      <x:c r="AD232" s="53"/>
      <x:c r="AE232" s="53"/>
      <x:c r="AF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  <x:c r="AA233" s="53"/>
      <x:c r="AB233" s="53"/>
      <x:c r="AC233" s="53"/>
      <x:c r="AD233" s="53"/>
      <x:c r="AE233" s="53"/>
      <x:c r="AF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  <x:c r="AA234" s="53"/>
      <x:c r="AB234" s="53"/>
      <x:c r="AC234" s="53"/>
      <x:c r="AD234" s="53"/>
      <x:c r="AE234" s="53"/>
      <x:c r="AF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  <x:c r="AA235" s="53"/>
      <x:c r="AB235" s="53"/>
      <x:c r="AC235" s="53"/>
      <x:c r="AD235" s="53"/>
      <x:c r="AE235" s="53"/>
      <x:c r="AF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  <x:c r="AA236" s="53"/>
      <x:c r="AB236" s="53"/>
      <x:c r="AC236" s="53"/>
      <x:c r="AD236" s="53"/>
      <x:c r="AE236" s="53"/>
      <x:c r="AF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  <x:c r="AA237" s="53"/>
      <x:c r="AB237" s="53"/>
      <x:c r="AC237" s="53"/>
      <x:c r="AD237" s="53"/>
      <x:c r="AE237" s="53"/>
      <x:c r="AF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  <x:c r="AA238" s="53"/>
      <x:c r="AB238" s="53"/>
      <x:c r="AC238" s="53"/>
      <x:c r="AD238" s="53"/>
      <x:c r="AE238" s="53"/>
      <x:c r="AF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  <x:c r="AA239" s="53"/>
      <x:c r="AB239" s="53"/>
      <x:c r="AC239" s="53"/>
      <x:c r="AD239" s="53"/>
      <x:c r="AE239" s="53"/>
      <x:c r="AF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  <x:c r="AA240" s="53"/>
      <x:c r="AB240" s="53"/>
      <x:c r="AC240" s="53"/>
      <x:c r="AD240" s="53"/>
      <x:c r="AE240" s="53"/>
      <x:c r="AF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  <x:c r="AA241" s="53"/>
      <x:c r="AB241" s="53"/>
      <x:c r="AC241" s="53"/>
      <x:c r="AD241" s="53"/>
      <x:c r="AE241" s="53"/>
      <x:c r="AF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  <x:c r="AA242" s="53"/>
      <x:c r="AB242" s="53"/>
      <x:c r="AC242" s="53"/>
      <x:c r="AD242" s="53"/>
      <x:c r="AE242" s="53"/>
      <x:c r="AF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  <x:c r="AA243" s="53"/>
      <x:c r="AB243" s="53"/>
      <x:c r="AC243" s="53"/>
      <x:c r="AD243" s="53"/>
      <x:c r="AE243" s="53"/>
      <x:c r="AF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  <x:c r="AA244" s="53"/>
      <x:c r="AB244" s="53"/>
      <x:c r="AC244" s="53"/>
      <x:c r="AD244" s="53"/>
      <x:c r="AE244" s="53"/>
      <x:c r="AF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  <x:c r="AA245" s="53"/>
      <x:c r="AB245" s="53"/>
      <x:c r="AC245" s="53"/>
      <x:c r="AD245" s="53"/>
      <x:c r="AE245" s="53"/>
      <x:c r="AF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  <x:c r="AA246" s="53"/>
      <x:c r="AB246" s="53"/>
      <x:c r="AC246" s="53"/>
      <x:c r="AD246" s="53"/>
      <x:c r="AE246" s="53"/>
      <x:c r="AF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  <x:c r="AA247" s="53"/>
      <x:c r="AB247" s="53"/>
      <x:c r="AC247" s="53"/>
      <x:c r="AD247" s="53"/>
      <x:c r="AE247" s="53"/>
      <x:c r="AF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  <x:c r="AA248" s="53"/>
      <x:c r="AB248" s="53"/>
      <x:c r="AC248" s="53"/>
      <x:c r="AD248" s="53"/>
      <x:c r="AE248" s="53"/>
      <x:c r="AF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  <x:c r="AA249" s="53"/>
      <x:c r="AB249" s="53"/>
      <x:c r="AC249" s="53"/>
      <x:c r="AD249" s="53"/>
      <x:c r="AE249" s="53"/>
      <x:c r="AF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  <x:c r="AA250" s="53"/>
      <x:c r="AB250" s="53"/>
      <x:c r="AC250" s="53"/>
      <x:c r="AD250" s="53"/>
      <x:c r="AE250" s="53"/>
      <x:c r="AF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  <x:c r="AA251" s="53"/>
      <x:c r="AB251" s="53"/>
      <x:c r="AC251" s="53"/>
      <x:c r="AD251" s="53"/>
      <x:c r="AE251" s="53"/>
      <x:c r="AF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  <x:c r="AA252" s="53"/>
      <x:c r="AB252" s="53"/>
      <x:c r="AC252" s="53"/>
      <x:c r="AD252" s="53"/>
      <x:c r="AE252" s="53"/>
      <x:c r="AF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  <x:c r="AA253" s="53"/>
      <x:c r="AB253" s="53"/>
      <x:c r="AC253" s="53"/>
      <x:c r="AD253" s="53"/>
      <x:c r="AE253" s="53"/>
      <x:c r="AF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  <x:c r="AA254" s="53"/>
      <x:c r="AB254" s="53"/>
      <x:c r="AC254" s="53"/>
      <x:c r="AD254" s="53"/>
      <x:c r="AE254" s="53"/>
      <x:c r="AF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  <x:c r="AA255" s="53"/>
      <x:c r="AB255" s="53"/>
      <x:c r="AC255" s="53"/>
      <x:c r="AD255" s="53"/>
      <x:c r="AE255" s="53"/>
      <x:c r="AF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  <x:c r="AA256" s="53"/>
      <x:c r="AB256" s="53"/>
      <x:c r="AC256" s="53"/>
      <x:c r="AD256" s="53"/>
      <x:c r="AE256" s="53"/>
      <x:c r="AF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  <x:c r="AA257" s="53"/>
      <x:c r="AB257" s="53"/>
      <x:c r="AC257" s="53"/>
      <x:c r="AD257" s="53"/>
      <x:c r="AE257" s="53"/>
      <x:c r="AF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  <x:c r="AA258" s="53"/>
      <x:c r="AB258" s="53"/>
      <x:c r="AC258" s="53"/>
      <x:c r="AD258" s="53"/>
      <x:c r="AE258" s="53"/>
      <x:c r="AF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  <x:c r="AA259" s="53"/>
      <x:c r="AB259" s="53"/>
      <x:c r="AC259" s="53"/>
      <x:c r="AD259" s="53"/>
      <x:c r="AE259" s="53"/>
      <x:c r="AF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  <x:c r="AA260" s="53"/>
      <x:c r="AB260" s="53"/>
      <x:c r="AC260" s="53"/>
      <x:c r="AD260" s="53"/>
      <x:c r="AE260" s="53"/>
      <x:c r="AF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  <x:c r="AA261" s="53"/>
      <x:c r="AB261" s="53"/>
      <x:c r="AC261" s="53"/>
      <x:c r="AD261" s="53"/>
      <x:c r="AE261" s="53"/>
      <x:c r="AF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  <x:c r="AA262" s="53"/>
      <x:c r="AB262" s="53"/>
      <x:c r="AC262" s="53"/>
      <x:c r="AD262" s="53"/>
      <x:c r="AE262" s="53"/>
      <x:c r="AF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  <x:c r="AA263" s="53"/>
      <x:c r="AB263" s="53"/>
      <x:c r="AC263" s="53"/>
      <x:c r="AD263" s="53"/>
      <x:c r="AE263" s="53"/>
      <x:c r="AF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  <x:c r="AA264" s="53"/>
      <x:c r="AB264" s="53"/>
      <x:c r="AC264" s="53"/>
      <x:c r="AD264" s="53"/>
      <x:c r="AE264" s="53"/>
      <x:c r="AF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  <x:c r="AA265" s="53"/>
      <x:c r="AB265" s="53"/>
      <x:c r="AC265" s="53"/>
      <x:c r="AD265" s="53"/>
      <x:c r="AE265" s="53"/>
      <x:c r="AF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  <x:c r="AA266" s="53"/>
      <x:c r="AB266" s="53"/>
      <x:c r="AC266" s="53"/>
      <x:c r="AD266" s="53"/>
      <x:c r="AE266" s="53"/>
      <x:c r="AF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  <x:c r="AA267" s="53"/>
      <x:c r="AB267" s="53"/>
      <x:c r="AC267" s="53"/>
      <x:c r="AD267" s="53"/>
      <x:c r="AE267" s="53"/>
      <x:c r="AF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  <x:c r="AA268" s="53"/>
      <x:c r="AB268" s="53"/>
      <x:c r="AC268" s="53"/>
      <x:c r="AD268" s="53"/>
      <x:c r="AE268" s="53"/>
      <x:c r="AF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  <x:c r="AA269" s="53"/>
      <x:c r="AB269" s="53"/>
      <x:c r="AC269" s="53"/>
      <x:c r="AD269" s="53"/>
      <x:c r="AE269" s="53"/>
      <x:c r="AF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  <x:c r="AA270" s="53"/>
      <x:c r="AB270" s="53"/>
      <x:c r="AC270" s="53"/>
      <x:c r="AD270" s="53"/>
      <x:c r="AE270" s="53"/>
      <x:c r="AF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  <x:c r="AA271" s="53"/>
      <x:c r="AB271" s="53"/>
      <x:c r="AC271" s="53"/>
      <x:c r="AD271" s="53"/>
      <x:c r="AE271" s="53"/>
      <x:c r="AF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  <x:c r="AA272" s="53"/>
      <x:c r="AB272" s="53"/>
      <x:c r="AC272" s="53"/>
      <x:c r="AD272" s="53"/>
      <x:c r="AE272" s="53"/>
      <x:c r="AF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  <x:c r="AA273" s="53"/>
      <x:c r="AB273" s="53"/>
      <x:c r="AC273" s="53"/>
      <x:c r="AD273" s="53"/>
      <x:c r="AE273" s="53"/>
      <x:c r="AF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  <x:c r="AA274" s="53"/>
      <x:c r="AB274" s="53"/>
      <x:c r="AC274" s="53"/>
      <x:c r="AD274" s="53"/>
      <x:c r="AE274" s="53"/>
      <x:c r="AF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  <x:c r="AA275" s="53"/>
      <x:c r="AB275" s="53"/>
      <x:c r="AC275" s="53"/>
      <x:c r="AD275" s="53"/>
      <x:c r="AE275" s="53"/>
      <x:c r="AF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  <x:c r="AA276" s="53"/>
      <x:c r="AB276" s="53"/>
      <x:c r="AC276" s="53"/>
      <x:c r="AD276" s="53"/>
      <x:c r="AE276" s="53"/>
      <x:c r="AF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  <x:c r="AA277" s="53"/>
      <x:c r="AB277" s="53"/>
      <x:c r="AC277" s="53"/>
      <x:c r="AD277" s="53"/>
      <x:c r="AE277" s="53"/>
      <x:c r="AF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  <x:c r="AA278" s="53"/>
      <x:c r="AB278" s="53"/>
      <x:c r="AC278" s="53"/>
      <x:c r="AD278" s="53"/>
      <x:c r="AE278" s="53"/>
      <x:c r="AF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  <x:c r="AA279" s="53"/>
      <x:c r="AB279" s="53"/>
      <x:c r="AC279" s="53"/>
      <x:c r="AD279" s="53"/>
      <x:c r="AE279" s="53"/>
      <x:c r="AF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  <x:c r="AA280" s="53"/>
      <x:c r="AB280" s="53"/>
      <x:c r="AC280" s="53"/>
      <x:c r="AD280" s="53"/>
      <x:c r="AE280" s="53"/>
      <x:c r="AF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  <x:c r="AA281" s="53"/>
      <x:c r="AB281" s="53"/>
      <x:c r="AC281" s="53"/>
      <x:c r="AD281" s="53"/>
      <x:c r="AE281" s="53"/>
      <x:c r="AF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  <x:c r="AA282" s="53"/>
      <x:c r="AB282" s="53"/>
      <x:c r="AC282" s="53"/>
      <x:c r="AD282" s="53"/>
      <x:c r="AE282" s="53"/>
      <x:c r="AF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  <x:c r="AA283" s="53"/>
      <x:c r="AB283" s="53"/>
      <x:c r="AC283" s="53"/>
      <x:c r="AD283" s="53"/>
      <x:c r="AE283" s="53"/>
      <x:c r="AF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  <x:c r="AA284" s="53"/>
      <x:c r="AB284" s="53"/>
      <x:c r="AC284" s="53"/>
      <x:c r="AD284" s="53"/>
      <x:c r="AE284" s="53"/>
      <x:c r="AF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  <x:c r="AA285" s="53"/>
      <x:c r="AB285" s="53"/>
      <x:c r="AC285" s="53"/>
      <x:c r="AD285" s="53"/>
      <x:c r="AE285" s="53"/>
      <x:c r="AF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  <x:c r="AA286" s="53"/>
      <x:c r="AB286" s="53"/>
      <x:c r="AC286" s="53"/>
      <x:c r="AD286" s="53"/>
      <x:c r="AE286" s="53"/>
      <x:c r="AF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  <x:c r="AA287" s="53"/>
      <x:c r="AB287" s="53"/>
      <x:c r="AC287" s="53"/>
      <x:c r="AD287" s="53"/>
      <x:c r="AE287" s="53"/>
      <x:c r="AF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  <x:c r="AA288" s="53"/>
      <x:c r="AB288" s="53"/>
      <x:c r="AC288" s="53"/>
      <x:c r="AD288" s="53"/>
      <x:c r="AE288" s="53"/>
      <x:c r="AF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  <x:c r="AA289" s="53"/>
      <x:c r="AB289" s="53"/>
      <x:c r="AC289" s="53"/>
      <x:c r="AD289" s="53"/>
      <x:c r="AE289" s="53"/>
      <x:c r="AF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  <x:c r="AA290" s="53"/>
      <x:c r="AB290" s="53"/>
      <x:c r="AC290" s="53"/>
      <x:c r="AD290" s="53"/>
      <x:c r="AE290" s="53"/>
      <x:c r="AF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  <x:c r="AA291" s="53"/>
      <x:c r="AB291" s="53"/>
      <x:c r="AC291" s="53"/>
      <x:c r="AD291" s="53"/>
      <x:c r="AE291" s="53"/>
      <x:c r="AF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  <x:c r="AA292" s="53"/>
      <x:c r="AB292" s="53"/>
      <x:c r="AC292" s="53"/>
      <x:c r="AD292" s="53"/>
      <x:c r="AE292" s="53"/>
      <x:c r="AF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  <x:c r="AA293" s="53"/>
      <x:c r="AB293" s="53"/>
      <x:c r="AC293" s="53"/>
      <x:c r="AD293" s="53"/>
      <x:c r="AE293" s="53"/>
      <x:c r="AF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  <x:c r="AA294" s="53"/>
      <x:c r="AB294" s="53"/>
      <x:c r="AC294" s="53"/>
      <x:c r="AD294" s="53"/>
      <x:c r="AE294" s="53"/>
      <x:c r="AF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  <x:c r="AA295" s="53"/>
      <x:c r="AB295" s="53"/>
      <x:c r="AC295" s="53"/>
      <x:c r="AD295" s="53"/>
      <x:c r="AE295" s="53"/>
      <x:c r="AF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  <x:c r="AA296" s="53"/>
      <x:c r="AB296" s="53"/>
      <x:c r="AC296" s="53"/>
      <x:c r="AD296" s="53"/>
      <x:c r="AE296" s="53"/>
      <x:c r="AF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  <x:c r="AA297" s="53"/>
      <x:c r="AB297" s="53"/>
      <x:c r="AC297" s="53"/>
      <x:c r="AD297" s="53"/>
      <x:c r="AE297" s="53"/>
      <x:c r="AF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  <x:c r="AA298" s="53"/>
      <x:c r="AB298" s="53"/>
      <x:c r="AC298" s="53"/>
      <x:c r="AD298" s="53"/>
      <x:c r="AE298" s="53"/>
      <x:c r="AF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  <x:c r="AA299" s="53"/>
      <x:c r="AB299" s="53"/>
      <x:c r="AC299" s="53"/>
      <x:c r="AD299" s="53"/>
      <x:c r="AE299" s="53"/>
      <x:c r="AF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  <x:c r="AA300" s="53"/>
      <x:c r="AB300" s="53"/>
      <x:c r="AC300" s="53"/>
      <x:c r="AD300" s="53"/>
      <x:c r="AE300" s="53"/>
      <x:c r="AF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  <x:c r="AA301" s="53"/>
      <x:c r="AB301" s="53"/>
      <x:c r="AC301" s="53"/>
      <x:c r="AD301" s="53"/>
      <x:c r="AE301" s="53"/>
      <x:c r="AF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  <x:c r="AA302" s="53"/>
      <x:c r="AB302" s="53"/>
      <x:c r="AC302" s="53"/>
      <x:c r="AD302" s="53"/>
      <x:c r="AE302" s="53"/>
      <x:c r="AF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  <x:c r="AA303" s="53"/>
      <x:c r="AB303" s="53"/>
      <x:c r="AC303" s="53"/>
      <x:c r="AD303" s="53"/>
      <x:c r="AE303" s="53"/>
      <x:c r="AF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  <x:c r="AA304" s="53"/>
      <x:c r="AB304" s="53"/>
      <x:c r="AC304" s="53"/>
      <x:c r="AD304" s="53"/>
      <x:c r="AE304" s="53"/>
      <x:c r="AF304" s="53"/>
    </x:row>
    <x:row r="305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  <x:c r="AA305" s="53"/>
      <x:c r="AB305" s="53"/>
      <x:c r="AC305" s="53"/>
      <x:c r="AD305" s="53"/>
      <x:c r="AE305" s="53"/>
      <x:c r="AF305" s="53"/>
    </x:row>
    <x:row r="30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  <x:c r="AA306" s="53"/>
      <x:c r="AB306" s="53"/>
      <x:c r="AC306" s="53"/>
      <x:c r="AD306" s="53"/>
      <x:c r="AE306" s="53"/>
      <x:c r="AF306" s="53"/>
    </x:row>
    <x:row r="307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  <x:c r="AA307" s="53"/>
      <x:c r="AB307" s="53"/>
      <x:c r="AC307" s="53"/>
      <x:c r="AD307" s="53"/>
      <x:c r="AE307" s="53"/>
      <x:c r="AF307" s="53"/>
    </x:row>
    <x:row r="308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  <x:c r="AA308" s="53"/>
      <x:c r="AB308" s="53"/>
      <x:c r="AC308" s="53"/>
      <x:c r="AD308" s="53"/>
      <x:c r="AE308" s="53"/>
      <x:c r="AF308" s="53"/>
    </x:row>
    <x:row r="309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  <x:c r="AA309" s="53"/>
      <x:c r="AB309" s="53"/>
      <x:c r="AC309" s="53"/>
      <x:c r="AD309" s="53"/>
      <x:c r="AE309" s="53"/>
      <x:c r="AF309" s="53"/>
    </x:row>
    <x:row r="310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  <x:c r="AA310" s="53"/>
      <x:c r="AB310" s="53"/>
      <x:c r="AC310" s="53"/>
      <x:c r="AD310" s="53"/>
      <x:c r="AE310" s="53"/>
      <x:c r="AF310" s="53"/>
    </x:row>
    <x:row r="311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  <x:c r="AA311" s="53"/>
      <x:c r="AB311" s="53"/>
      <x:c r="AC311" s="53"/>
      <x:c r="AD311" s="53"/>
      <x:c r="AE311" s="53"/>
      <x:c r="AF311" s="53"/>
    </x:row>
    <x:row r="312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  <x:c r="AA312" s="53"/>
      <x:c r="AB312" s="53"/>
      <x:c r="AC312" s="53"/>
      <x:c r="AD312" s="53"/>
      <x:c r="AE312" s="53"/>
      <x:c r="AF312" s="53"/>
    </x:row>
    <x:row r="313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  <x:c r="AA313" s="53"/>
      <x:c r="AB313" s="53"/>
      <x:c r="AC313" s="53"/>
      <x:c r="AD313" s="53"/>
      <x:c r="AE313" s="53"/>
      <x:c r="AF313" s="53"/>
    </x:row>
    <x:row r="314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  <x:c r="AA314" s="53"/>
      <x:c r="AB314" s="53"/>
      <x:c r="AC314" s="53"/>
      <x:c r="AD314" s="53"/>
      <x:c r="AE314" s="53"/>
      <x:c r="AF314" s="53"/>
    </x:row>
    <x:row r="315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  <x:c r="AA315" s="53"/>
      <x:c r="AB315" s="53"/>
      <x:c r="AC315" s="53"/>
      <x:c r="AD315" s="53"/>
      <x:c r="AE315" s="53"/>
      <x:c r="AF315" s="53"/>
    </x:row>
    <x:row r="31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  <x:c r="AA316" s="53"/>
      <x:c r="AB316" s="53"/>
      <x:c r="AC316" s="53"/>
      <x:c r="AD316" s="53"/>
      <x:c r="AE316" s="53"/>
      <x:c r="AF316" s="53"/>
    </x:row>
    <x:row r="317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  <x:c r="AA317" s="53"/>
      <x:c r="AB317" s="53"/>
      <x:c r="AC317" s="53"/>
      <x:c r="AD317" s="53"/>
      <x:c r="AE317" s="53"/>
      <x:c r="AF317" s="53"/>
    </x:row>
    <x:row r="318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  <x:c r="AA318" s="53"/>
      <x:c r="AB318" s="53"/>
      <x:c r="AC318" s="53"/>
      <x:c r="AD318" s="53"/>
      <x:c r="AE318" s="53"/>
      <x:c r="AF318" s="53"/>
    </x:row>
    <x:row r="319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  <x:c r="AA319" s="53"/>
      <x:c r="AB319" s="53"/>
      <x:c r="AC319" s="53"/>
      <x:c r="AD319" s="53"/>
      <x:c r="AE319" s="53"/>
      <x:c r="AF319" s="53"/>
    </x:row>
    <x:row r="320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  <x:c r="AA320" s="53"/>
      <x:c r="AB320" s="53"/>
      <x:c r="AC320" s="53"/>
      <x:c r="AD320" s="53"/>
      <x:c r="AE320" s="53"/>
      <x:c r="AF320" s="53"/>
    </x:row>
    <x:row r="321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  <x:c r="AA321" s="53"/>
      <x:c r="AB321" s="53"/>
      <x:c r="AC321" s="53"/>
      <x:c r="AD321" s="53"/>
      <x:c r="AE321" s="53"/>
      <x:c r="AF321" s="53"/>
    </x:row>
    <x:row r="322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  <x:c r="AA322" s="53"/>
      <x:c r="AB322" s="53"/>
      <x:c r="AC322" s="53"/>
      <x:c r="AD322" s="53"/>
      <x:c r="AE322" s="53"/>
      <x:c r="AF322" s="53"/>
    </x:row>
    <x:row r="323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  <x:c r="AA323" s="53"/>
      <x:c r="AB323" s="53"/>
      <x:c r="AC323" s="53"/>
      <x:c r="AD323" s="53"/>
      <x:c r="AE323" s="53"/>
      <x:c r="AF323" s="53"/>
    </x:row>
    <x:row r="324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  <x:c r="AA324" s="53"/>
      <x:c r="AB324" s="53"/>
      <x:c r="AC324" s="53"/>
      <x:c r="AD324" s="53"/>
      <x:c r="AE324" s="53"/>
      <x:c r="AF324" s="53"/>
    </x:row>
    <x:row r="325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  <x:c r="AA325" s="53"/>
      <x:c r="AB325" s="53"/>
      <x:c r="AC325" s="53"/>
      <x:c r="AD325" s="53"/>
      <x:c r="AE325" s="53"/>
      <x:c r="AF325" s="53"/>
    </x:row>
    <x:row r="32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  <x:c r="AA326" s="53"/>
      <x:c r="AB326" s="53"/>
      <x:c r="AC326" s="53"/>
      <x:c r="AD326" s="53"/>
      <x:c r="AE326" s="53"/>
      <x:c r="AF326" s="53"/>
    </x:row>
    <x:row r="327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  <x:c r="AA327" s="53"/>
      <x:c r="AB327" s="53"/>
      <x:c r="AC327" s="53"/>
      <x:c r="AD327" s="53"/>
      <x:c r="AE327" s="53"/>
      <x:c r="AF327" s="53"/>
    </x:row>
    <x:row r="328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  <x:c r="AA328" s="53"/>
      <x:c r="AB328" s="53"/>
      <x:c r="AC328" s="53"/>
      <x:c r="AD328" s="53"/>
      <x:c r="AE328" s="53"/>
      <x:c r="AF328" s="53"/>
    </x:row>
    <x:row r="329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  <x:c r="AA329" s="53"/>
      <x:c r="AB329" s="53"/>
      <x:c r="AC329" s="53"/>
      <x:c r="AD329" s="53"/>
      <x:c r="AE329" s="53"/>
      <x:c r="AF329" s="53"/>
    </x:row>
    <x:row r="330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  <x:c r="AA330" s="53"/>
      <x:c r="AB330" s="53"/>
      <x:c r="AC330" s="53"/>
      <x:c r="AD330" s="53"/>
      <x:c r="AE330" s="53"/>
      <x:c r="AF330" s="53"/>
    </x:row>
    <x:row r="331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  <x:c r="AA331" s="53"/>
      <x:c r="AB331" s="53"/>
      <x:c r="AC331" s="53"/>
      <x:c r="AD331" s="53"/>
      <x:c r="AE331" s="53"/>
      <x:c r="AF331" s="53"/>
    </x:row>
    <x:row r="332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  <x:c r="AA332" s="53"/>
      <x:c r="AB332" s="53"/>
      <x:c r="AC332" s="53"/>
      <x:c r="AD332" s="53"/>
      <x:c r="AE332" s="53"/>
      <x:c r="AF332" s="53"/>
    </x:row>
    <x:row r="333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  <x:c r="AA333" s="53"/>
      <x:c r="AB333" s="53"/>
      <x:c r="AC333" s="53"/>
      <x:c r="AD333" s="53"/>
      <x:c r="AE333" s="53"/>
      <x:c r="AF333" s="53"/>
    </x:row>
    <x:row r="334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  <x:c r="AA334" s="53"/>
      <x:c r="AB334" s="53"/>
      <x:c r="AC334" s="53"/>
      <x:c r="AD334" s="53"/>
      <x:c r="AE334" s="53"/>
      <x:c r="AF334" s="53"/>
    </x:row>
    <x:row r="335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  <x:c r="AA335" s="53"/>
      <x:c r="AB335" s="53"/>
      <x:c r="AC335" s="53"/>
      <x:c r="AD335" s="53"/>
      <x:c r="AE335" s="53"/>
      <x:c r="AF335" s="53"/>
    </x:row>
    <x:row r="33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  <x:c r="AA336" s="53"/>
      <x:c r="AB336" s="53"/>
      <x:c r="AC336" s="53"/>
      <x:c r="AD336" s="53"/>
      <x:c r="AE336" s="53"/>
      <x:c r="AF336" s="53"/>
    </x:row>
    <x:row r="337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  <x:c r="AA337" s="53"/>
      <x:c r="AB337" s="53"/>
      <x:c r="AC337" s="53"/>
      <x:c r="AD337" s="53"/>
      <x:c r="AE337" s="53"/>
      <x:c r="AF337" s="53"/>
    </x:row>
    <x:row r="338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  <x:c r="AA338" s="53"/>
      <x:c r="AB338" s="53"/>
      <x:c r="AC338" s="53"/>
      <x:c r="AD338" s="53"/>
      <x:c r="AE338" s="53"/>
      <x:c r="AF338" s="53"/>
    </x:row>
    <x:row r="339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  <x:c r="AA339" s="53"/>
      <x:c r="AB339" s="53"/>
      <x:c r="AC339" s="53"/>
      <x:c r="AD339" s="53"/>
      <x:c r="AE339" s="53"/>
      <x:c r="AF339" s="53"/>
    </x:row>
    <x:row r="340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  <x:c r="AA340" s="53"/>
      <x:c r="AB340" s="53"/>
      <x:c r="AC340" s="53"/>
      <x:c r="AD340" s="53"/>
      <x:c r="AE340" s="53"/>
      <x:c r="AF340" s="53"/>
    </x:row>
    <x:row r="341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  <x:c r="AA341" s="53"/>
      <x:c r="AB341" s="53"/>
      <x:c r="AC341" s="53"/>
      <x:c r="AD341" s="53"/>
      <x:c r="AE341" s="53"/>
      <x:c r="AF341" s="53"/>
    </x:row>
    <x:row r="342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  <x:c r="AA342" s="53"/>
      <x:c r="AB342" s="53"/>
      <x:c r="AC342" s="53"/>
      <x:c r="AD342" s="53"/>
      <x:c r="AE342" s="53"/>
      <x:c r="AF342" s="53"/>
    </x:row>
    <x:row r="343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  <x:c r="AA343" s="53"/>
      <x:c r="AB343" s="53"/>
      <x:c r="AC343" s="53"/>
      <x:c r="AD343" s="53"/>
      <x:c r="AE343" s="53"/>
      <x:c r="AF343" s="53"/>
    </x:row>
    <x:row r="344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  <x:c r="AA344" s="53"/>
      <x:c r="AB344" s="53"/>
      <x:c r="AC344" s="53"/>
      <x:c r="AD344" s="53"/>
      <x:c r="AE344" s="53"/>
      <x:c r="AF344" s="53"/>
    </x:row>
    <x:row r="345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  <x:c r="AA345" s="53"/>
      <x:c r="AB345" s="53"/>
      <x:c r="AC345" s="53"/>
      <x:c r="AD345" s="53"/>
      <x:c r="AE345" s="53"/>
      <x:c r="AF345" s="53"/>
    </x:row>
    <x:row r="3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  <x:c r="AA346" s="53"/>
      <x:c r="AB346" s="53"/>
      <x:c r="AC346" s="53"/>
      <x:c r="AD346" s="53"/>
      <x:c r="AE346" s="53"/>
      <x:c r="AF346" s="53"/>
    </x:row>
    <x:row r="347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  <x:c r="AA347" s="53"/>
      <x:c r="AB347" s="53"/>
      <x:c r="AC347" s="53"/>
      <x:c r="AD347" s="53"/>
      <x:c r="AE347" s="53"/>
      <x:c r="AF347" s="53"/>
    </x:row>
    <x:row r="348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  <x:c r="AA348" s="53"/>
      <x:c r="AB348" s="53"/>
      <x:c r="AC348" s="53"/>
      <x:c r="AD348" s="53"/>
      <x:c r="AE348" s="53"/>
      <x:c r="AF348" s="53"/>
    </x:row>
    <x:row r="349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  <x:c r="AA349" s="53"/>
      <x:c r="AB349" s="53"/>
      <x:c r="AC349" s="53"/>
      <x:c r="AD349" s="53"/>
      <x:c r="AE349" s="53"/>
      <x:c r="AF349" s="53"/>
    </x:row>
    <x:row r="350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  <x:c r="AA350" s="53"/>
      <x:c r="AB350" s="53"/>
      <x:c r="AC350" s="53"/>
      <x:c r="AD350" s="53"/>
      <x:c r="AE350" s="53"/>
      <x:c r="AF350" s="53"/>
    </x:row>
    <x:row r="351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  <x:c r="AA351" s="53"/>
      <x:c r="AB351" s="53"/>
      <x:c r="AC351" s="53"/>
      <x:c r="AD351" s="53"/>
      <x:c r="AE351" s="53"/>
      <x:c r="AF351" s="53"/>
    </x:row>
    <x:row r="352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  <x:c r="AA352" s="53"/>
      <x:c r="AB352" s="53"/>
      <x:c r="AC352" s="53"/>
      <x:c r="AD352" s="53"/>
      <x:c r="AE352" s="53"/>
      <x:c r="AF352" s="53"/>
    </x:row>
    <x:row r="353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  <x:c r="AA353" s="53"/>
      <x:c r="AB353" s="53"/>
      <x:c r="AC353" s="53"/>
      <x:c r="AD353" s="53"/>
      <x:c r="AE353" s="53"/>
      <x:c r="AF353" s="53"/>
    </x:row>
    <x:row r="354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  <x:c r="AA354" s="53"/>
      <x:c r="AB354" s="53"/>
      <x:c r="AC354" s="53"/>
      <x:c r="AD354" s="53"/>
      <x:c r="AE354" s="53"/>
      <x:c r="AF354" s="53"/>
    </x:row>
    <x:row r="355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  <x:c r="AA355" s="53"/>
      <x:c r="AB355" s="53"/>
      <x:c r="AC355" s="53"/>
      <x:c r="AD355" s="53"/>
      <x:c r="AE355" s="53"/>
      <x:c r="AF355" s="53"/>
    </x:row>
    <x:row r="35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  <x:c r="AA356" s="53"/>
      <x:c r="AB356" s="53"/>
      <x:c r="AC356" s="53"/>
      <x:c r="AD356" s="53"/>
      <x:c r="AE356" s="53"/>
      <x:c r="AF356" s="53"/>
    </x:row>
    <x:row r="357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  <x:c r="AA357" s="53"/>
      <x:c r="AB357" s="53"/>
      <x:c r="AC357" s="53"/>
      <x:c r="AD357" s="53"/>
      <x:c r="AE357" s="53"/>
      <x:c r="AF357" s="53"/>
    </x:row>
    <x:row r="358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  <x:c r="AA358" s="53"/>
      <x:c r="AB358" s="53"/>
      <x:c r="AC358" s="53"/>
      <x:c r="AD358" s="53"/>
      <x:c r="AE358" s="53"/>
      <x:c r="AF358" s="53"/>
    </x:row>
    <x:row r="359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  <x:c r="AA359" s="53"/>
      <x:c r="AB359" s="53"/>
      <x:c r="AC359" s="53"/>
      <x:c r="AD359" s="53"/>
      <x:c r="AE359" s="53"/>
      <x:c r="AF359" s="53"/>
    </x:row>
    <x:row r="360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  <x:c r="AA360" s="53"/>
      <x:c r="AB360" s="53"/>
      <x:c r="AC360" s="53"/>
      <x:c r="AD360" s="53"/>
      <x:c r="AE360" s="53"/>
      <x:c r="AF360" s="53"/>
    </x:row>
    <x:row r="361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  <x:c r="AA361" s="53"/>
      <x:c r="AB361" s="53"/>
      <x:c r="AC361" s="53"/>
      <x:c r="AD361" s="53"/>
      <x:c r="AE361" s="53"/>
      <x:c r="AF361" s="53"/>
    </x:row>
    <x:row r="362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  <x:c r="AA362" s="53"/>
      <x:c r="AB362" s="53"/>
      <x:c r="AC362" s="53"/>
      <x:c r="AD362" s="53"/>
      <x:c r="AE362" s="53"/>
      <x:c r="AF362" s="53"/>
    </x:row>
    <x:row r="363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  <x:c r="AA363" s="53"/>
      <x:c r="AB363" s="53"/>
      <x:c r="AC363" s="53"/>
      <x:c r="AD363" s="53"/>
      <x:c r="AE363" s="53"/>
      <x:c r="AF363" s="53"/>
    </x:row>
    <x:row r="364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  <x:c r="AA364" s="53"/>
      <x:c r="AB364" s="53"/>
      <x:c r="AC364" s="53"/>
      <x:c r="AD364" s="53"/>
      <x:c r="AE364" s="53"/>
      <x:c r="AF364" s="53"/>
    </x:row>
    <x:row r="365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  <x:c r="AA365" s="53"/>
      <x:c r="AB365" s="53"/>
      <x:c r="AC365" s="53"/>
      <x:c r="AD365" s="53"/>
      <x:c r="AE365" s="53"/>
      <x:c r="AF365" s="53"/>
    </x:row>
    <x:row r="36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  <x:c r="AA366" s="53"/>
      <x:c r="AB366" s="53"/>
      <x:c r="AC366" s="53"/>
      <x:c r="AD366" s="53"/>
      <x:c r="AE366" s="53"/>
      <x:c r="AF366" s="53"/>
    </x:row>
    <x:row r="367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  <x:c r="AA367" s="53"/>
      <x:c r="AB367" s="53"/>
      <x:c r="AC367" s="53"/>
      <x:c r="AD367" s="53"/>
      <x:c r="AE367" s="53"/>
      <x:c r="AF367" s="53"/>
    </x:row>
    <x:row r="368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  <x:c r="AA368" s="53"/>
      <x:c r="AB368" s="53"/>
      <x:c r="AC368" s="53"/>
      <x:c r="AD368" s="53"/>
      <x:c r="AE368" s="53"/>
      <x:c r="AF368" s="53"/>
    </x:row>
    <x:row r="369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  <x:c r="AA369" s="53"/>
      <x:c r="AB369" s="53"/>
      <x:c r="AC369" s="53"/>
      <x:c r="AD369" s="53"/>
      <x:c r="AE369" s="53"/>
      <x:c r="AF369" s="53"/>
    </x:row>
    <x:row r="370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  <x:c r="AA370" s="53"/>
      <x:c r="AB370" s="53"/>
      <x:c r="AC370" s="53"/>
      <x:c r="AD370" s="53"/>
      <x:c r="AE370" s="53"/>
      <x:c r="AF370" s="53"/>
    </x:row>
    <x:row r="371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  <x:c r="AA371" s="53"/>
      <x:c r="AB371" s="53"/>
      <x:c r="AC371" s="53"/>
      <x:c r="AD371" s="53"/>
      <x:c r="AE371" s="53"/>
      <x:c r="AF371" s="53"/>
    </x:row>
    <x:row r="372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  <x:c r="AA372" s="53"/>
      <x:c r="AB372" s="53"/>
      <x:c r="AC372" s="53"/>
      <x:c r="AD372" s="53"/>
      <x:c r="AE372" s="53"/>
      <x:c r="AF372" s="53"/>
    </x:row>
    <x:row r="373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  <x:c r="AA373" s="53"/>
      <x:c r="AB373" s="53"/>
      <x:c r="AC373" s="53"/>
      <x:c r="AD373" s="53"/>
      <x:c r="AE373" s="53"/>
      <x:c r="AF373" s="53"/>
    </x:row>
    <x:row r="374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  <x:c r="AA374" s="53"/>
      <x:c r="AB374" s="53"/>
      <x:c r="AC374" s="53"/>
      <x:c r="AD374" s="53"/>
      <x:c r="AE374" s="53"/>
      <x:c r="AF374" s="53"/>
    </x:row>
    <x:row r="375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  <x:c r="AA375" s="53"/>
      <x:c r="AB375" s="53"/>
      <x:c r="AC375" s="53"/>
      <x:c r="AD375" s="53"/>
      <x:c r="AE375" s="53"/>
      <x:c r="AF375" s="53"/>
    </x:row>
    <x:row r="37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  <x:c r="AA376" s="53"/>
      <x:c r="AB376" s="53"/>
      <x:c r="AC376" s="53"/>
      <x:c r="AD376" s="53"/>
      <x:c r="AE376" s="53"/>
      <x:c r="AF376" s="53"/>
    </x:row>
    <x:row r="377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  <x:c r="AA377" s="53"/>
      <x:c r="AB377" s="53"/>
      <x:c r="AC377" s="53"/>
      <x:c r="AD377" s="53"/>
      <x:c r="AE377" s="53"/>
      <x:c r="AF377" s="53"/>
    </x:row>
    <x:row r="378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  <x:c r="AA378" s="53"/>
      <x:c r="AB378" s="53"/>
      <x:c r="AC378" s="53"/>
      <x:c r="AD378" s="53"/>
      <x:c r="AE378" s="53"/>
      <x:c r="AF378" s="53"/>
    </x:row>
    <x:row r="379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  <x:c r="AA379" s="53"/>
      <x:c r="AB379" s="53"/>
      <x:c r="AC379" s="53"/>
      <x:c r="AD379" s="53"/>
      <x:c r="AE379" s="53"/>
      <x:c r="AF379" s="53"/>
    </x:row>
    <x:row r="380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  <x:c r="AA380" s="53"/>
      <x:c r="AB380" s="53"/>
      <x:c r="AC380" s="53"/>
      <x:c r="AD380" s="53"/>
      <x:c r="AE380" s="53"/>
      <x:c r="AF380" s="53"/>
    </x:row>
    <x:row r="381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  <x:c r="AA381" s="53"/>
      <x:c r="AB381" s="53"/>
      <x:c r="AC381" s="53"/>
      <x:c r="AD381" s="53"/>
      <x:c r="AE381" s="53"/>
      <x:c r="AF381" s="53"/>
    </x:row>
    <x:row r="382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  <x:c r="AA382" s="53"/>
      <x:c r="AB382" s="53"/>
      <x:c r="AC382" s="53"/>
      <x:c r="AD382" s="53"/>
      <x:c r="AE382" s="53"/>
      <x:c r="AF382" s="53"/>
    </x:row>
    <x:row r="383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  <x:c r="AA383" s="53"/>
      <x:c r="AB383" s="53"/>
      <x:c r="AC383" s="53"/>
      <x:c r="AD383" s="53"/>
      <x:c r="AE383" s="53"/>
      <x:c r="AF383" s="53"/>
    </x:row>
    <x:row r="384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  <x:c r="AA384" s="53"/>
      <x:c r="AB384" s="53"/>
      <x:c r="AC384" s="53"/>
      <x:c r="AD384" s="53"/>
      <x:c r="AE384" s="53"/>
      <x:c r="AF384" s="53"/>
    </x:row>
    <x:row r="385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  <x:c r="AA385" s="53"/>
      <x:c r="AB385" s="53"/>
      <x:c r="AC385" s="53"/>
      <x:c r="AD385" s="53"/>
      <x:c r="AE385" s="53"/>
      <x:c r="AF385" s="53"/>
    </x:row>
    <x:row r="38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  <x:c r="AA386" s="53"/>
      <x:c r="AB386" s="53"/>
      <x:c r="AC386" s="53"/>
      <x:c r="AD386" s="53"/>
      <x:c r="AE386" s="53"/>
      <x:c r="AF386" s="53"/>
    </x:row>
    <x:row r="387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  <x:c r="AA387" s="53"/>
      <x:c r="AB387" s="53"/>
      <x:c r="AC387" s="53"/>
      <x:c r="AD387" s="53"/>
      <x:c r="AE387" s="53"/>
      <x:c r="AF387" s="53"/>
    </x:row>
    <x:row r="388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  <x:c r="AA388" s="53"/>
      <x:c r="AB388" s="53"/>
      <x:c r="AC388" s="53"/>
      <x:c r="AD388" s="53"/>
      <x:c r="AE388" s="53"/>
      <x:c r="AF388" s="53"/>
    </x:row>
    <x:row r="389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  <x:c r="AA389" s="53"/>
      <x:c r="AB389" s="53"/>
      <x:c r="AC389" s="53"/>
      <x:c r="AD389" s="53"/>
      <x:c r="AE389" s="53"/>
      <x:c r="AF389" s="53"/>
    </x:row>
    <x:row r="390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  <x:c r="AA390" s="53"/>
      <x:c r="AB390" s="53"/>
      <x:c r="AC390" s="53"/>
      <x:c r="AD390" s="53"/>
      <x:c r="AE390" s="53"/>
      <x:c r="AF390" s="53"/>
    </x:row>
    <x:row r="391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  <x:c r="AA391" s="53"/>
      <x:c r="AB391" s="53"/>
      <x:c r="AC391" s="53"/>
      <x:c r="AD391" s="53"/>
      <x:c r="AE391" s="53"/>
      <x:c r="AF391" s="53"/>
    </x:row>
    <x:row r="392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  <x:c r="AA392" s="53"/>
      <x:c r="AB392" s="53"/>
      <x:c r="AC392" s="53"/>
      <x:c r="AD392" s="53"/>
      <x:c r="AE392" s="53"/>
      <x:c r="AF392" s="53"/>
    </x:row>
    <x:row r="393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  <x:c r="AA393" s="53"/>
      <x:c r="AB393" s="53"/>
      <x:c r="AC393" s="53"/>
      <x:c r="AD393" s="53"/>
      <x:c r="AE393" s="53"/>
      <x:c r="AF393" s="53"/>
    </x:row>
    <x:row r="394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  <x:c r="AA394" s="53"/>
      <x:c r="AB394" s="53"/>
      <x:c r="AC394" s="53"/>
      <x:c r="AD394" s="53"/>
      <x:c r="AE394" s="53"/>
      <x:c r="AF394" s="53"/>
    </x:row>
    <x:row r="395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  <x:c r="AA395" s="53"/>
      <x:c r="AB395" s="53"/>
      <x:c r="AC395" s="53"/>
      <x:c r="AD395" s="53"/>
      <x:c r="AE395" s="53"/>
      <x:c r="AF395" s="53"/>
    </x:row>
    <x:row r="39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  <x:c r="AA396" s="53"/>
      <x:c r="AB396" s="53"/>
      <x:c r="AC396" s="53"/>
      <x:c r="AD396" s="53"/>
      <x:c r="AE396" s="53"/>
      <x:c r="AF396" s="53"/>
    </x:row>
    <x:row r="397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  <x:c r="AA397" s="53"/>
      <x:c r="AB397" s="53"/>
      <x:c r="AC397" s="53"/>
      <x:c r="AD397" s="53"/>
      <x:c r="AE397" s="53"/>
      <x:c r="AF397" s="53"/>
    </x:row>
    <x:row r="398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  <x:c r="AA398" s="53"/>
      <x:c r="AB398" s="53"/>
      <x:c r="AC398" s="53"/>
      <x:c r="AD398" s="53"/>
      <x:c r="AE398" s="53"/>
      <x:c r="AF398" s="53"/>
    </x:row>
    <x:row r="399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  <x:c r="AA399" s="53"/>
      <x:c r="AB399" s="53"/>
      <x:c r="AC399" s="53"/>
      <x:c r="AD399" s="53"/>
      <x:c r="AE399" s="53"/>
      <x:c r="AF399" s="53"/>
    </x:row>
    <x:row r="400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  <x:c r="AA400" s="53"/>
      <x:c r="AB400" s="53"/>
      <x:c r="AC400" s="53"/>
      <x:c r="AD400" s="53"/>
      <x:c r="AE400" s="53"/>
      <x:c r="AF400" s="53"/>
    </x:row>
    <x:row r="401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  <x:c r="AA401" s="53"/>
      <x:c r="AB401" s="53"/>
      <x:c r="AC401" s="53"/>
      <x:c r="AD401" s="53"/>
      <x:c r="AE401" s="53"/>
      <x:c r="AF401" s="53"/>
    </x:row>
    <x:row r="402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  <x:c r="AA402" s="53"/>
      <x:c r="AB402" s="53"/>
      <x:c r="AC402" s="53"/>
      <x:c r="AD402" s="53"/>
      <x:c r="AE402" s="53"/>
      <x:c r="AF402" s="53"/>
    </x:row>
    <x:row r="403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  <x:c r="AA403" s="53"/>
      <x:c r="AB403" s="53"/>
      <x:c r="AC403" s="53"/>
      <x:c r="AD403" s="53"/>
      <x:c r="AE403" s="53"/>
      <x:c r="AF403" s="53"/>
    </x:row>
    <x:row r="404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  <x:c r="AA404" s="53"/>
      <x:c r="AB404" s="53"/>
      <x:c r="AC404" s="53"/>
      <x:c r="AD404" s="53"/>
      <x:c r="AE404" s="53"/>
      <x:c r="AF404" s="53"/>
    </x:row>
    <x:row r="405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  <x:c r="AA405" s="53"/>
      <x:c r="AB405" s="53"/>
      <x:c r="AC405" s="53"/>
      <x:c r="AD405" s="53"/>
      <x:c r="AE405" s="53"/>
      <x:c r="AF405" s="53"/>
    </x:row>
    <x:row r="40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  <x:c r="AA406" s="53"/>
      <x:c r="AB406" s="53"/>
      <x:c r="AC406" s="53"/>
      <x:c r="AD406" s="53"/>
      <x:c r="AE406" s="53"/>
      <x:c r="AF406" s="53"/>
    </x:row>
    <x:row r="407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  <x:c r="AA407" s="53"/>
      <x:c r="AB407" s="53"/>
      <x:c r="AC407" s="53"/>
      <x:c r="AD407" s="53"/>
      <x:c r="AE407" s="53"/>
      <x:c r="AF407" s="53"/>
    </x:row>
    <x:row r="408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  <x:c r="AA408" s="53"/>
      <x:c r="AB408" s="53"/>
      <x:c r="AC408" s="53"/>
      <x:c r="AD408" s="53"/>
      <x:c r="AE408" s="53"/>
      <x:c r="AF408" s="53"/>
    </x:row>
    <x:row r="409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  <x:c r="AA409" s="53"/>
      <x:c r="AB409" s="53"/>
      <x:c r="AC409" s="53"/>
      <x:c r="AD409" s="53"/>
      <x:c r="AE409" s="53"/>
      <x:c r="AF409" s="53"/>
    </x:row>
    <x:row r="410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  <x:c r="AA410" s="53"/>
      <x:c r="AB410" s="53"/>
      <x:c r="AC410" s="53"/>
      <x:c r="AD410" s="53"/>
      <x:c r="AE410" s="53"/>
      <x:c r="AF410" s="53"/>
    </x:row>
    <x:row r="411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  <x:c r="AA411" s="53"/>
      <x:c r="AB411" s="53"/>
      <x:c r="AC411" s="53"/>
      <x:c r="AD411" s="53"/>
      <x:c r="AE411" s="53"/>
      <x:c r="AF411" s="53"/>
    </x:row>
    <x:row r="412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  <x:c r="AA412" s="53"/>
      <x:c r="AB412" s="53"/>
      <x:c r="AC412" s="53"/>
      <x:c r="AD412" s="53"/>
      <x:c r="AE412" s="53"/>
      <x:c r="AF412" s="53"/>
    </x:row>
    <x:row r="413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  <x:c r="AA413" s="53"/>
      <x:c r="AB413" s="53"/>
      <x:c r="AC413" s="53"/>
      <x:c r="AD413" s="53"/>
      <x:c r="AE413" s="53"/>
      <x:c r="AF413" s="53"/>
    </x:row>
    <x:row r="414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  <x:c r="AA414" s="53"/>
      <x:c r="AB414" s="53"/>
      <x:c r="AC414" s="53"/>
      <x:c r="AD414" s="53"/>
      <x:c r="AE414" s="53"/>
      <x:c r="AF414" s="53"/>
    </x:row>
    <x:row r="415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  <x:c r="AA415" s="53"/>
      <x:c r="AB415" s="53"/>
      <x:c r="AC415" s="53"/>
      <x:c r="AD415" s="53"/>
      <x:c r="AE415" s="53"/>
      <x:c r="AF415" s="53"/>
    </x:row>
    <x:row r="41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  <x:c r="AA416" s="53"/>
      <x:c r="AB416" s="53"/>
      <x:c r="AC416" s="53"/>
      <x:c r="AD416" s="53"/>
      <x:c r="AE416" s="53"/>
      <x:c r="AF416" s="53"/>
    </x:row>
    <x:row r="417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  <x:c r="AA417" s="53"/>
      <x:c r="AB417" s="53"/>
      <x:c r="AC417" s="53"/>
      <x:c r="AD417" s="53"/>
      <x:c r="AE417" s="53"/>
      <x:c r="AF417" s="53"/>
    </x:row>
    <x:row r="418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  <x:c r="AA418" s="53"/>
      <x:c r="AB418" s="53"/>
      <x:c r="AC418" s="53"/>
      <x:c r="AD418" s="53"/>
      <x:c r="AE418" s="53"/>
      <x:c r="AF418" s="53"/>
    </x:row>
    <x:row r="419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  <x:c r="AA419" s="53"/>
      <x:c r="AB419" s="53"/>
      <x:c r="AC419" s="53"/>
      <x:c r="AD419" s="53"/>
      <x:c r="AE419" s="53"/>
      <x:c r="AF419" s="53"/>
    </x:row>
    <x:row r="420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  <x:c r="AA420" s="53"/>
      <x:c r="AB420" s="53"/>
      <x:c r="AC420" s="53"/>
      <x:c r="AD420" s="53"/>
      <x:c r="AE420" s="53"/>
      <x:c r="AF420" s="53"/>
    </x:row>
    <x:row r="421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  <x:c r="AA421" s="53"/>
      <x:c r="AB421" s="53"/>
      <x:c r="AC421" s="53"/>
      <x:c r="AD421" s="53"/>
      <x:c r="AE421" s="53"/>
      <x:c r="AF421" s="53"/>
    </x:row>
    <x:row r="422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  <x:c r="AA422" s="53"/>
      <x:c r="AB422" s="53"/>
      <x:c r="AC422" s="53"/>
      <x:c r="AD422" s="53"/>
      <x:c r="AE422" s="53"/>
      <x:c r="AF422" s="53"/>
    </x:row>
    <x:row r="423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  <x:c r="AA423" s="53"/>
      <x:c r="AB423" s="53"/>
      <x:c r="AC423" s="53"/>
      <x:c r="AD423" s="53"/>
      <x:c r="AE423" s="53"/>
      <x:c r="AF423" s="53"/>
    </x:row>
    <x:row r="424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  <x:c r="AA424" s="53"/>
      <x:c r="AB424" s="53"/>
      <x:c r="AC424" s="53"/>
      <x:c r="AD424" s="53"/>
      <x:c r="AE424" s="53"/>
      <x:c r="AF424" s="53"/>
    </x:row>
    <x:row r="425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  <x:c r="AA425" s="53"/>
      <x:c r="AB425" s="53"/>
      <x:c r="AC425" s="53"/>
      <x:c r="AD425" s="53"/>
      <x:c r="AE425" s="53"/>
      <x:c r="AF425" s="53"/>
    </x:row>
    <x:row r="42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  <x:c r="AA426" s="53"/>
      <x:c r="AB426" s="53"/>
      <x:c r="AC426" s="53"/>
      <x:c r="AD426" s="53"/>
      <x:c r="AE426" s="53"/>
      <x:c r="AF426" s="53"/>
    </x:row>
    <x:row r="427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  <x:c r="AA427" s="53"/>
      <x:c r="AB427" s="53"/>
      <x:c r="AC427" s="53"/>
      <x:c r="AD427" s="53"/>
      <x:c r="AE427" s="53"/>
      <x:c r="AF427" s="53"/>
    </x:row>
    <x:row r="428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  <x:c r="AA428" s="53"/>
      <x:c r="AB428" s="53"/>
      <x:c r="AC428" s="53"/>
      <x:c r="AD428" s="53"/>
      <x:c r="AE428" s="53"/>
      <x:c r="AF428" s="53"/>
    </x:row>
    <x:row r="429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  <x:c r="AA429" s="53"/>
      <x:c r="AB429" s="53"/>
      <x:c r="AC429" s="53"/>
      <x:c r="AD429" s="53"/>
      <x:c r="AE429" s="53"/>
      <x:c r="AF429" s="53"/>
    </x:row>
    <x:row r="430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  <x:c r="AA430" s="53"/>
      <x:c r="AB430" s="53"/>
      <x:c r="AC430" s="53"/>
      <x:c r="AD430" s="53"/>
      <x:c r="AE430" s="53"/>
      <x:c r="AF430" s="53"/>
    </x:row>
    <x:row r="431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  <x:c r="AA431" s="53"/>
      <x:c r="AB431" s="53"/>
      <x:c r="AC431" s="53"/>
      <x:c r="AD431" s="53"/>
      <x:c r="AE431" s="53"/>
      <x:c r="AF431" s="53"/>
    </x:row>
    <x:row r="432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  <x:c r="AA432" s="53"/>
      <x:c r="AB432" s="53"/>
      <x:c r="AC432" s="53"/>
      <x:c r="AD432" s="53"/>
      <x:c r="AE432" s="53"/>
      <x:c r="AF432" s="53"/>
    </x:row>
    <x:row r="433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  <x:c r="AA433" s="53"/>
      <x:c r="AB433" s="53"/>
      <x:c r="AC433" s="53"/>
      <x:c r="AD433" s="53"/>
      <x:c r="AE433" s="53"/>
      <x:c r="AF433" s="53"/>
    </x:row>
    <x:row r="434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  <x:c r="AA434" s="53"/>
      <x:c r="AB434" s="53"/>
      <x:c r="AC434" s="53"/>
      <x:c r="AD434" s="53"/>
      <x:c r="AE434" s="53"/>
      <x:c r="AF434" s="53"/>
    </x:row>
    <x:row r="435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  <x:c r="AA435" s="53"/>
      <x:c r="AB435" s="53"/>
      <x:c r="AC435" s="53"/>
      <x:c r="AD435" s="53"/>
      <x:c r="AE435" s="53"/>
      <x:c r="AF435" s="53"/>
    </x:row>
    <x:row r="43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  <x:c r="AA436" s="53"/>
      <x:c r="AB436" s="53"/>
      <x:c r="AC436" s="53"/>
      <x:c r="AD436" s="53"/>
      <x:c r="AE436" s="53"/>
      <x:c r="AF436" s="53"/>
    </x:row>
    <x:row r="437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  <x:c r="AA437" s="53"/>
      <x:c r="AB437" s="53"/>
      <x:c r="AC437" s="53"/>
      <x:c r="AD437" s="53"/>
      <x:c r="AE437" s="53"/>
      <x:c r="AF437" s="53"/>
    </x:row>
    <x:row r="438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  <x:c r="AA438" s="53"/>
      <x:c r="AB438" s="53"/>
      <x:c r="AC438" s="53"/>
      <x:c r="AD438" s="53"/>
      <x:c r="AE438" s="53"/>
      <x:c r="AF438" s="53"/>
    </x:row>
    <x:row r="439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  <x:c r="AA439" s="53"/>
      <x:c r="AB439" s="53"/>
      <x:c r="AC439" s="53"/>
      <x:c r="AD439" s="53"/>
      <x:c r="AE439" s="53"/>
      <x:c r="AF439" s="53"/>
    </x:row>
    <x:row r="440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  <x:c r="AA440" s="53"/>
      <x:c r="AB440" s="53"/>
      <x:c r="AC440" s="53"/>
      <x:c r="AD440" s="53"/>
      <x:c r="AE440" s="53"/>
      <x:c r="AF440" s="53"/>
    </x:row>
    <x:row r="441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  <x:c r="AA441" s="53"/>
      <x:c r="AB441" s="53"/>
      <x:c r="AC441" s="53"/>
      <x:c r="AD441" s="53"/>
      <x:c r="AE441" s="53"/>
      <x:c r="AF441" s="53"/>
    </x:row>
    <x:row r="442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  <x:c r="AA442" s="53"/>
      <x:c r="AB442" s="53"/>
      <x:c r="AC442" s="53"/>
      <x:c r="AD442" s="53"/>
      <x:c r="AE442" s="53"/>
      <x:c r="AF442" s="53"/>
    </x:row>
    <x:row r="443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  <x:c r="AA443" s="53"/>
      <x:c r="AB443" s="53"/>
      <x:c r="AC443" s="53"/>
      <x:c r="AD443" s="53"/>
      <x:c r="AE443" s="53"/>
      <x:c r="AF443" s="53"/>
    </x:row>
    <x:row r="444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  <x:c r="AA444" s="53"/>
      <x:c r="AB444" s="53"/>
      <x:c r="AC444" s="53"/>
      <x:c r="AD444" s="53"/>
      <x:c r="AE444" s="53"/>
      <x:c r="AF444" s="53"/>
    </x:row>
    <x:row r="445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  <x:c r="AA445" s="53"/>
      <x:c r="AB445" s="53"/>
      <x:c r="AC445" s="53"/>
      <x:c r="AD445" s="53"/>
      <x:c r="AE445" s="53"/>
      <x:c r="AF445" s="53"/>
    </x:row>
    <x:row r="4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  <x:c r="AA446" s="53"/>
      <x:c r="AB446" s="53"/>
      <x:c r="AC446" s="53"/>
      <x:c r="AD446" s="53"/>
      <x:c r="AE446" s="53"/>
      <x:c r="AF446" s="53"/>
    </x:row>
    <x:row r="447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  <x:c r="AA447" s="53"/>
      <x:c r="AB447" s="53"/>
      <x:c r="AC447" s="53"/>
      <x:c r="AD447" s="53"/>
      <x:c r="AE447" s="53"/>
      <x:c r="AF447" s="53"/>
    </x:row>
    <x:row r="448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  <x:c r="AA448" s="53"/>
      <x:c r="AB448" s="53"/>
      <x:c r="AC448" s="53"/>
      <x:c r="AD448" s="53"/>
      <x:c r="AE448" s="53"/>
      <x:c r="AF448" s="53"/>
    </x:row>
    <x:row r="449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  <x:c r="AA449" s="53"/>
      <x:c r="AB449" s="53"/>
      <x:c r="AC449" s="53"/>
      <x:c r="AD449" s="53"/>
      <x:c r="AE449" s="53"/>
      <x:c r="AF449" s="53"/>
    </x:row>
    <x:row r="450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  <x:c r="AA450" s="53"/>
      <x:c r="AB450" s="53"/>
      <x:c r="AC450" s="53"/>
      <x:c r="AD450" s="53"/>
      <x:c r="AE450" s="53"/>
      <x:c r="AF450" s="53"/>
    </x:row>
    <x:row r="451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  <x:c r="AA451" s="53"/>
      <x:c r="AB451" s="53"/>
      <x:c r="AC451" s="53"/>
      <x:c r="AD451" s="53"/>
      <x:c r="AE451" s="53"/>
      <x:c r="AF451" s="53"/>
    </x:row>
    <x:row r="452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  <x:c r="AA452" s="53"/>
      <x:c r="AB452" s="53"/>
      <x:c r="AC452" s="53"/>
      <x:c r="AD452" s="53"/>
      <x:c r="AE452" s="53"/>
      <x:c r="AF452" s="53"/>
    </x:row>
    <x:row r="453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  <x:c r="AA453" s="53"/>
      <x:c r="AB453" s="53"/>
      <x:c r="AC453" s="53"/>
      <x:c r="AD453" s="53"/>
      <x:c r="AE453" s="53"/>
      <x:c r="AF453" s="53"/>
    </x:row>
    <x:row r="454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  <x:c r="AA454" s="53"/>
      <x:c r="AB454" s="53"/>
      <x:c r="AC454" s="53"/>
      <x:c r="AD454" s="53"/>
      <x:c r="AE454" s="53"/>
      <x:c r="AF454" s="53"/>
    </x:row>
    <x:row r="455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  <x:c r="AA455" s="53"/>
      <x:c r="AB455" s="53"/>
      <x:c r="AC455" s="53"/>
      <x:c r="AD455" s="53"/>
      <x:c r="AE455" s="53"/>
      <x:c r="AF455" s="53"/>
    </x:row>
    <x:row r="45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  <x:c r="AA456" s="53"/>
      <x:c r="AB456" s="53"/>
      <x:c r="AC456" s="53"/>
      <x:c r="AD456" s="53"/>
      <x:c r="AE456" s="53"/>
      <x:c r="AF456" s="53"/>
    </x:row>
    <x:row r="457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  <x:c r="AA457" s="53"/>
      <x:c r="AB457" s="53"/>
      <x:c r="AC457" s="53"/>
      <x:c r="AD457" s="53"/>
      <x:c r="AE457" s="53"/>
      <x:c r="AF457" s="53"/>
    </x:row>
    <x:row r="458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  <x:c r="AA458" s="53"/>
      <x:c r="AB458" s="53"/>
      <x:c r="AC458" s="53"/>
      <x:c r="AD458" s="53"/>
      <x:c r="AE458" s="53"/>
      <x:c r="AF458" s="53"/>
    </x:row>
    <x:row r="459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  <x:c r="AA459" s="53"/>
      <x:c r="AB459" s="53"/>
      <x:c r="AC459" s="53"/>
      <x:c r="AD459" s="53"/>
      <x:c r="AE459" s="53"/>
      <x:c r="AF459" s="53"/>
    </x:row>
    <x:row r="460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  <x:c r="AA460" s="53"/>
      <x:c r="AB460" s="53"/>
      <x:c r="AC460" s="53"/>
      <x:c r="AD460" s="53"/>
      <x:c r="AE460" s="53"/>
      <x:c r="AF460" s="53"/>
    </x:row>
    <x:row r="461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  <x:c r="AA461" s="53"/>
      <x:c r="AB461" s="53"/>
      <x:c r="AC461" s="53"/>
      <x:c r="AD461" s="53"/>
      <x:c r="AE461" s="53"/>
      <x:c r="AF461" s="53"/>
    </x:row>
    <x:row r="462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  <x:c r="AA462" s="53"/>
      <x:c r="AB462" s="53"/>
      <x:c r="AC462" s="53"/>
      <x:c r="AD462" s="53"/>
      <x:c r="AE462" s="53"/>
      <x:c r="AF462" s="53"/>
    </x:row>
    <x:row r="463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  <x:c r="AA463" s="53"/>
      <x:c r="AB463" s="53"/>
      <x:c r="AC463" s="53"/>
      <x:c r="AD463" s="53"/>
      <x:c r="AE463" s="53"/>
      <x:c r="AF463" s="53"/>
    </x:row>
    <x:row r="464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  <x:c r="AA464" s="53"/>
      <x:c r="AB464" s="53"/>
      <x:c r="AC464" s="53"/>
      <x:c r="AD464" s="53"/>
      <x:c r="AE464" s="53"/>
      <x:c r="AF464" s="53"/>
    </x:row>
    <x:row r="465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  <x:c r="AA465" s="53"/>
      <x:c r="AB465" s="53"/>
      <x:c r="AC465" s="53"/>
      <x:c r="AD465" s="53"/>
      <x:c r="AE465" s="53"/>
      <x:c r="AF465" s="53"/>
    </x:row>
    <x:row r="46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  <x:c r="AA466" s="53"/>
      <x:c r="AB466" s="53"/>
      <x:c r="AC466" s="53"/>
      <x:c r="AD466" s="53"/>
      <x:c r="AE466" s="53"/>
      <x:c r="AF466" s="53"/>
    </x:row>
    <x:row r="467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  <x:c r="AA467" s="53"/>
      <x:c r="AB467" s="53"/>
      <x:c r="AC467" s="53"/>
      <x:c r="AD467" s="53"/>
      <x:c r="AE467" s="53"/>
      <x:c r="AF467" s="53"/>
    </x:row>
    <x:row r="468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  <x:c r="AA468" s="53"/>
      <x:c r="AB468" s="53"/>
      <x:c r="AC468" s="53"/>
      <x:c r="AD468" s="53"/>
      <x:c r="AE468" s="53"/>
      <x:c r="AF468" s="53"/>
    </x:row>
    <x:row r="469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  <x:c r="AA469" s="53"/>
      <x:c r="AB469" s="53"/>
      <x:c r="AC469" s="53"/>
      <x:c r="AD469" s="53"/>
      <x:c r="AE469" s="53"/>
      <x:c r="AF469" s="53"/>
    </x:row>
    <x:row r="470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  <x:c r="AA470" s="53"/>
      <x:c r="AB470" s="53"/>
      <x:c r="AC470" s="53"/>
      <x:c r="AD470" s="53"/>
      <x:c r="AE470" s="53"/>
      <x:c r="AF470" s="53"/>
    </x:row>
    <x:row r="471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  <x:c r="AA471" s="53"/>
      <x:c r="AB471" s="53"/>
      <x:c r="AC471" s="53"/>
      <x:c r="AD471" s="53"/>
      <x:c r="AE471" s="53"/>
      <x:c r="AF471" s="53"/>
    </x:row>
    <x:row r="472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  <x:c r="AA472" s="53"/>
      <x:c r="AB472" s="53"/>
      <x:c r="AC472" s="53"/>
      <x:c r="AD472" s="53"/>
      <x:c r="AE472" s="53"/>
      <x:c r="AF472" s="53"/>
    </x:row>
    <x:row r="473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  <x:c r="AA473" s="53"/>
      <x:c r="AB473" s="53"/>
      <x:c r="AC473" s="53"/>
      <x:c r="AD473" s="53"/>
      <x:c r="AE473" s="53"/>
      <x:c r="AF473" s="53"/>
    </x:row>
    <x:row r="474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  <x:c r="AA474" s="53"/>
      <x:c r="AB474" s="53"/>
      <x:c r="AC474" s="53"/>
      <x:c r="AD474" s="53"/>
      <x:c r="AE474" s="53"/>
      <x:c r="AF474" s="53"/>
    </x:row>
    <x:row r="475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  <x:c r="AA475" s="53"/>
      <x:c r="AB475" s="53"/>
      <x:c r="AC475" s="53"/>
      <x:c r="AD475" s="53"/>
      <x:c r="AE475" s="53"/>
      <x:c r="AF475" s="53"/>
    </x:row>
    <x:row r="47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  <x:c r="AA476" s="53"/>
      <x:c r="AB476" s="53"/>
      <x:c r="AC476" s="53"/>
      <x:c r="AD476" s="53"/>
      <x:c r="AE476" s="53"/>
      <x:c r="AF476" s="53"/>
    </x:row>
    <x:row r="477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  <x:c r="AA477" s="53"/>
      <x:c r="AB477" s="53"/>
      <x:c r="AC477" s="53"/>
      <x:c r="AD477" s="53"/>
      <x:c r="AE477" s="53"/>
      <x:c r="AF477" s="53"/>
    </x:row>
    <x:row r="478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  <x:c r="AA478" s="53"/>
      <x:c r="AB478" s="53"/>
      <x:c r="AC478" s="53"/>
      <x:c r="AD478" s="53"/>
      <x:c r="AE478" s="53"/>
      <x:c r="AF478" s="53"/>
    </x:row>
    <x:row r="479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  <x:c r="AA479" s="53"/>
      <x:c r="AB479" s="53"/>
      <x:c r="AC479" s="53"/>
      <x:c r="AD479" s="53"/>
      <x:c r="AE479" s="53"/>
      <x:c r="AF479" s="53"/>
    </x:row>
    <x:row r="480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  <x:c r="AA480" s="53"/>
      <x:c r="AB480" s="53"/>
      <x:c r="AC480" s="53"/>
      <x:c r="AD480" s="53"/>
      <x:c r="AE480" s="53"/>
      <x:c r="AF480" s="53"/>
    </x:row>
    <x:row r="481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  <x:c r="AA481" s="53"/>
      <x:c r="AB481" s="53"/>
      <x:c r="AC481" s="53"/>
      <x:c r="AD481" s="53"/>
      <x:c r="AE481" s="53"/>
      <x:c r="AF481" s="53"/>
    </x:row>
    <x:row r="482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  <x:c r="AA482" s="53"/>
      <x:c r="AB482" s="53"/>
      <x:c r="AC482" s="53"/>
      <x:c r="AD482" s="53"/>
      <x:c r="AE482" s="53"/>
      <x:c r="AF482" s="53"/>
    </x:row>
    <x:row r="483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  <x:c r="AA483" s="53"/>
      <x:c r="AB483" s="53"/>
      <x:c r="AC483" s="53"/>
      <x:c r="AD483" s="53"/>
      <x:c r="AE483" s="53"/>
      <x:c r="AF483" s="53"/>
    </x:row>
    <x:row r="484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  <x:c r="AA484" s="53"/>
      <x:c r="AB484" s="53"/>
      <x:c r="AC484" s="53"/>
      <x:c r="AD484" s="53"/>
      <x:c r="AE484" s="53"/>
      <x:c r="AF484" s="53"/>
    </x:row>
    <x:row r="485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  <x:c r="AA485" s="53"/>
      <x:c r="AB485" s="53"/>
      <x:c r="AC485" s="53"/>
      <x:c r="AD485" s="53"/>
      <x:c r="AE485" s="53"/>
      <x:c r="AF485" s="53"/>
    </x:row>
    <x:row r="48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  <x:c r="AA486" s="53"/>
      <x:c r="AB486" s="53"/>
      <x:c r="AC486" s="53"/>
      <x:c r="AD486" s="53"/>
      <x:c r="AE486" s="53"/>
      <x:c r="AF486" s="53"/>
    </x:row>
    <x:row r="487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  <x:c r="AA487" s="53"/>
      <x:c r="AB487" s="53"/>
      <x:c r="AC487" s="53"/>
      <x:c r="AD487" s="53"/>
      <x:c r="AE487" s="53"/>
      <x:c r="AF487" s="53"/>
    </x:row>
    <x:row r="488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  <x:c r="AA488" s="53"/>
      <x:c r="AB488" s="53"/>
      <x:c r="AC488" s="53"/>
      <x:c r="AD488" s="53"/>
      <x:c r="AE488" s="53"/>
      <x:c r="AF488" s="53"/>
    </x:row>
    <x:row r="489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  <x:c r="AA489" s="53"/>
      <x:c r="AB489" s="53"/>
      <x:c r="AC489" s="53"/>
      <x:c r="AD489" s="53"/>
      <x:c r="AE489" s="53"/>
      <x:c r="AF489" s="53"/>
    </x:row>
    <x:row r="490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  <x:c r="AA490" s="53"/>
      <x:c r="AB490" s="53"/>
      <x:c r="AC490" s="53"/>
      <x:c r="AD490" s="53"/>
      <x:c r="AE490" s="53"/>
      <x:c r="AF490" s="53"/>
    </x:row>
    <x:row r="491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  <x:c r="AA491" s="53"/>
      <x:c r="AB491" s="53"/>
      <x:c r="AC491" s="53"/>
      <x:c r="AD491" s="53"/>
      <x:c r="AE491" s="53"/>
      <x:c r="AF491" s="53"/>
    </x:row>
    <x:row r="492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  <x:c r="AA492" s="53"/>
      <x:c r="AB492" s="53"/>
      <x:c r="AC492" s="53"/>
      <x:c r="AD492" s="53"/>
      <x:c r="AE492" s="53"/>
      <x:c r="AF492" s="53"/>
    </x:row>
    <x:row r="493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  <x:c r="AA493" s="53"/>
      <x:c r="AB493" s="53"/>
      <x:c r="AC493" s="53"/>
      <x:c r="AD493" s="53"/>
      <x:c r="AE493" s="53"/>
      <x:c r="AF493" s="53"/>
    </x:row>
    <x:row r="494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  <x:c r="AA494" s="53"/>
      <x:c r="AB494" s="53"/>
      <x:c r="AC494" s="53"/>
      <x:c r="AD494" s="53"/>
      <x:c r="AE494" s="53"/>
      <x:c r="AF494" s="53"/>
    </x:row>
    <x:row r="495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  <x:c r="AA495" s="53"/>
      <x:c r="AB495" s="53"/>
      <x:c r="AC495" s="53"/>
      <x:c r="AD495" s="53"/>
      <x:c r="AE495" s="53"/>
      <x:c r="AF495" s="53"/>
    </x:row>
    <x:row r="49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  <x:c r="AA496" s="53"/>
      <x:c r="AB496" s="53"/>
      <x:c r="AC496" s="53"/>
      <x:c r="AD496" s="53"/>
      <x:c r="AE496" s="53"/>
      <x:c r="AF496" s="53"/>
    </x:row>
    <x:row r="497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  <x:c r="AA497" s="53"/>
      <x:c r="AB497" s="53"/>
      <x:c r="AC497" s="53"/>
      <x:c r="AD497" s="53"/>
      <x:c r="AE497" s="53"/>
      <x:c r="AF497" s="53"/>
    </x:row>
    <x:row r="498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  <x:c r="AA498" s="53"/>
      <x:c r="AB498" s="53"/>
      <x:c r="AC498" s="53"/>
      <x:c r="AD498" s="53"/>
      <x:c r="AE498" s="53"/>
      <x:c r="AF498" s="53"/>
    </x:row>
    <x:row r="499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  <x:c r="AA499" s="53"/>
      <x:c r="AB499" s="53"/>
      <x:c r="AC499" s="53"/>
      <x:c r="AD499" s="53"/>
      <x:c r="AE499" s="53"/>
      <x:c r="AF499" s="53"/>
    </x:row>
    <x:row r="500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  <x:c r="AA500" s="53"/>
      <x:c r="AB500" s="53"/>
      <x:c r="AC500" s="53"/>
      <x:c r="AD500" s="53"/>
      <x:c r="AE500" s="53"/>
      <x:c r="AF500" s="53"/>
    </x:row>
    <x:row r="501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  <x:c r="AA501" s="53"/>
      <x:c r="AB501" s="53"/>
      <x:c r="AC501" s="53"/>
      <x:c r="AD501" s="53"/>
      <x:c r="AE501" s="53"/>
      <x:c r="AF501" s="53"/>
    </x:row>
    <x:row r="502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  <x:c r="AA502" s="53"/>
      <x:c r="AB502" s="53"/>
      <x:c r="AC502" s="53"/>
      <x:c r="AD502" s="53"/>
      <x:c r="AE502" s="53"/>
      <x:c r="AF502" s="53"/>
    </x:row>
    <x:row r="503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  <x:c r="AA503" s="53"/>
      <x:c r="AB503" s="53"/>
      <x:c r="AC503" s="53"/>
      <x:c r="AD503" s="53"/>
      <x:c r="AE503" s="53"/>
      <x:c r="AF503" s="53"/>
    </x:row>
    <x:row r="504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  <x:c r="AA504" s="53"/>
      <x:c r="AB504" s="53"/>
      <x:c r="AC504" s="53"/>
      <x:c r="AD504" s="53"/>
      <x:c r="AE504" s="53"/>
      <x:c r="AF504" s="53"/>
    </x:row>
    <x:row r="505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  <x:c r="AA505" s="53"/>
      <x:c r="AB505" s="53"/>
      <x:c r="AC505" s="53"/>
      <x:c r="AD505" s="53"/>
      <x:c r="AE505" s="53"/>
      <x:c r="AF505" s="53"/>
    </x:row>
    <x:row r="50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  <x:c r="AA506" s="53"/>
      <x:c r="AB506" s="53"/>
      <x:c r="AC506" s="53"/>
      <x:c r="AD506" s="53"/>
      <x:c r="AE506" s="53"/>
      <x:c r="AF506" s="53"/>
    </x:row>
    <x:row r="507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  <x:c r="AA507" s="53"/>
      <x:c r="AB507" s="53"/>
      <x:c r="AC507" s="53"/>
      <x:c r="AD507" s="53"/>
      <x:c r="AE507" s="53"/>
      <x:c r="AF507" s="53"/>
    </x:row>
    <x:row r="508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  <x:c r="AA508" s="53"/>
      <x:c r="AB508" s="53"/>
      <x:c r="AC508" s="53"/>
      <x:c r="AD508" s="53"/>
      <x:c r="AE508" s="53"/>
      <x:c r="AF508" s="53"/>
    </x:row>
    <x:row r="509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  <x:c r="AA509" s="53"/>
      <x:c r="AB509" s="53"/>
      <x:c r="AC509" s="53"/>
      <x:c r="AD509" s="53"/>
      <x:c r="AE509" s="53"/>
      <x:c r="AF509" s="53"/>
    </x:row>
    <x:row r="510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  <x:c r="AA510" s="53"/>
      <x:c r="AB510" s="53"/>
      <x:c r="AC510" s="53"/>
      <x:c r="AD510" s="53"/>
      <x:c r="AE510" s="53"/>
      <x:c r="AF510" s="53"/>
    </x:row>
    <x:row r="511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  <x:c r="AA511" s="53"/>
      <x:c r="AB511" s="53"/>
      <x:c r="AC511" s="53"/>
      <x:c r="AD511" s="53"/>
      <x:c r="AE511" s="53"/>
      <x:c r="AF511" s="53"/>
    </x:row>
    <x:row r="512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  <x:c r="AA512" s="53"/>
      <x:c r="AB512" s="53"/>
      <x:c r="AC512" s="53"/>
      <x:c r="AD512" s="53"/>
      <x:c r="AE512" s="53"/>
      <x:c r="AF512" s="53"/>
    </x:row>
    <x:row r="513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  <x:c r="AA513" s="53"/>
      <x:c r="AB513" s="53"/>
      <x:c r="AC513" s="53"/>
      <x:c r="AD513" s="53"/>
      <x:c r="AE513" s="53"/>
      <x:c r="AF513" s="53"/>
    </x:row>
    <x:row r="514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  <x:c r="AA514" s="53"/>
      <x:c r="AB514" s="53"/>
      <x:c r="AC514" s="53"/>
      <x:c r="AD514" s="53"/>
      <x:c r="AE514" s="53"/>
      <x:c r="AF514" s="53"/>
    </x:row>
    <x:row r="515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  <x:c r="AA515" s="53"/>
      <x:c r="AB515" s="53"/>
      <x:c r="AC515" s="53"/>
      <x:c r="AD515" s="53"/>
      <x:c r="AE515" s="53"/>
      <x:c r="AF515" s="53"/>
    </x:row>
    <x:row r="51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  <x:c r="AA516" s="53"/>
      <x:c r="AB516" s="53"/>
      <x:c r="AC516" s="53"/>
      <x:c r="AD516" s="53"/>
      <x:c r="AE516" s="53"/>
      <x:c r="AF516" s="53"/>
    </x:row>
    <x:row r="517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  <x:c r="AA517" s="53"/>
      <x:c r="AB517" s="53"/>
      <x:c r="AC517" s="53"/>
      <x:c r="AD517" s="53"/>
      <x:c r="AE517" s="53"/>
      <x:c r="AF517" s="53"/>
    </x:row>
    <x:row r="518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  <x:c r="AA518" s="53"/>
      <x:c r="AB518" s="53"/>
      <x:c r="AC518" s="53"/>
      <x:c r="AD518" s="53"/>
      <x:c r="AE518" s="53"/>
      <x:c r="AF518" s="53"/>
    </x:row>
    <x:row r="519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  <x:c r="AA519" s="53"/>
      <x:c r="AB519" s="53"/>
      <x:c r="AC519" s="53"/>
      <x:c r="AD519" s="53"/>
      <x:c r="AE519" s="53"/>
      <x:c r="AF519" s="53"/>
    </x:row>
    <x:row r="520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  <x:c r="AA520" s="53"/>
      <x:c r="AB520" s="53"/>
      <x:c r="AC520" s="53"/>
      <x:c r="AD520" s="53"/>
      <x:c r="AE520" s="53"/>
      <x:c r="AF520" s="53"/>
    </x:row>
    <x:row r="521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  <x:c r="AA521" s="53"/>
      <x:c r="AB521" s="53"/>
      <x:c r="AC521" s="53"/>
      <x:c r="AD521" s="53"/>
      <x:c r="AE521" s="53"/>
      <x:c r="AF521" s="53"/>
    </x:row>
    <x:row r="522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  <x:c r="AA522" s="53"/>
      <x:c r="AB522" s="53"/>
      <x:c r="AC522" s="53"/>
      <x:c r="AD522" s="53"/>
      <x:c r="AE522" s="53"/>
      <x:c r="AF522" s="53"/>
    </x:row>
    <x:row r="523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  <x:c r="AA523" s="53"/>
      <x:c r="AB523" s="53"/>
      <x:c r="AC523" s="53"/>
      <x:c r="AD523" s="53"/>
      <x:c r="AE523" s="53"/>
      <x:c r="AF523" s="53"/>
    </x:row>
    <x:row r="524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  <x:c r="AA524" s="53"/>
      <x:c r="AB524" s="53"/>
      <x:c r="AC524" s="53"/>
      <x:c r="AD524" s="53"/>
      <x:c r="AE524" s="53"/>
      <x:c r="AF524" s="53"/>
    </x:row>
    <x:row r="525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  <x:c r="AA525" s="53"/>
      <x:c r="AB525" s="53"/>
      <x:c r="AC525" s="53"/>
      <x:c r="AD525" s="53"/>
      <x:c r="AE525" s="53"/>
      <x:c r="AF525" s="53"/>
    </x:row>
    <x:row r="52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  <x:c r="AA526" s="53"/>
      <x:c r="AB526" s="53"/>
      <x:c r="AC526" s="53"/>
      <x:c r="AD526" s="53"/>
      <x:c r="AE526" s="53"/>
      <x:c r="AF526" s="53"/>
    </x:row>
    <x:row r="527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  <x:c r="AA527" s="53"/>
      <x:c r="AB527" s="53"/>
      <x:c r="AC527" s="53"/>
      <x:c r="AD527" s="53"/>
      <x:c r="AE527" s="53"/>
      <x:c r="AF527" s="53"/>
    </x:row>
    <x:row r="528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  <x:c r="AA528" s="53"/>
      <x:c r="AB528" s="53"/>
      <x:c r="AC528" s="53"/>
      <x:c r="AD528" s="53"/>
      <x:c r="AE528" s="53"/>
      <x:c r="AF528" s="53"/>
    </x:row>
    <x:row r="529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  <x:c r="AA529" s="53"/>
      <x:c r="AB529" s="53"/>
      <x:c r="AC529" s="53"/>
      <x:c r="AD529" s="53"/>
      <x:c r="AE529" s="53"/>
      <x:c r="AF529" s="53"/>
    </x:row>
    <x:row r="530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  <x:c r="AA530" s="53"/>
      <x:c r="AB530" s="53"/>
      <x:c r="AC530" s="53"/>
      <x:c r="AD530" s="53"/>
      <x:c r="AE530" s="53"/>
      <x:c r="AF530" s="53"/>
    </x:row>
    <x:row r="531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  <x:c r="AA531" s="53"/>
      <x:c r="AB531" s="53"/>
      <x:c r="AC531" s="53"/>
      <x:c r="AD531" s="53"/>
      <x:c r="AE531" s="53"/>
      <x:c r="AF531" s="53"/>
    </x:row>
    <x:row r="532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  <x:c r="AA532" s="53"/>
      <x:c r="AB532" s="53"/>
      <x:c r="AC532" s="53"/>
      <x:c r="AD532" s="53"/>
      <x:c r="AE532" s="53"/>
      <x:c r="AF532" s="53"/>
    </x:row>
    <x:row r="533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  <x:c r="AA533" s="53"/>
      <x:c r="AB533" s="53"/>
      <x:c r="AC533" s="53"/>
      <x:c r="AD533" s="53"/>
      <x:c r="AE533" s="53"/>
      <x:c r="AF533" s="53"/>
    </x:row>
    <x:row r="534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  <x:c r="AA534" s="53"/>
      <x:c r="AB534" s="53"/>
      <x:c r="AC534" s="53"/>
      <x:c r="AD534" s="53"/>
      <x:c r="AE534" s="53"/>
      <x:c r="AF534" s="53"/>
    </x:row>
    <x:row r="535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  <x:c r="AA535" s="53"/>
      <x:c r="AB535" s="53"/>
      <x:c r="AC535" s="53"/>
      <x:c r="AD535" s="53"/>
      <x:c r="AE535" s="53"/>
      <x:c r="AF535" s="53"/>
    </x:row>
    <x:row r="53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  <x:c r="AA536" s="53"/>
      <x:c r="AB536" s="53"/>
      <x:c r="AC536" s="53"/>
      <x:c r="AD536" s="53"/>
      <x:c r="AE536" s="53"/>
      <x:c r="AF536" s="53"/>
    </x:row>
    <x:row r="537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  <x:c r="AA537" s="53"/>
      <x:c r="AB537" s="53"/>
      <x:c r="AC537" s="53"/>
      <x:c r="AD537" s="53"/>
      <x:c r="AE537" s="53"/>
      <x:c r="AF537" s="53"/>
    </x:row>
    <x:row r="538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  <x:c r="AA538" s="53"/>
      <x:c r="AB538" s="53"/>
      <x:c r="AC538" s="53"/>
      <x:c r="AD538" s="53"/>
      <x:c r="AE538" s="53"/>
      <x:c r="AF538" s="53"/>
    </x:row>
    <x:row r="539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  <x:c r="AA539" s="53"/>
      <x:c r="AB539" s="53"/>
      <x:c r="AC539" s="53"/>
      <x:c r="AD539" s="53"/>
      <x:c r="AE539" s="53"/>
      <x:c r="AF539" s="53"/>
    </x:row>
    <x:row r="540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  <x:c r="AA540" s="53"/>
      <x:c r="AB540" s="53"/>
      <x:c r="AC540" s="53"/>
      <x:c r="AD540" s="53"/>
      <x:c r="AE540" s="53"/>
      <x:c r="AF540" s="53"/>
    </x:row>
    <x:row r="541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  <x:c r="AA541" s="53"/>
      <x:c r="AB541" s="53"/>
      <x:c r="AC541" s="53"/>
      <x:c r="AD541" s="53"/>
      <x:c r="AE541" s="53"/>
      <x:c r="AF541" s="53"/>
    </x:row>
    <x:row r="542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  <x:c r="AA542" s="53"/>
      <x:c r="AB542" s="53"/>
      <x:c r="AC542" s="53"/>
      <x:c r="AD542" s="53"/>
      <x:c r="AE542" s="53"/>
      <x:c r="AF542" s="53"/>
    </x:row>
    <x:row r="543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  <x:c r="AA543" s="53"/>
      <x:c r="AB543" s="53"/>
      <x:c r="AC543" s="53"/>
      <x:c r="AD543" s="53"/>
      <x:c r="AE543" s="53"/>
      <x:c r="AF543" s="53"/>
    </x:row>
    <x:row r="544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  <x:c r="AA544" s="53"/>
      <x:c r="AB544" s="53"/>
      <x:c r="AC544" s="53"/>
      <x:c r="AD544" s="53"/>
      <x:c r="AE544" s="53"/>
      <x:c r="AF544" s="53"/>
    </x:row>
    <x:row r="545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  <x:c r="AA545" s="53"/>
      <x:c r="AB545" s="53"/>
      <x:c r="AC545" s="53"/>
      <x:c r="AD545" s="53"/>
      <x:c r="AE545" s="53"/>
      <x:c r="AF545" s="53"/>
    </x:row>
    <x:row r="5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  <x:c r="AA546" s="53"/>
      <x:c r="AB546" s="53"/>
      <x:c r="AC546" s="53"/>
      <x:c r="AD546" s="53"/>
      <x:c r="AE546" s="53"/>
      <x:c r="AF546" s="53"/>
    </x:row>
    <x:row r="547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  <x:c r="AA547" s="53"/>
      <x:c r="AB547" s="53"/>
      <x:c r="AC547" s="53"/>
      <x:c r="AD547" s="53"/>
      <x:c r="AE547" s="53"/>
      <x:c r="AF547" s="53"/>
    </x:row>
    <x:row r="548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  <x:c r="AA548" s="53"/>
      <x:c r="AB548" s="53"/>
      <x:c r="AC548" s="53"/>
      <x:c r="AD548" s="53"/>
      <x:c r="AE548" s="53"/>
      <x:c r="AF548" s="53"/>
    </x:row>
    <x:row r="549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  <x:c r="AA549" s="53"/>
      <x:c r="AB549" s="53"/>
      <x:c r="AC549" s="53"/>
      <x:c r="AD549" s="53"/>
      <x:c r="AE549" s="53"/>
      <x:c r="AF549" s="53"/>
    </x:row>
    <x:row r="550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  <x:c r="AA550" s="53"/>
      <x:c r="AB550" s="53"/>
      <x:c r="AC550" s="53"/>
      <x:c r="AD550" s="53"/>
      <x:c r="AE550" s="53"/>
      <x:c r="AF550" s="53"/>
    </x:row>
    <x:row r="551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  <x:c r="AA551" s="53"/>
      <x:c r="AB551" s="53"/>
      <x:c r="AC551" s="53"/>
      <x:c r="AD551" s="53"/>
      <x:c r="AE551" s="53"/>
      <x:c r="AF551" s="53"/>
    </x:row>
    <x:row r="552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  <x:c r="AA552" s="53"/>
      <x:c r="AB552" s="53"/>
      <x:c r="AC552" s="53"/>
      <x:c r="AD552" s="53"/>
      <x:c r="AE552" s="53"/>
      <x:c r="AF552" s="53"/>
    </x:row>
    <x:row r="553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  <x:c r="AA553" s="53"/>
      <x:c r="AB553" s="53"/>
      <x:c r="AC553" s="53"/>
      <x:c r="AD553" s="53"/>
      <x:c r="AE553" s="53"/>
      <x:c r="AF553" s="53"/>
    </x:row>
    <x:row r="554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  <x:c r="AA554" s="53"/>
      <x:c r="AB554" s="53"/>
      <x:c r="AC554" s="53"/>
      <x:c r="AD554" s="53"/>
      <x:c r="AE554" s="53"/>
      <x:c r="AF554" s="53"/>
    </x:row>
    <x:row r="555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  <x:c r="AA555" s="53"/>
      <x:c r="AB555" s="53"/>
      <x:c r="AC555" s="53"/>
      <x:c r="AD555" s="53"/>
      <x:c r="AE555" s="53"/>
      <x:c r="AF555" s="53"/>
    </x:row>
    <x:row r="55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  <x:c r="AA556" s="53"/>
      <x:c r="AB556" s="53"/>
      <x:c r="AC556" s="53"/>
      <x:c r="AD556" s="53"/>
      <x:c r="AE556" s="53"/>
      <x:c r="AF556" s="53"/>
    </x:row>
    <x:row r="557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  <x:c r="AA557" s="53"/>
      <x:c r="AB557" s="53"/>
      <x:c r="AC557" s="53"/>
      <x:c r="AD557" s="53"/>
      <x:c r="AE557" s="53"/>
      <x:c r="AF557" s="53"/>
    </x:row>
    <x:row r="558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  <x:c r="AA558" s="53"/>
      <x:c r="AB558" s="53"/>
      <x:c r="AC558" s="53"/>
      <x:c r="AD558" s="53"/>
      <x:c r="AE558" s="53"/>
      <x:c r="AF558" s="53"/>
    </x:row>
    <x:row r="559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  <x:c r="AA559" s="53"/>
      <x:c r="AB559" s="53"/>
      <x:c r="AC559" s="53"/>
      <x:c r="AD559" s="53"/>
      <x:c r="AE559" s="53"/>
      <x:c r="AF559" s="53"/>
    </x:row>
    <x:row r="560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  <x:c r="AA560" s="53"/>
      <x:c r="AB560" s="53"/>
      <x:c r="AC560" s="53"/>
      <x:c r="AD560" s="53"/>
      <x:c r="AE560" s="53"/>
      <x:c r="AF560" s="53"/>
    </x:row>
    <x:row r="561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  <x:c r="AA561" s="53"/>
      <x:c r="AB561" s="53"/>
      <x:c r="AC561" s="53"/>
      <x:c r="AD561" s="53"/>
      <x:c r="AE561" s="53"/>
      <x:c r="AF561" s="53"/>
    </x:row>
    <x:row r="562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  <x:c r="AA562" s="53"/>
      <x:c r="AB562" s="53"/>
      <x:c r="AC562" s="53"/>
      <x:c r="AD562" s="53"/>
      <x:c r="AE562" s="53"/>
      <x:c r="AF562" s="53"/>
    </x:row>
    <x:row r="563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  <x:c r="AA563" s="53"/>
      <x:c r="AB563" s="53"/>
      <x:c r="AC563" s="53"/>
      <x:c r="AD563" s="53"/>
      <x:c r="AE563" s="53"/>
      <x:c r="AF563" s="53"/>
    </x:row>
    <x:row r="564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  <x:c r="AA564" s="53"/>
      <x:c r="AB564" s="53"/>
      <x:c r="AC564" s="53"/>
      <x:c r="AD564" s="53"/>
      <x:c r="AE564" s="53"/>
      <x:c r="AF564" s="53"/>
    </x:row>
    <x:row r="565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  <x:c r="AA565" s="53"/>
      <x:c r="AB565" s="53"/>
      <x:c r="AC565" s="53"/>
      <x:c r="AD565" s="53"/>
      <x:c r="AE565" s="53"/>
      <x:c r="AF565" s="53"/>
    </x:row>
    <x:row r="56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  <x:c r="AA566" s="53"/>
      <x:c r="AB566" s="53"/>
      <x:c r="AC566" s="53"/>
      <x:c r="AD566" s="53"/>
      <x:c r="AE566" s="53"/>
      <x:c r="AF566" s="53"/>
    </x:row>
    <x:row r="567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  <x:c r="AA567" s="53"/>
      <x:c r="AB567" s="53"/>
      <x:c r="AC567" s="53"/>
      <x:c r="AD567" s="53"/>
      <x:c r="AE567" s="53"/>
      <x:c r="AF567" s="53"/>
    </x:row>
    <x:row r="568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  <x:c r="AA568" s="53"/>
      <x:c r="AB568" s="53"/>
      <x:c r="AC568" s="53"/>
      <x:c r="AD568" s="53"/>
      <x:c r="AE568" s="53"/>
      <x:c r="AF568" s="53"/>
    </x:row>
    <x:row r="569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  <x:c r="AA569" s="53"/>
      <x:c r="AB569" s="53"/>
      <x:c r="AC569" s="53"/>
      <x:c r="AD569" s="53"/>
      <x:c r="AE569" s="53"/>
      <x:c r="AF569" s="53"/>
    </x:row>
    <x:row r="570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  <x:c r="AA570" s="53"/>
      <x:c r="AB570" s="53"/>
      <x:c r="AC570" s="53"/>
      <x:c r="AD570" s="53"/>
      <x:c r="AE570" s="53"/>
      <x:c r="AF570" s="53"/>
    </x:row>
    <x:row r="571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  <x:c r="AA571" s="53"/>
      <x:c r="AB571" s="53"/>
      <x:c r="AC571" s="53"/>
      <x:c r="AD571" s="53"/>
      <x:c r="AE571" s="53"/>
      <x:c r="AF571" s="53"/>
    </x:row>
    <x:row r="572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  <x:c r="AA572" s="53"/>
      <x:c r="AB572" s="53"/>
      <x:c r="AC572" s="53"/>
      <x:c r="AD572" s="53"/>
      <x:c r="AE572" s="53"/>
      <x:c r="AF572" s="53"/>
    </x:row>
    <x:row r="573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  <x:c r="AA573" s="53"/>
      <x:c r="AB573" s="53"/>
      <x:c r="AC573" s="53"/>
      <x:c r="AD573" s="53"/>
      <x:c r="AE573" s="53"/>
      <x:c r="AF573" s="53"/>
    </x:row>
    <x:row r="574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  <x:c r="AA574" s="53"/>
      <x:c r="AB574" s="53"/>
      <x:c r="AC574" s="53"/>
      <x:c r="AD574" s="53"/>
      <x:c r="AE574" s="53"/>
      <x:c r="AF574" s="53"/>
    </x:row>
    <x:row r="575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  <x:c r="AA575" s="53"/>
      <x:c r="AB575" s="53"/>
      <x:c r="AC575" s="53"/>
      <x:c r="AD575" s="53"/>
      <x:c r="AE575" s="53"/>
      <x:c r="AF575" s="53"/>
    </x:row>
    <x:row r="57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  <x:c r="AA576" s="53"/>
      <x:c r="AB576" s="53"/>
      <x:c r="AC576" s="53"/>
      <x:c r="AD576" s="53"/>
      <x:c r="AE576" s="53"/>
      <x:c r="AF576" s="53"/>
    </x:row>
    <x:row r="577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  <x:c r="AA577" s="53"/>
      <x:c r="AB577" s="53"/>
      <x:c r="AC577" s="53"/>
      <x:c r="AD577" s="53"/>
      <x:c r="AE577" s="53"/>
      <x:c r="AF577" s="53"/>
    </x:row>
    <x:row r="578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  <x:c r="AA578" s="53"/>
      <x:c r="AB578" s="53"/>
      <x:c r="AC578" s="53"/>
      <x:c r="AD578" s="53"/>
      <x:c r="AE578" s="53"/>
      <x:c r="AF578" s="53"/>
    </x:row>
    <x:row r="579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  <x:c r="AA579" s="53"/>
      <x:c r="AB579" s="53"/>
      <x:c r="AC579" s="53"/>
      <x:c r="AD579" s="53"/>
      <x:c r="AE579" s="53"/>
      <x:c r="AF579" s="53"/>
    </x:row>
    <x:row r="580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  <x:c r="AA580" s="53"/>
      <x:c r="AB580" s="53"/>
      <x:c r="AC580" s="53"/>
      <x:c r="AD580" s="53"/>
      <x:c r="AE580" s="53"/>
      <x:c r="AF580" s="53"/>
    </x:row>
    <x:row r="581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  <x:c r="AA581" s="53"/>
      <x:c r="AB581" s="53"/>
      <x:c r="AC581" s="53"/>
      <x:c r="AD581" s="53"/>
      <x:c r="AE581" s="53"/>
      <x:c r="AF581" s="53"/>
    </x:row>
    <x:row r="582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  <x:c r="AA582" s="53"/>
      <x:c r="AB582" s="53"/>
      <x:c r="AC582" s="53"/>
      <x:c r="AD582" s="53"/>
      <x:c r="AE582" s="53"/>
      <x:c r="AF582" s="53"/>
    </x:row>
    <x:row r="583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  <x:c r="AA583" s="53"/>
      <x:c r="AB583" s="53"/>
      <x:c r="AC583" s="53"/>
      <x:c r="AD583" s="53"/>
      <x:c r="AE583" s="53"/>
      <x:c r="AF583" s="53"/>
    </x:row>
    <x:row r="584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  <x:c r="AA584" s="53"/>
      <x:c r="AB584" s="53"/>
      <x:c r="AC584" s="53"/>
      <x:c r="AD584" s="53"/>
      <x:c r="AE584" s="53"/>
      <x:c r="AF584" s="53"/>
    </x:row>
    <x:row r="585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  <x:c r="AA585" s="53"/>
      <x:c r="AB585" s="53"/>
      <x:c r="AC585" s="53"/>
      <x:c r="AD585" s="53"/>
      <x:c r="AE585" s="53"/>
      <x:c r="AF585" s="53"/>
    </x:row>
    <x:row r="58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  <x:c r="AA586" s="53"/>
      <x:c r="AB586" s="53"/>
      <x:c r="AC586" s="53"/>
      <x:c r="AD586" s="53"/>
      <x:c r="AE586" s="53"/>
      <x:c r="AF586" s="53"/>
    </x:row>
    <x:row r="587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  <x:c r="AA587" s="53"/>
      <x:c r="AB587" s="53"/>
      <x:c r="AC587" s="53"/>
      <x:c r="AD587" s="53"/>
      <x:c r="AE587" s="53"/>
      <x:c r="AF587" s="53"/>
    </x:row>
    <x:row r="588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  <x:c r="AA588" s="53"/>
      <x:c r="AB588" s="53"/>
      <x:c r="AC588" s="53"/>
      <x:c r="AD588" s="53"/>
      <x:c r="AE588" s="53"/>
      <x:c r="AF588" s="53"/>
    </x:row>
    <x:row r="589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  <x:c r="AA589" s="53"/>
      <x:c r="AB589" s="53"/>
      <x:c r="AC589" s="53"/>
      <x:c r="AD589" s="53"/>
      <x:c r="AE589" s="53"/>
      <x:c r="AF589" s="53"/>
    </x:row>
    <x:row r="590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  <x:c r="AA590" s="53"/>
      <x:c r="AB590" s="53"/>
      <x:c r="AC590" s="53"/>
      <x:c r="AD590" s="53"/>
      <x:c r="AE590" s="53"/>
      <x:c r="AF590" s="53"/>
    </x:row>
    <x:row r="591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  <x:c r="AA591" s="53"/>
      <x:c r="AB591" s="53"/>
      <x:c r="AC591" s="53"/>
      <x:c r="AD591" s="53"/>
      <x:c r="AE591" s="53"/>
      <x:c r="AF591" s="53"/>
    </x:row>
    <x:row r="592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  <x:c r="AA592" s="53"/>
      <x:c r="AB592" s="53"/>
      <x:c r="AC592" s="53"/>
      <x:c r="AD592" s="53"/>
      <x:c r="AE592" s="53"/>
      <x:c r="AF592" s="53"/>
    </x:row>
    <x:row r="593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  <x:c r="AA593" s="53"/>
      <x:c r="AB593" s="53"/>
      <x:c r="AC593" s="53"/>
      <x:c r="AD593" s="53"/>
      <x:c r="AE593" s="53"/>
      <x:c r="AF593" s="53"/>
    </x:row>
    <x:row r="594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  <x:c r="AA594" s="53"/>
      <x:c r="AB594" s="53"/>
      <x:c r="AC594" s="53"/>
      <x:c r="AD594" s="53"/>
      <x:c r="AE594" s="53"/>
      <x:c r="AF594" s="53"/>
    </x:row>
    <x:row r="595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  <x:c r="AA595" s="53"/>
      <x:c r="AB595" s="53"/>
      <x:c r="AC595" s="53"/>
      <x:c r="AD595" s="53"/>
      <x:c r="AE595" s="53"/>
      <x:c r="AF595" s="53"/>
    </x:row>
    <x:row r="59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  <x:c r="AA596" s="53"/>
      <x:c r="AB596" s="53"/>
      <x:c r="AC596" s="53"/>
      <x:c r="AD596" s="53"/>
      <x:c r="AE596" s="53"/>
      <x:c r="AF596" s="53"/>
    </x:row>
    <x:row r="597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  <x:c r="AA597" s="53"/>
      <x:c r="AB597" s="53"/>
      <x:c r="AC597" s="53"/>
      <x:c r="AD597" s="53"/>
      <x:c r="AE597" s="53"/>
      <x:c r="AF597" s="53"/>
    </x:row>
    <x:row r="598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  <x:c r="AA598" s="53"/>
      <x:c r="AB598" s="53"/>
      <x:c r="AC598" s="53"/>
      <x:c r="AD598" s="53"/>
      <x:c r="AE598" s="53"/>
      <x:c r="AF598" s="53"/>
    </x:row>
    <x:row r="599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  <x:c r="AA599" s="53"/>
      <x:c r="AB599" s="53"/>
      <x:c r="AC599" s="53"/>
      <x:c r="AD599" s="53"/>
      <x:c r="AE599" s="53"/>
      <x:c r="AF599" s="53"/>
    </x:row>
    <x:row r="600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  <x:c r="AA600" s="53"/>
      <x:c r="AB600" s="53"/>
      <x:c r="AC600" s="53"/>
      <x:c r="AD600" s="53"/>
      <x:c r="AE600" s="53"/>
      <x:c r="AF600" s="53"/>
    </x:row>
    <x:row r="601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  <x:c r="AA601" s="53"/>
      <x:c r="AB601" s="53"/>
      <x:c r="AC601" s="53"/>
      <x:c r="AD601" s="53"/>
      <x:c r="AE601" s="53"/>
      <x:c r="AF601" s="53"/>
    </x:row>
    <x:row r="602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  <x:c r="AA602" s="53"/>
      <x:c r="AB602" s="53"/>
      <x:c r="AC602" s="53"/>
      <x:c r="AD602" s="53"/>
      <x:c r="AE602" s="53"/>
      <x:c r="AF602" s="53"/>
    </x:row>
    <x:row r="603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  <x:c r="AA603" s="53"/>
      <x:c r="AB603" s="53"/>
      <x:c r="AC603" s="53"/>
      <x:c r="AD603" s="53"/>
      <x:c r="AE603" s="53"/>
      <x:c r="AF603" s="53"/>
    </x:row>
    <x:row r="604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  <x:c r="AA604" s="53"/>
      <x:c r="AB604" s="53"/>
      <x:c r="AC604" s="53"/>
      <x:c r="AD604" s="53"/>
      <x:c r="AE604" s="53"/>
      <x:c r="AF604" s="53"/>
    </x:row>
    <x:row r="605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  <x:c r="AA605" s="53"/>
      <x:c r="AB605" s="53"/>
      <x:c r="AC605" s="53"/>
      <x:c r="AD605" s="53"/>
      <x:c r="AE605" s="53"/>
      <x:c r="AF605" s="53"/>
    </x:row>
    <x:row r="60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  <x:c r="AA606" s="53"/>
      <x:c r="AB606" s="53"/>
      <x:c r="AC606" s="53"/>
      <x:c r="AD606" s="53"/>
      <x:c r="AE606" s="53"/>
      <x:c r="AF606" s="53"/>
    </x:row>
    <x:row r="607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  <x:c r="AA607" s="53"/>
      <x:c r="AB607" s="53"/>
      <x:c r="AC607" s="53"/>
      <x:c r="AD607" s="53"/>
      <x:c r="AE607" s="53"/>
      <x:c r="AF607" s="53"/>
    </x:row>
    <x:row r="608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  <x:c r="AA608" s="53"/>
      <x:c r="AB608" s="53"/>
      <x:c r="AC608" s="53"/>
      <x:c r="AD608" s="53"/>
      <x:c r="AE608" s="53"/>
      <x:c r="AF608" s="53"/>
    </x:row>
    <x:row r="609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  <x:c r="AA609" s="53"/>
      <x:c r="AB609" s="53"/>
      <x:c r="AC609" s="53"/>
      <x:c r="AD609" s="53"/>
      <x:c r="AE609" s="53"/>
      <x:c r="AF609" s="53"/>
    </x:row>
    <x:row r="610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  <x:c r="AA610" s="53"/>
      <x:c r="AB610" s="53"/>
      <x:c r="AC610" s="53"/>
      <x:c r="AD610" s="53"/>
      <x:c r="AE610" s="53"/>
      <x:c r="AF610" s="53"/>
    </x:row>
    <x:row r="611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  <x:c r="AA611" s="53"/>
      <x:c r="AB611" s="53"/>
      <x:c r="AC611" s="53"/>
      <x:c r="AD611" s="53"/>
      <x:c r="AE611" s="53"/>
      <x:c r="AF611" s="53"/>
    </x:row>
    <x:row r="612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  <x:c r="AA612" s="53"/>
      <x:c r="AB612" s="53"/>
      <x:c r="AC612" s="53"/>
      <x:c r="AD612" s="53"/>
      <x:c r="AE612" s="53"/>
      <x:c r="AF612" s="53"/>
    </x:row>
    <x:row r="613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  <x:c r="AA613" s="53"/>
      <x:c r="AB613" s="53"/>
      <x:c r="AC613" s="53"/>
      <x:c r="AD613" s="53"/>
      <x:c r="AE613" s="53"/>
      <x:c r="AF613" s="53"/>
    </x:row>
    <x:row r="614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  <x:c r="AA614" s="53"/>
      <x:c r="AB614" s="53"/>
      <x:c r="AC614" s="53"/>
      <x:c r="AD614" s="53"/>
      <x:c r="AE614" s="53"/>
      <x:c r="AF614" s="53"/>
    </x:row>
    <x:row r="615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  <x:c r="AA615" s="53"/>
      <x:c r="AB615" s="53"/>
      <x:c r="AC615" s="53"/>
      <x:c r="AD615" s="53"/>
      <x:c r="AE615" s="53"/>
      <x:c r="AF615" s="53"/>
    </x:row>
    <x:row r="61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  <x:c r="AA616" s="53"/>
      <x:c r="AB616" s="53"/>
      <x:c r="AC616" s="53"/>
      <x:c r="AD616" s="53"/>
      <x:c r="AE616" s="53"/>
      <x:c r="AF616" s="53"/>
    </x:row>
    <x:row r="617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  <x:c r="AA617" s="53"/>
      <x:c r="AB617" s="53"/>
      <x:c r="AC617" s="53"/>
      <x:c r="AD617" s="53"/>
      <x:c r="AE617" s="53"/>
      <x:c r="AF617" s="53"/>
    </x:row>
    <x:row r="618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  <x:c r="AA618" s="53"/>
      <x:c r="AB618" s="53"/>
      <x:c r="AC618" s="53"/>
      <x:c r="AD618" s="53"/>
      <x:c r="AE618" s="53"/>
      <x:c r="AF618" s="53"/>
    </x:row>
    <x:row r="619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  <x:c r="AA619" s="53"/>
      <x:c r="AB619" s="53"/>
      <x:c r="AC619" s="53"/>
      <x:c r="AD619" s="53"/>
      <x:c r="AE619" s="53"/>
      <x:c r="AF619" s="53"/>
    </x:row>
    <x:row r="620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  <x:c r="AA620" s="53"/>
      <x:c r="AB620" s="53"/>
      <x:c r="AC620" s="53"/>
      <x:c r="AD620" s="53"/>
      <x:c r="AE620" s="53"/>
      <x:c r="AF620" s="53"/>
    </x:row>
    <x:row r="621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  <x:c r="AA621" s="53"/>
      <x:c r="AB621" s="53"/>
      <x:c r="AC621" s="53"/>
      <x:c r="AD621" s="53"/>
      <x:c r="AE621" s="53"/>
      <x:c r="AF621" s="53"/>
    </x:row>
    <x:row r="622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  <x:c r="AA622" s="53"/>
      <x:c r="AB622" s="53"/>
      <x:c r="AC622" s="53"/>
      <x:c r="AD622" s="53"/>
      <x:c r="AE622" s="53"/>
      <x:c r="AF622" s="53"/>
    </x:row>
    <x:row r="623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  <x:c r="AA623" s="53"/>
      <x:c r="AB623" s="53"/>
      <x:c r="AC623" s="53"/>
      <x:c r="AD623" s="53"/>
      <x:c r="AE623" s="53"/>
      <x:c r="AF623" s="53"/>
    </x:row>
    <x:row r="624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  <x:c r="AA624" s="53"/>
      <x:c r="AB624" s="53"/>
      <x:c r="AC624" s="53"/>
      <x:c r="AD624" s="53"/>
      <x:c r="AE624" s="53"/>
      <x:c r="AF624" s="53"/>
    </x:row>
    <x:row r="625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  <x:c r="AA625" s="53"/>
      <x:c r="AB625" s="53"/>
      <x:c r="AC625" s="53"/>
      <x:c r="AD625" s="53"/>
      <x:c r="AE625" s="53"/>
      <x:c r="AF625" s="53"/>
    </x:row>
    <x:row r="62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  <x:c r="AA626" s="53"/>
      <x:c r="AB626" s="53"/>
      <x:c r="AC626" s="53"/>
      <x:c r="AD626" s="53"/>
      <x:c r="AE626" s="53"/>
      <x:c r="AF626" s="53"/>
    </x:row>
    <x:row r="627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  <x:c r="AA627" s="53"/>
      <x:c r="AB627" s="53"/>
      <x:c r="AC627" s="53"/>
      <x:c r="AD627" s="53"/>
      <x:c r="AE627" s="53"/>
      <x:c r="AF627" s="53"/>
    </x:row>
    <x:row r="628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  <x:c r="AA628" s="53"/>
      <x:c r="AB628" s="53"/>
      <x:c r="AC628" s="53"/>
      <x:c r="AD628" s="53"/>
      <x:c r="AE628" s="53"/>
      <x:c r="AF628" s="53"/>
    </x:row>
    <x:row r="629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  <x:c r="AA629" s="53"/>
      <x:c r="AB629" s="53"/>
      <x:c r="AC629" s="53"/>
      <x:c r="AD629" s="53"/>
      <x:c r="AE629" s="53"/>
      <x:c r="AF629" s="53"/>
    </x:row>
    <x:row r="630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  <x:c r="AA630" s="53"/>
      <x:c r="AB630" s="53"/>
      <x:c r="AC630" s="53"/>
      <x:c r="AD630" s="53"/>
      <x:c r="AE630" s="53"/>
      <x:c r="AF630" s="53"/>
    </x:row>
    <x:row r="631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  <x:c r="AA631" s="53"/>
      <x:c r="AB631" s="53"/>
      <x:c r="AC631" s="53"/>
      <x:c r="AD631" s="53"/>
      <x:c r="AE631" s="53"/>
      <x:c r="AF631" s="53"/>
    </x:row>
    <x:row r="632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  <x:c r="AA632" s="53"/>
      <x:c r="AB632" s="53"/>
      <x:c r="AC632" s="53"/>
      <x:c r="AD632" s="53"/>
      <x:c r="AE632" s="53"/>
      <x:c r="AF632" s="53"/>
    </x:row>
    <x:row r="633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  <x:c r="AA633" s="53"/>
      <x:c r="AB633" s="53"/>
      <x:c r="AC633" s="53"/>
      <x:c r="AD633" s="53"/>
      <x:c r="AE633" s="53"/>
      <x:c r="AF633" s="53"/>
    </x:row>
    <x:row r="634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  <x:c r="AA634" s="53"/>
      <x:c r="AB634" s="53"/>
      <x:c r="AC634" s="53"/>
      <x:c r="AD634" s="53"/>
      <x:c r="AE634" s="53"/>
      <x:c r="AF634" s="53"/>
    </x:row>
    <x:row r="635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  <x:c r="AA635" s="53"/>
      <x:c r="AB635" s="53"/>
      <x:c r="AC635" s="53"/>
      <x:c r="AD635" s="53"/>
      <x:c r="AE635" s="53"/>
      <x:c r="AF635" s="53"/>
    </x:row>
    <x:row r="63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  <x:c r="AA636" s="53"/>
      <x:c r="AB636" s="53"/>
      <x:c r="AC636" s="53"/>
      <x:c r="AD636" s="53"/>
      <x:c r="AE636" s="53"/>
      <x:c r="AF636" s="53"/>
    </x:row>
    <x:row r="637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  <x:c r="AA637" s="53"/>
      <x:c r="AB637" s="53"/>
      <x:c r="AC637" s="53"/>
      <x:c r="AD637" s="53"/>
      <x:c r="AE637" s="53"/>
      <x:c r="AF637" s="53"/>
    </x:row>
    <x:row r="638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  <x:c r="AA638" s="53"/>
      <x:c r="AB638" s="53"/>
      <x:c r="AC638" s="53"/>
      <x:c r="AD638" s="53"/>
      <x:c r="AE638" s="53"/>
      <x:c r="AF638" s="53"/>
    </x:row>
    <x:row r="639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  <x:c r="AA639" s="53"/>
      <x:c r="AB639" s="53"/>
      <x:c r="AC639" s="53"/>
      <x:c r="AD639" s="53"/>
      <x:c r="AE639" s="53"/>
      <x:c r="AF639" s="53"/>
    </x:row>
    <x:row r="640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  <x:c r="AA640" s="53"/>
      <x:c r="AB640" s="53"/>
      <x:c r="AC640" s="53"/>
      <x:c r="AD640" s="53"/>
      <x:c r="AE640" s="53"/>
      <x:c r="AF640" s="53"/>
    </x:row>
    <x:row r="641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  <x:c r="AA641" s="53"/>
      <x:c r="AB641" s="53"/>
      <x:c r="AC641" s="53"/>
      <x:c r="AD641" s="53"/>
      <x:c r="AE641" s="53"/>
      <x:c r="AF641" s="53"/>
    </x:row>
    <x:row r="642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  <x:c r="AA642" s="53"/>
      <x:c r="AB642" s="53"/>
      <x:c r="AC642" s="53"/>
      <x:c r="AD642" s="53"/>
      <x:c r="AE642" s="53"/>
      <x:c r="AF642" s="53"/>
    </x:row>
    <x:row r="643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  <x:c r="AA643" s="53"/>
      <x:c r="AB643" s="53"/>
      <x:c r="AC643" s="53"/>
      <x:c r="AD643" s="53"/>
      <x:c r="AE643" s="53"/>
      <x:c r="AF643" s="53"/>
    </x:row>
    <x:row r="644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  <x:c r="AA644" s="53"/>
      <x:c r="AB644" s="53"/>
      <x:c r="AC644" s="53"/>
      <x:c r="AD644" s="53"/>
      <x:c r="AE644" s="53"/>
      <x:c r="AF644" s="53"/>
    </x:row>
    <x:row r="645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  <x:c r="AA645" s="53"/>
      <x:c r="AB645" s="53"/>
      <x:c r="AC645" s="53"/>
      <x:c r="AD645" s="53"/>
      <x:c r="AE645" s="53"/>
      <x:c r="AF645" s="53"/>
    </x:row>
    <x:row r="6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  <x:c r="AA646" s="53"/>
      <x:c r="AB646" s="53"/>
      <x:c r="AC646" s="53"/>
      <x:c r="AD646" s="53"/>
      <x:c r="AE646" s="53"/>
      <x:c r="AF646" s="53"/>
    </x:row>
    <x:row r="647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  <x:c r="AA647" s="53"/>
      <x:c r="AB647" s="53"/>
      <x:c r="AC647" s="53"/>
      <x:c r="AD647" s="53"/>
      <x:c r="AE647" s="53"/>
      <x:c r="AF647" s="53"/>
    </x:row>
    <x:row r="648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  <x:c r="AA648" s="53"/>
      <x:c r="AB648" s="53"/>
      <x:c r="AC648" s="53"/>
      <x:c r="AD648" s="53"/>
      <x:c r="AE648" s="53"/>
      <x:c r="AF648" s="53"/>
    </x:row>
    <x:row r="649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  <x:c r="AA649" s="53"/>
      <x:c r="AB649" s="53"/>
      <x:c r="AC649" s="53"/>
      <x:c r="AD649" s="53"/>
      <x:c r="AE649" s="53"/>
      <x:c r="AF649" s="53"/>
    </x:row>
    <x:row r="650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  <x:c r="AA650" s="53"/>
      <x:c r="AB650" s="53"/>
      <x:c r="AC650" s="53"/>
      <x:c r="AD650" s="53"/>
      <x:c r="AE650" s="53"/>
      <x:c r="AF650" s="53"/>
    </x:row>
    <x:row r="651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  <x:c r="AA651" s="53"/>
      <x:c r="AB651" s="53"/>
      <x:c r="AC651" s="53"/>
      <x:c r="AD651" s="53"/>
      <x:c r="AE651" s="53"/>
      <x:c r="AF651" s="53"/>
    </x:row>
    <x:row r="652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  <x:c r="AA652" s="53"/>
      <x:c r="AB652" s="53"/>
      <x:c r="AC652" s="53"/>
      <x:c r="AD652" s="53"/>
      <x:c r="AE652" s="53"/>
      <x:c r="AF652" s="53"/>
    </x:row>
    <x:row r="653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  <x:c r="AA653" s="53"/>
      <x:c r="AB653" s="53"/>
      <x:c r="AC653" s="53"/>
      <x:c r="AD653" s="53"/>
      <x:c r="AE653" s="53"/>
      <x:c r="AF653" s="53"/>
    </x:row>
    <x:row r="654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  <x:c r="AA654" s="53"/>
      <x:c r="AB654" s="53"/>
      <x:c r="AC654" s="53"/>
      <x:c r="AD654" s="53"/>
      <x:c r="AE654" s="53"/>
      <x:c r="AF654" s="53"/>
    </x:row>
    <x:row r="655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  <x:c r="AA655" s="53"/>
      <x:c r="AB655" s="53"/>
      <x:c r="AC655" s="53"/>
      <x:c r="AD655" s="53"/>
      <x:c r="AE655" s="53"/>
      <x:c r="AF655" s="53"/>
    </x:row>
    <x:row r="65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  <x:c r="AA656" s="53"/>
      <x:c r="AB656" s="53"/>
      <x:c r="AC656" s="53"/>
      <x:c r="AD656" s="53"/>
      <x:c r="AE656" s="53"/>
      <x:c r="AF656" s="53"/>
    </x:row>
    <x:row r="657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  <x:c r="AA657" s="53"/>
      <x:c r="AB657" s="53"/>
      <x:c r="AC657" s="53"/>
      <x:c r="AD657" s="53"/>
      <x:c r="AE657" s="53"/>
      <x:c r="AF657" s="53"/>
    </x:row>
    <x:row r="658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  <x:c r="AA658" s="53"/>
      <x:c r="AB658" s="53"/>
      <x:c r="AC658" s="53"/>
      <x:c r="AD658" s="53"/>
      <x:c r="AE658" s="53"/>
      <x:c r="AF658" s="53"/>
    </x:row>
    <x:row r="659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  <x:c r="AA659" s="53"/>
      <x:c r="AB659" s="53"/>
      <x:c r="AC659" s="53"/>
      <x:c r="AD659" s="53"/>
      <x:c r="AE659" s="53"/>
      <x:c r="AF659" s="53"/>
    </x:row>
    <x:row r="660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  <x:c r="AA660" s="53"/>
      <x:c r="AB660" s="53"/>
      <x:c r="AC660" s="53"/>
      <x:c r="AD660" s="53"/>
      <x:c r="AE660" s="53"/>
      <x:c r="AF660" s="53"/>
    </x:row>
    <x:row r="661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  <x:c r="AA661" s="53"/>
      <x:c r="AB661" s="53"/>
      <x:c r="AC661" s="53"/>
      <x:c r="AD661" s="53"/>
      <x:c r="AE661" s="53"/>
      <x:c r="AF661" s="53"/>
    </x:row>
    <x:row r="662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  <x:c r="AA662" s="53"/>
      <x:c r="AB662" s="53"/>
      <x:c r="AC662" s="53"/>
      <x:c r="AD662" s="53"/>
      <x:c r="AE662" s="53"/>
      <x:c r="AF662" s="53"/>
    </x:row>
    <x:row r="663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  <x:c r="AA663" s="53"/>
      <x:c r="AB663" s="53"/>
      <x:c r="AC663" s="53"/>
      <x:c r="AD663" s="53"/>
      <x:c r="AE663" s="53"/>
      <x:c r="AF663" s="53"/>
    </x:row>
    <x:row r="664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  <x:c r="AA664" s="53"/>
      <x:c r="AB664" s="53"/>
      <x:c r="AC664" s="53"/>
      <x:c r="AD664" s="53"/>
      <x:c r="AE664" s="53"/>
      <x:c r="AF664" s="53"/>
    </x:row>
    <x:row r="665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  <x:c r="AA665" s="53"/>
      <x:c r="AB665" s="53"/>
      <x:c r="AC665" s="53"/>
      <x:c r="AD665" s="53"/>
      <x:c r="AE665" s="53"/>
      <x:c r="AF665" s="53"/>
    </x:row>
    <x:row r="66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  <x:c r="AA666" s="53"/>
      <x:c r="AB666" s="53"/>
      <x:c r="AC666" s="53"/>
      <x:c r="AD666" s="53"/>
      <x:c r="AE666" s="53"/>
      <x:c r="AF666" s="53"/>
    </x:row>
    <x:row r="667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  <x:c r="AA667" s="53"/>
      <x:c r="AB667" s="53"/>
      <x:c r="AC667" s="53"/>
      <x:c r="AD667" s="53"/>
      <x:c r="AE667" s="53"/>
      <x:c r="AF667" s="53"/>
    </x:row>
    <x:row r="668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  <x:c r="AA668" s="53"/>
      <x:c r="AB668" s="53"/>
      <x:c r="AC668" s="53"/>
      <x:c r="AD668" s="53"/>
      <x:c r="AE668" s="53"/>
      <x:c r="AF668" s="53"/>
    </x:row>
    <x:row r="669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  <x:c r="AA669" s="53"/>
      <x:c r="AB669" s="53"/>
      <x:c r="AC669" s="53"/>
      <x:c r="AD669" s="53"/>
      <x:c r="AE669" s="53"/>
      <x:c r="AF669" s="53"/>
    </x:row>
    <x:row r="670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  <x:c r="AA670" s="53"/>
      <x:c r="AB670" s="53"/>
      <x:c r="AC670" s="53"/>
      <x:c r="AD670" s="53"/>
      <x:c r="AE670" s="53"/>
      <x:c r="AF670" s="53"/>
    </x:row>
    <x:row r="671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  <x:c r="AA671" s="53"/>
      <x:c r="AB671" s="53"/>
      <x:c r="AC671" s="53"/>
      <x:c r="AD671" s="53"/>
      <x:c r="AE671" s="53"/>
      <x:c r="AF671" s="53"/>
    </x:row>
    <x:row r="672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  <x:c r="AA672" s="53"/>
      <x:c r="AB672" s="53"/>
      <x:c r="AC672" s="53"/>
      <x:c r="AD672" s="53"/>
      <x:c r="AE672" s="53"/>
      <x:c r="AF672" s="53"/>
    </x:row>
    <x:row r="673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  <x:c r="AA673" s="53"/>
      <x:c r="AB673" s="53"/>
      <x:c r="AC673" s="53"/>
      <x:c r="AD673" s="53"/>
      <x:c r="AE673" s="53"/>
      <x:c r="AF673" s="53"/>
    </x:row>
    <x:row r="674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  <x:c r="AA674" s="53"/>
      <x:c r="AB674" s="53"/>
      <x:c r="AC674" s="53"/>
      <x:c r="AD674" s="53"/>
      <x:c r="AE674" s="53"/>
      <x:c r="AF674" s="53"/>
    </x:row>
    <x:row r="675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  <x:c r="AA675" s="53"/>
      <x:c r="AB675" s="53"/>
      <x:c r="AC675" s="53"/>
      <x:c r="AD675" s="53"/>
      <x:c r="AE675" s="53"/>
      <x:c r="AF675" s="53"/>
    </x:row>
    <x:row r="67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  <x:c r="AA676" s="53"/>
      <x:c r="AB676" s="53"/>
      <x:c r="AC676" s="53"/>
      <x:c r="AD676" s="53"/>
      <x:c r="AE676" s="53"/>
      <x:c r="AF676" s="53"/>
    </x:row>
    <x:row r="677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  <x:c r="AA677" s="53"/>
      <x:c r="AB677" s="53"/>
      <x:c r="AC677" s="53"/>
      <x:c r="AD677" s="53"/>
      <x:c r="AE677" s="53"/>
      <x:c r="AF677" s="53"/>
    </x:row>
    <x:row r="678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  <x:c r="AA678" s="53"/>
      <x:c r="AB678" s="53"/>
      <x:c r="AC678" s="53"/>
      <x:c r="AD678" s="53"/>
      <x:c r="AE678" s="53"/>
      <x:c r="AF678" s="53"/>
    </x:row>
    <x:row r="679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  <x:c r="AA679" s="53"/>
      <x:c r="AB679" s="53"/>
      <x:c r="AC679" s="53"/>
      <x:c r="AD679" s="53"/>
      <x:c r="AE679" s="53"/>
      <x:c r="AF679" s="53"/>
    </x:row>
    <x:row r="680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  <x:c r="AA680" s="53"/>
      <x:c r="AB680" s="53"/>
      <x:c r="AC680" s="53"/>
      <x:c r="AD680" s="53"/>
      <x:c r="AE680" s="53"/>
      <x:c r="AF680" s="53"/>
    </x:row>
    <x:row r="681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  <x:c r="AA681" s="53"/>
      <x:c r="AB681" s="53"/>
      <x:c r="AC681" s="53"/>
      <x:c r="AD681" s="53"/>
      <x:c r="AE681" s="53"/>
      <x:c r="AF681" s="53"/>
    </x:row>
    <x:row r="682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  <x:c r="AA682" s="53"/>
      <x:c r="AB682" s="53"/>
      <x:c r="AC682" s="53"/>
      <x:c r="AD682" s="53"/>
      <x:c r="AE682" s="53"/>
      <x:c r="AF682" s="53"/>
    </x:row>
    <x:row r="683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  <x:c r="AA683" s="53"/>
      <x:c r="AB683" s="53"/>
      <x:c r="AC683" s="53"/>
      <x:c r="AD683" s="53"/>
      <x:c r="AE683" s="53"/>
      <x:c r="AF683" s="53"/>
    </x:row>
    <x:row r="684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  <x:c r="AA684" s="53"/>
      <x:c r="AB684" s="53"/>
      <x:c r="AC684" s="53"/>
      <x:c r="AD684" s="53"/>
      <x:c r="AE684" s="53"/>
      <x:c r="AF684" s="53"/>
    </x:row>
    <x:row r="685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  <x:c r="AA685" s="53"/>
      <x:c r="AB685" s="53"/>
      <x:c r="AC685" s="53"/>
      <x:c r="AD685" s="53"/>
      <x:c r="AE685" s="53"/>
      <x:c r="AF685" s="53"/>
    </x:row>
    <x:row r="68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  <x:c r="AA686" s="53"/>
      <x:c r="AB686" s="53"/>
      <x:c r="AC686" s="53"/>
      <x:c r="AD686" s="53"/>
      <x:c r="AE686" s="53"/>
      <x:c r="AF686" s="53"/>
    </x:row>
    <x:row r="687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  <x:c r="AA687" s="53"/>
      <x:c r="AB687" s="53"/>
      <x:c r="AC687" s="53"/>
      <x:c r="AD687" s="53"/>
      <x:c r="AE687" s="53"/>
      <x:c r="AF687" s="53"/>
    </x:row>
    <x:row r="688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  <x:c r="AA688" s="53"/>
      <x:c r="AB688" s="53"/>
      <x:c r="AC688" s="53"/>
      <x:c r="AD688" s="53"/>
      <x:c r="AE688" s="53"/>
      <x:c r="AF688" s="53"/>
    </x:row>
    <x:row r="689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  <x:c r="AA689" s="53"/>
      <x:c r="AB689" s="53"/>
      <x:c r="AC689" s="53"/>
      <x:c r="AD689" s="53"/>
      <x:c r="AE689" s="53"/>
      <x:c r="AF689" s="53"/>
    </x:row>
    <x:row r="690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  <x:c r="AA690" s="53"/>
      <x:c r="AB690" s="53"/>
      <x:c r="AC690" s="53"/>
      <x:c r="AD690" s="53"/>
      <x:c r="AE690" s="53"/>
      <x:c r="AF690" s="53"/>
    </x:row>
    <x:row r="691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  <x:c r="AA691" s="53"/>
      <x:c r="AB691" s="53"/>
      <x:c r="AC691" s="53"/>
      <x:c r="AD691" s="53"/>
      <x:c r="AE691" s="53"/>
      <x:c r="AF691" s="53"/>
    </x:row>
    <x:row r="692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  <x:c r="AA692" s="53"/>
      <x:c r="AB692" s="53"/>
      <x:c r="AC692" s="53"/>
      <x:c r="AD692" s="53"/>
      <x:c r="AE692" s="53"/>
      <x:c r="AF692" s="53"/>
    </x:row>
    <x:row r="693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  <x:c r="AA693" s="53"/>
      <x:c r="AB693" s="53"/>
      <x:c r="AC693" s="53"/>
      <x:c r="AD693" s="53"/>
      <x:c r="AE693" s="53"/>
      <x:c r="AF693" s="53"/>
    </x:row>
    <x:row r="694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  <x:c r="AA694" s="53"/>
      <x:c r="AB694" s="53"/>
      <x:c r="AC694" s="53"/>
      <x:c r="AD694" s="53"/>
      <x:c r="AE694" s="53"/>
      <x:c r="AF694" s="53"/>
    </x:row>
    <x:row r="695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  <x:c r="AA695" s="53"/>
      <x:c r="AB695" s="53"/>
      <x:c r="AC695" s="53"/>
      <x:c r="AD695" s="53"/>
      <x:c r="AE695" s="53"/>
      <x:c r="AF695" s="53"/>
    </x:row>
    <x:row r="69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  <x:c r="AA696" s="53"/>
      <x:c r="AB696" s="53"/>
      <x:c r="AC696" s="53"/>
      <x:c r="AD696" s="53"/>
      <x:c r="AE696" s="53"/>
      <x:c r="AF696" s="53"/>
    </x:row>
    <x:row r="697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  <x:c r="AA697" s="53"/>
      <x:c r="AB697" s="53"/>
      <x:c r="AC697" s="53"/>
      <x:c r="AD697" s="53"/>
      <x:c r="AE697" s="53"/>
      <x:c r="AF697" s="53"/>
    </x:row>
    <x:row r="698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  <x:c r="AA698" s="53"/>
      <x:c r="AB698" s="53"/>
      <x:c r="AC698" s="53"/>
      <x:c r="AD698" s="53"/>
      <x:c r="AE698" s="53"/>
      <x:c r="AF698" s="53"/>
    </x:row>
    <x:row r="699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  <x:c r="AA699" s="53"/>
      <x:c r="AB699" s="53"/>
      <x:c r="AC699" s="53"/>
      <x:c r="AD699" s="53"/>
      <x:c r="AE699" s="53"/>
      <x:c r="AF699" s="53"/>
    </x:row>
    <x:row r="700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  <x:c r="AA700" s="53"/>
      <x:c r="AB700" s="53"/>
      <x:c r="AC700" s="53"/>
      <x:c r="AD700" s="53"/>
      <x:c r="AE700" s="53"/>
      <x:c r="AF700" s="53"/>
    </x:row>
    <x:row r="701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  <x:c r="AA701" s="53"/>
      <x:c r="AB701" s="53"/>
      <x:c r="AC701" s="53"/>
      <x:c r="AD701" s="53"/>
      <x:c r="AE701" s="53"/>
      <x:c r="AF701" s="53"/>
    </x:row>
    <x:row r="702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  <x:c r="AA702" s="53"/>
      <x:c r="AB702" s="53"/>
      <x:c r="AC702" s="53"/>
      <x:c r="AD702" s="53"/>
      <x:c r="AE702" s="53"/>
      <x:c r="AF702" s="53"/>
    </x:row>
    <x:row r="703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  <x:c r="AA703" s="53"/>
      <x:c r="AB703" s="53"/>
      <x:c r="AC703" s="53"/>
      <x:c r="AD703" s="53"/>
      <x:c r="AE703" s="53"/>
      <x:c r="AF703" s="53"/>
    </x:row>
    <x:row r="704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  <x:c r="AA704" s="53"/>
      <x:c r="AB704" s="53"/>
      <x:c r="AC704" s="53"/>
      <x:c r="AD704" s="53"/>
      <x:c r="AE704" s="53"/>
      <x:c r="AF704" s="53"/>
    </x:row>
    <x:row r="705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  <x:c r="AA705" s="53"/>
      <x:c r="AB705" s="53"/>
      <x:c r="AC705" s="53"/>
      <x:c r="AD705" s="53"/>
      <x:c r="AE705" s="53"/>
      <x:c r="AF705" s="53"/>
    </x:row>
    <x:row r="70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  <x:c r="AA706" s="53"/>
      <x:c r="AB706" s="53"/>
      <x:c r="AC706" s="53"/>
      <x:c r="AD706" s="53"/>
      <x:c r="AE706" s="53"/>
      <x:c r="AF706" s="53"/>
    </x:row>
    <x:row r="707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  <x:c r="AA707" s="53"/>
      <x:c r="AB707" s="53"/>
      <x:c r="AC707" s="53"/>
      <x:c r="AD707" s="53"/>
      <x:c r="AE707" s="53"/>
      <x:c r="AF707" s="53"/>
    </x:row>
    <x:row r="708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  <x:c r="AA708" s="53"/>
      <x:c r="AB708" s="53"/>
      <x:c r="AC708" s="53"/>
      <x:c r="AD708" s="53"/>
      <x:c r="AE708" s="53"/>
      <x:c r="AF708" s="53"/>
    </x:row>
    <x:row r="709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  <x:c r="AA709" s="53"/>
      <x:c r="AB709" s="53"/>
      <x:c r="AC709" s="53"/>
      <x:c r="AD709" s="53"/>
      <x:c r="AE709" s="53"/>
      <x:c r="AF709" s="53"/>
    </x:row>
    <x:row r="710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  <x:c r="AA710" s="53"/>
      <x:c r="AB710" s="53"/>
      <x:c r="AC710" s="53"/>
      <x:c r="AD710" s="53"/>
      <x:c r="AE710" s="53"/>
      <x:c r="AF710" s="53"/>
    </x:row>
    <x:row r="711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  <x:c r="AA711" s="53"/>
      <x:c r="AB711" s="53"/>
      <x:c r="AC711" s="53"/>
      <x:c r="AD711" s="53"/>
      <x:c r="AE711" s="53"/>
      <x:c r="AF711" s="53"/>
    </x:row>
    <x:row r="712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  <x:c r="AA712" s="53"/>
      <x:c r="AB712" s="53"/>
      <x:c r="AC712" s="53"/>
      <x:c r="AD712" s="53"/>
      <x:c r="AE712" s="53"/>
      <x:c r="AF712" s="53"/>
    </x:row>
    <x:row r="713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  <x:c r="AA713" s="53"/>
      <x:c r="AB713" s="53"/>
      <x:c r="AC713" s="53"/>
      <x:c r="AD713" s="53"/>
      <x:c r="AE713" s="53"/>
      <x:c r="AF713" s="53"/>
    </x:row>
    <x:row r="714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  <x:c r="AA714" s="53"/>
      <x:c r="AB714" s="53"/>
      <x:c r="AC714" s="53"/>
      <x:c r="AD714" s="53"/>
      <x:c r="AE714" s="53"/>
      <x:c r="AF714" s="53"/>
    </x:row>
    <x:row r="715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  <x:c r="AA715" s="53"/>
      <x:c r="AB715" s="53"/>
      <x:c r="AC715" s="53"/>
      <x:c r="AD715" s="53"/>
      <x:c r="AE715" s="53"/>
      <x:c r="AF715" s="53"/>
    </x:row>
    <x:row r="71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  <x:c r="AA716" s="53"/>
      <x:c r="AB716" s="53"/>
      <x:c r="AC716" s="53"/>
      <x:c r="AD716" s="53"/>
      <x:c r="AE716" s="53"/>
      <x:c r="AF716" s="53"/>
    </x:row>
    <x:row r="717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  <x:c r="AA717" s="53"/>
      <x:c r="AB717" s="53"/>
      <x:c r="AC717" s="53"/>
      <x:c r="AD717" s="53"/>
      <x:c r="AE717" s="53"/>
      <x:c r="AF717" s="53"/>
    </x:row>
    <x:row r="718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  <x:c r="AA718" s="53"/>
      <x:c r="AB718" s="53"/>
      <x:c r="AC718" s="53"/>
      <x:c r="AD718" s="53"/>
      <x:c r="AE718" s="53"/>
      <x:c r="AF718" s="53"/>
    </x:row>
    <x:row r="719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  <x:c r="AA719" s="53"/>
      <x:c r="AB719" s="53"/>
      <x:c r="AC719" s="53"/>
      <x:c r="AD719" s="53"/>
      <x:c r="AE719" s="53"/>
      <x:c r="AF719" s="53"/>
    </x:row>
    <x:row r="720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  <x:c r="AA720" s="53"/>
      <x:c r="AB720" s="53"/>
      <x:c r="AC720" s="53"/>
      <x:c r="AD720" s="53"/>
      <x:c r="AE720" s="53"/>
      <x:c r="AF720" s="53"/>
    </x:row>
    <x:row r="721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  <x:c r="AA721" s="53"/>
      <x:c r="AB721" s="53"/>
      <x:c r="AC721" s="53"/>
      <x:c r="AD721" s="53"/>
      <x:c r="AE721" s="53"/>
      <x:c r="AF721" s="53"/>
    </x:row>
    <x:row r="722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  <x:c r="AA722" s="53"/>
      <x:c r="AB722" s="53"/>
      <x:c r="AC722" s="53"/>
      <x:c r="AD722" s="53"/>
      <x:c r="AE722" s="53"/>
      <x:c r="AF722" s="53"/>
    </x:row>
    <x:row r="723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  <x:c r="AA723" s="53"/>
      <x:c r="AB723" s="53"/>
      <x:c r="AC723" s="53"/>
      <x:c r="AD723" s="53"/>
      <x:c r="AE723" s="53"/>
      <x:c r="AF723" s="53"/>
    </x:row>
    <x:row r="724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  <x:c r="AA724" s="53"/>
      <x:c r="AB724" s="53"/>
      <x:c r="AC724" s="53"/>
      <x:c r="AD724" s="53"/>
      <x:c r="AE724" s="53"/>
      <x:c r="AF724" s="53"/>
    </x:row>
    <x:row r="725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  <x:c r="AA725" s="53"/>
      <x:c r="AB725" s="53"/>
      <x:c r="AC725" s="53"/>
      <x:c r="AD725" s="53"/>
      <x:c r="AE725" s="53"/>
      <x:c r="AF725" s="53"/>
    </x:row>
    <x:row r="72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  <x:c r="AA726" s="53"/>
      <x:c r="AB726" s="53"/>
      <x:c r="AC726" s="53"/>
      <x:c r="AD726" s="53"/>
      <x:c r="AE726" s="53"/>
      <x:c r="AF726" s="53"/>
    </x:row>
    <x:row r="727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  <x:c r="AA727" s="53"/>
      <x:c r="AB727" s="53"/>
      <x:c r="AC727" s="53"/>
      <x:c r="AD727" s="53"/>
      <x:c r="AE727" s="53"/>
      <x:c r="AF727" s="53"/>
    </x:row>
    <x:row r="728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  <x:c r="AA728" s="53"/>
      <x:c r="AB728" s="53"/>
      <x:c r="AC728" s="53"/>
      <x:c r="AD728" s="53"/>
      <x:c r="AE728" s="53"/>
      <x:c r="AF728" s="53"/>
    </x:row>
    <x:row r="729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  <x:c r="AA729" s="53"/>
      <x:c r="AB729" s="53"/>
      <x:c r="AC729" s="53"/>
      <x:c r="AD729" s="53"/>
      <x:c r="AE729" s="53"/>
      <x:c r="AF729" s="53"/>
    </x:row>
    <x:row r="730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  <x:c r="AA730" s="53"/>
      <x:c r="AB730" s="53"/>
      <x:c r="AC730" s="53"/>
      <x:c r="AD730" s="53"/>
      <x:c r="AE730" s="53"/>
      <x:c r="AF730" s="53"/>
    </x:row>
    <x:row r="731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  <x:c r="AA731" s="53"/>
      <x:c r="AB731" s="53"/>
      <x:c r="AC731" s="53"/>
      <x:c r="AD731" s="53"/>
      <x:c r="AE731" s="53"/>
      <x:c r="AF731" s="53"/>
    </x:row>
    <x:row r="732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  <x:c r="AA732" s="53"/>
      <x:c r="AB732" s="53"/>
      <x:c r="AC732" s="53"/>
      <x:c r="AD732" s="53"/>
      <x:c r="AE732" s="53"/>
      <x:c r="AF732" s="53"/>
    </x:row>
    <x:row r="733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  <x:c r="AA733" s="53"/>
      <x:c r="AB733" s="53"/>
      <x:c r="AC733" s="53"/>
      <x:c r="AD733" s="53"/>
      <x:c r="AE733" s="53"/>
      <x:c r="AF733" s="53"/>
    </x:row>
    <x:row r="734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  <x:c r="AA734" s="53"/>
      <x:c r="AB734" s="53"/>
      <x:c r="AC734" s="53"/>
      <x:c r="AD734" s="53"/>
      <x:c r="AE734" s="53"/>
      <x:c r="AF734" s="53"/>
    </x:row>
    <x:row r="735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  <x:c r="AA735" s="53"/>
      <x:c r="AB735" s="53"/>
      <x:c r="AC735" s="53"/>
      <x:c r="AD735" s="53"/>
      <x:c r="AE735" s="53"/>
      <x:c r="AF735" s="53"/>
    </x:row>
    <x:row r="73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  <x:c r="AA736" s="53"/>
      <x:c r="AB736" s="53"/>
      <x:c r="AC736" s="53"/>
      <x:c r="AD736" s="53"/>
      <x:c r="AE736" s="53"/>
      <x:c r="AF736" s="53"/>
    </x:row>
    <x:row r="737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  <x:c r="AA737" s="53"/>
      <x:c r="AB737" s="53"/>
      <x:c r="AC737" s="53"/>
      <x:c r="AD737" s="53"/>
      <x:c r="AE737" s="53"/>
      <x:c r="AF737" s="53"/>
    </x:row>
    <x:row r="738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  <x:c r="AA738" s="53"/>
      <x:c r="AB738" s="53"/>
      <x:c r="AC738" s="53"/>
      <x:c r="AD738" s="53"/>
      <x:c r="AE738" s="53"/>
      <x:c r="AF738" s="53"/>
    </x:row>
    <x:row r="739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  <x:c r="AA739" s="53"/>
      <x:c r="AB739" s="53"/>
      <x:c r="AC739" s="53"/>
      <x:c r="AD739" s="53"/>
      <x:c r="AE739" s="53"/>
      <x:c r="AF739" s="53"/>
    </x:row>
    <x:row r="740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  <x:c r="AA740" s="53"/>
      <x:c r="AB740" s="53"/>
      <x:c r="AC740" s="53"/>
      <x:c r="AD740" s="53"/>
      <x:c r="AE740" s="53"/>
      <x:c r="AF740" s="53"/>
    </x:row>
    <x:row r="741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  <x:c r="AA741" s="53"/>
      <x:c r="AB741" s="53"/>
      <x:c r="AC741" s="53"/>
      <x:c r="AD741" s="53"/>
      <x:c r="AE741" s="53"/>
      <x:c r="AF741" s="53"/>
    </x:row>
    <x:row r="742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  <x:c r="AA742" s="53"/>
      <x:c r="AB742" s="53"/>
      <x:c r="AC742" s="53"/>
      <x:c r="AD742" s="53"/>
      <x:c r="AE742" s="53"/>
      <x:c r="AF742" s="53"/>
    </x:row>
    <x:row r="743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  <x:c r="AA743" s="53"/>
      <x:c r="AB743" s="53"/>
      <x:c r="AC743" s="53"/>
      <x:c r="AD743" s="53"/>
      <x:c r="AE743" s="53"/>
      <x:c r="AF743" s="53"/>
    </x:row>
    <x:row r="744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  <x:c r="AA744" s="53"/>
      <x:c r="AB744" s="53"/>
      <x:c r="AC744" s="53"/>
      <x:c r="AD744" s="53"/>
      <x:c r="AE744" s="53"/>
      <x:c r="AF744" s="53"/>
    </x:row>
    <x:row r="745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  <x:c r="AA745" s="53"/>
      <x:c r="AB745" s="53"/>
      <x:c r="AC745" s="53"/>
      <x:c r="AD745" s="53"/>
      <x:c r="AE745" s="53"/>
      <x:c r="AF745" s="53"/>
    </x:row>
    <x:row r="7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  <x:c r="AA746" s="53"/>
      <x:c r="AB746" s="53"/>
      <x:c r="AC746" s="53"/>
      <x:c r="AD746" s="53"/>
      <x:c r="AE746" s="53"/>
      <x:c r="AF746" s="53"/>
    </x:row>
    <x:row r="747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  <x:c r="AA747" s="53"/>
      <x:c r="AB747" s="53"/>
      <x:c r="AC747" s="53"/>
      <x:c r="AD747" s="53"/>
      <x:c r="AE747" s="53"/>
      <x:c r="AF747" s="53"/>
    </x:row>
    <x:row r="748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  <x:c r="AA748" s="53"/>
      <x:c r="AB748" s="53"/>
      <x:c r="AC748" s="53"/>
      <x:c r="AD748" s="53"/>
      <x:c r="AE748" s="53"/>
      <x:c r="AF748" s="53"/>
    </x:row>
    <x:row r="749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  <x:c r="AA749" s="53"/>
      <x:c r="AB749" s="53"/>
      <x:c r="AC749" s="53"/>
      <x:c r="AD749" s="53"/>
      <x:c r="AE749" s="53"/>
      <x:c r="AF749" s="53"/>
    </x:row>
    <x:row r="750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  <x:c r="AA750" s="53"/>
      <x:c r="AB750" s="53"/>
      <x:c r="AC750" s="53"/>
      <x:c r="AD750" s="53"/>
      <x:c r="AE750" s="53"/>
      <x:c r="AF750" s="53"/>
    </x:row>
    <x:row r="751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  <x:c r="AA751" s="53"/>
      <x:c r="AB751" s="53"/>
      <x:c r="AC751" s="53"/>
      <x:c r="AD751" s="53"/>
      <x:c r="AE751" s="53"/>
      <x:c r="AF751" s="53"/>
    </x:row>
    <x:row r="752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  <x:c r="AA752" s="53"/>
      <x:c r="AB752" s="53"/>
      <x:c r="AC752" s="53"/>
      <x:c r="AD752" s="53"/>
      <x:c r="AE752" s="53"/>
      <x:c r="AF752" s="53"/>
    </x:row>
    <x:row r="753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  <x:c r="AA753" s="53"/>
      <x:c r="AB753" s="53"/>
      <x:c r="AC753" s="53"/>
      <x:c r="AD753" s="53"/>
      <x:c r="AE753" s="53"/>
      <x:c r="AF753" s="53"/>
    </x:row>
    <x:row r="754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  <x:c r="AA754" s="53"/>
      <x:c r="AB754" s="53"/>
      <x:c r="AC754" s="53"/>
      <x:c r="AD754" s="53"/>
      <x:c r="AE754" s="53"/>
      <x:c r="AF754" s="53"/>
    </x:row>
    <x:row r="755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  <x:c r="AA755" s="53"/>
      <x:c r="AB755" s="53"/>
      <x:c r="AC755" s="53"/>
      <x:c r="AD755" s="53"/>
      <x:c r="AE755" s="53"/>
      <x:c r="AF755" s="53"/>
    </x:row>
    <x:row r="75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  <x:c r="AA756" s="53"/>
      <x:c r="AB756" s="53"/>
      <x:c r="AC756" s="53"/>
      <x:c r="AD756" s="53"/>
      <x:c r="AE756" s="53"/>
      <x:c r="AF756" s="53"/>
    </x:row>
    <x:row r="757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  <x:c r="AA757" s="53"/>
      <x:c r="AB757" s="53"/>
      <x:c r="AC757" s="53"/>
      <x:c r="AD757" s="53"/>
      <x:c r="AE757" s="53"/>
      <x:c r="AF757" s="53"/>
    </x:row>
    <x:row r="758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  <x:c r="AA758" s="53"/>
      <x:c r="AB758" s="53"/>
      <x:c r="AC758" s="53"/>
      <x:c r="AD758" s="53"/>
      <x:c r="AE758" s="53"/>
      <x:c r="AF758" s="53"/>
    </x:row>
    <x:row r="759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  <x:c r="AA759" s="53"/>
      <x:c r="AB759" s="53"/>
      <x:c r="AC759" s="53"/>
      <x:c r="AD759" s="53"/>
      <x:c r="AE759" s="53"/>
      <x:c r="AF759" s="53"/>
    </x:row>
    <x:row r="760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  <x:c r="AA760" s="53"/>
      <x:c r="AB760" s="53"/>
      <x:c r="AC760" s="53"/>
      <x:c r="AD760" s="53"/>
      <x:c r="AE760" s="53"/>
      <x:c r="AF760" s="53"/>
    </x:row>
    <x:row r="761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  <x:c r="AA761" s="53"/>
      <x:c r="AB761" s="53"/>
      <x:c r="AC761" s="53"/>
      <x:c r="AD761" s="53"/>
      <x:c r="AE761" s="53"/>
      <x:c r="AF761" s="53"/>
    </x:row>
    <x:row r="762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  <x:c r="AA762" s="53"/>
      <x:c r="AB762" s="53"/>
      <x:c r="AC762" s="53"/>
      <x:c r="AD762" s="53"/>
      <x:c r="AE762" s="53"/>
      <x:c r="AF762" s="53"/>
    </x:row>
    <x:row r="763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  <x:c r="AA763" s="53"/>
      <x:c r="AB763" s="53"/>
      <x:c r="AC763" s="53"/>
      <x:c r="AD763" s="53"/>
      <x:c r="AE763" s="53"/>
      <x:c r="AF763" s="53"/>
    </x:row>
    <x:row r="764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  <x:c r="AA764" s="53"/>
      <x:c r="AB764" s="53"/>
      <x:c r="AC764" s="53"/>
      <x:c r="AD764" s="53"/>
      <x:c r="AE764" s="53"/>
      <x:c r="AF764" s="53"/>
    </x:row>
    <x:row r="765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  <x:c r="AA765" s="53"/>
      <x:c r="AB765" s="53"/>
      <x:c r="AC765" s="53"/>
      <x:c r="AD765" s="53"/>
      <x:c r="AE765" s="53"/>
      <x:c r="AF765" s="53"/>
    </x:row>
    <x:row r="76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  <x:c r="AA766" s="53"/>
      <x:c r="AB766" s="53"/>
      <x:c r="AC766" s="53"/>
      <x:c r="AD766" s="53"/>
      <x:c r="AE766" s="53"/>
      <x:c r="AF766" s="53"/>
    </x:row>
    <x:row r="767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  <x:c r="AA767" s="53"/>
      <x:c r="AB767" s="53"/>
      <x:c r="AC767" s="53"/>
      <x:c r="AD767" s="53"/>
      <x:c r="AE767" s="53"/>
      <x:c r="AF767" s="53"/>
    </x:row>
    <x:row r="768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  <x:c r="AA768" s="53"/>
      <x:c r="AB768" s="53"/>
      <x:c r="AC768" s="53"/>
      <x:c r="AD768" s="53"/>
      <x:c r="AE768" s="53"/>
      <x:c r="AF768" s="53"/>
    </x:row>
    <x:row r="769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  <x:c r="AA769" s="53"/>
      <x:c r="AB769" s="53"/>
      <x:c r="AC769" s="53"/>
      <x:c r="AD769" s="53"/>
      <x:c r="AE769" s="53"/>
      <x:c r="AF769" s="53"/>
    </x:row>
    <x:row r="770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  <x:c r="AA770" s="53"/>
      <x:c r="AB770" s="53"/>
      <x:c r="AC770" s="53"/>
      <x:c r="AD770" s="53"/>
      <x:c r="AE770" s="53"/>
      <x:c r="AF770" s="53"/>
    </x:row>
    <x:row r="771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  <x:c r="AA771" s="53"/>
      <x:c r="AB771" s="53"/>
      <x:c r="AC771" s="53"/>
      <x:c r="AD771" s="53"/>
      <x:c r="AE771" s="53"/>
      <x:c r="AF771" s="53"/>
    </x:row>
    <x:row r="772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  <x:c r="AA772" s="53"/>
      <x:c r="AB772" s="53"/>
      <x:c r="AC772" s="53"/>
      <x:c r="AD772" s="53"/>
      <x:c r="AE772" s="53"/>
      <x:c r="AF772" s="53"/>
    </x:row>
    <x:row r="773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  <x:c r="AA773" s="53"/>
      <x:c r="AB773" s="53"/>
      <x:c r="AC773" s="53"/>
      <x:c r="AD773" s="53"/>
      <x:c r="AE773" s="53"/>
      <x:c r="AF773" s="53"/>
    </x:row>
    <x:row r="774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  <x:c r="AA774" s="53"/>
      <x:c r="AB774" s="53"/>
      <x:c r="AC774" s="53"/>
      <x:c r="AD774" s="53"/>
      <x:c r="AE774" s="53"/>
      <x:c r="AF774" s="53"/>
    </x:row>
    <x:row r="775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  <x:c r="AA775" s="53"/>
      <x:c r="AB775" s="53"/>
      <x:c r="AC775" s="53"/>
      <x:c r="AD775" s="53"/>
      <x:c r="AE775" s="53"/>
      <x:c r="AF775" s="53"/>
    </x:row>
    <x:row r="77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  <x:c r="AA776" s="53"/>
      <x:c r="AB776" s="53"/>
      <x:c r="AC776" s="53"/>
      <x:c r="AD776" s="53"/>
      <x:c r="AE776" s="53"/>
      <x:c r="AF776" s="53"/>
    </x:row>
    <x:row r="777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  <x:c r="AA777" s="53"/>
      <x:c r="AB777" s="53"/>
      <x:c r="AC777" s="53"/>
      <x:c r="AD777" s="53"/>
      <x:c r="AE777" s="53"/>
      <x:c r="AF777" s="53"/>
    </x:row>
    <x:row r="778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  <x:c r="AA778" s="53"/>
      <x:c r="AB778" s="53"/>
      <x:c r="AC778" s="53"/>
      <x:c r="AD778" s="53"/>
      <x:c r="AE778" s="53"/>
      <x:c r="AF778" s="53"/>
    </x:row>
    <x:row r="779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  <x:c r="AA779" s="53"/>
      <x:c r="AB779" s="53"/>
      <x:c r="AC779" s="53"/>
      <x:c r="AD779" s="53"/>
      <x:c r="AE779" s="53"/>
      <x:c r="AF779" s="53"/>
    </x:row>
    <x:row r="780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  <x:c r="AA780" s="53"/>
      <x:c r="AB780" s="53"/>
      <x:c r="AC780" s="53"/>
      <x:c r="AD780" s="53"/>
      <x:c r="AE780" s="53"/>
      <x:c r="AF780" s="53"/>
    </x:row>
    <x:row r="781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  <x:c r="AA781" s="53"/>
      <x:c r="AB781" s="53"/>
      <x:c r="AC781" s="53"/>
      <x:c r="AD781" s="53"/>
      <x:c r="AE781" s="53"/>
      <x:c r="AF781" s="53"/>
    </x:row>
    <x:row r="782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  <x:c r="AA782" s="53"/>
      <x:c r="AB782" s="53"/>
      <x:c r="AC782" s="53"/>
      <x:c r="AD782" s="53"/>
      <x:c r="AE782" s="53"/>
      <x:c r="AF782" s="53"/>
    </x:row>
    <x:row r="783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  <x:c r="AA783" s="53"/>
      <x:c r="AB783" s="53"/>
      <x:c r="AC783" s="53"/>
      <x:c r="AD783" s="53"/>
      <x:c r="AE783" s="53"/>
      <x:c r="AF783" s="53"/>
    </x:row>
    <x:row r="784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  <x:c r="AA784" s="53"/>
      <x:c r="AB784" s="53"/>
      <x:c r="AC784" s="53"/>
      <x:c r="AD784" s="53"/>
      <x:c r="AE784" s="53"/>
      <x:c r="AF784" s="53"/>
    </x:row>
    <x:row r="785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  <x:c r="AA785" s="53"/>
      <x:c r="AB785" s="53"/>
      <x:c r="AC785" s="53"/>
      <x:c r="AD785" s="53"/>
      <x:c r="AE785" s="53"/>
      <x:c r="AF785" s="53"/>
    </x:row>
    <x:row r="78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  <x:c r="AA786" s="53"/>
      <x:c r="AB786" s="53"/>
      <x:c r="AC786" s="53"/>
      <x:c r="AD786" s="53"/>
      <x:c r="AE786" s="53"/>
      <x:c r="AF786" s="53"/>
    </x:row>
    <x:row r="787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  <x:c r="AA787" s="53"/>
      <x:c r="AB787" s="53"/>
      <x:c r="AC787" s="53"/>
      <x:c r="AD787" s="53"/>
      <x:c r="AE787" s="53"/>
      <x:c r="AF787" s="53"/>
    </x:row>
    <x:row r="788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  <x:c r="AA788" s="53"/>
      <x:c r="AB788" s="53"/>
      <x:c r="AC788" s="53"/>
      <x:c r="AD788" s="53"/>
      <x:c r="AE788" s="53"/>
      <x:c r="AF788" s="53"/>
    </x:row>
    <x:row r="789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  <x:c r="AA789" s="53"/>
      <x:c r="AB789" s="53"/>
      <x:c r="AC789" s="53"/>
      <x:c r="AD789" s="53"/>
      <x:c r="AE789" s="53"/>
      <x:c r="AF789" s="53"/>
    </x:row>
    <x:row r="790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  <x:c r="AA790" s="53"/>
      <x:c r="AB790" s="53"/>
      <x:c r="AC790" s="53"/>
      <x:c r="AD790" s="53"/>
      <x:c r="AE790" s="53"/>
      <x:c r="AF790" s="53"/>
    </x:row>
    <x:row r="791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  <x:c r="AA791" s="53"/>
      <x:c r="AB791" s="53"/>
      <x:c r="AC791" s="53"/>
      <x:c r="AD791" s="53"/>
      <x:c r="AE791" s="53"/>
      <x:c r="AF791" s="53"/>
    </x:row>
    <x:row r="792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  <x:c r="AA792" s="53"/>
      <x:c r="AB792" s="53"/>
      <x:c r="AC792" s="53"/>
      <x:c r="AD792" s="53"/>
      <x:c r="AE792" s="53"/>
      <x:c r="AF792" s="53"/>
    </x:row>
    <x:row r="793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  <x:c r="AA793" s="53"/>
      <x:c r="AB793" s="53"/>
      <x:c r="AC793" s="53"/>
      <x:c r="AD793" s="53"/>
      <x:c r="AE793" s="53"/>
      <x:c r="AF793" s="53"/>
    </x:row>
    <x:row r="794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  <x:c r="AA794" s="53"/>
      <x:c r="AB794" s="53"/>
      <x:c r="AC794" s="53"/>
      <x:c r="AD794" s="53"/>
      <x:c r="AE794" s="53"/>
      <x:c r="AF794" s="53"/>
    </x:row>
    <x:row r="795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  <x:c r="AA795" s="53"/>
      <x:c r="AB795" s="53"/>
      <x:c r="AC795" s="53"/>
      <x:c r="AD795" s="53"/>
      <x:c r="AE795" s="53"/>
      <x:c r="AF795" s="53"/>
    </x:row>
    <x:row r="79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  <x:c r="AA796" s="53"/>
      <x:c r="AB796" s="53"/>
      <x:c r="AC796" s="53"/>
      <x:c r="AD796" s="53"/>
      <x:c r="AE796" s="53"/>
      <x:c r="AF796" s="53"/>
    </x:row>
    <x:row r="797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  <x:c r="AA797" s="53"/>
      <x:c r="AB797" s="53"/>
      <x:c r="AC797" s="53"/>
      <x:c r="AD797" s="53"/>
      <x:c r="AE797" s="53"/>
      <x:c r="AF797" s="53"/>
    </x:row>
    <x:row r="798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  <x:c r="AA798" s="53"/>
      <x:c r="AB798" s="53"/>
      <x:c r="AC798" s="53"/>
      <x:c r="AD798" s="53"/>
      <x:c r="AE798" s="53"/>
      <x:c r="AF798" s="53"/>
    </x:row>
    <x:row r="799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  <x:c r="AA799" s="53"/>
      <x:c r="AB799" s="53"/>
      <x:c r="AC799" s="53"/>
      <x:c r="AD799" s="53"/>
      <x:c r="AE799" s="53"/>
      <x:c r="AF799" s="53"/>
    </x:row>
    <x:row r="800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  <x:c r="AA800" s="53"/>
      <x:c r="AB800" s="53"/>
      <x:c r="AC800" s="53"/>
      <x:c r="AD800" s="53"/>
      <x:c r="AE800" s="53"/>
      <x:c r="AF800" s="53"/>
    </x:row>
    <x:row r="801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  <x:c r="AA801" s="53"/>
      <x:c r="AB801" s="53"/>
      <x:c r="AC801" s="53"/>
      <x:c r="AD801" s="53"/>
      <x:c r="AE801" s="53"/>
      <x:c r="AF801" s="53"/>
    </x:row>
    <x:row r="802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  <x:c r="AA802" s="53"/>
      <x:c r="AB802" s="53"/>
      <x:c r="AC802" s="53"/>
      <x:c r="AD802" s="53"/>
      <x:c r="AE802" s="53"/>
      <x:c r="AF802" s="53"/>
    </x:row>
    <x:row r="803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  <x:c r="AA803" s="53"/>
      <x:c r="AB803" s="53"/>
      <x:c r="AC803" s="53"/>
      <x:c r="AD803" s="53"/>
      <x:c r="AE803" s="53"/>
      <x:c r="AF803" s="53"/>
    </x:row>
    <x:row r="804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  <x:c r="AA804" s="53"/>
      <x:c r="AB804" s="53"/>
      <x:c r="AC804" s="53"/>
      <x:c r="AD804" s="53"/>
      <x:c r="AE804" s="53"/>
      <x:c r="AF804" s="53"/>
    </x:row>
    <x:row r="805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  <x:c r="AA805" s="53"/>
      <x:c r="AB805" s="53"/>
      <x:c r="AC805" s="53"/>
      <x:c r="AD805" s="53"/>
      <x:c r="AE805" s="53"/>
      <x:c r="AF805" s="53"/>
    </x:row>
    <x:row r="80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  <x:c r="AA806" s="53"/>
      <x:c r="AB806" s="53"/>
      <x:c r="AC806" s="53"/>
      <x:c r="AD806" s="53"/>
      <x:c r="AE806" s="53"/>
      <x:c r="AF806" s="53"/>
    </x:row>
    <x:row r="807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  <x:c r="AA807" s="53"/>
      <x:c r="AB807" s="53"/>
      <x:c r="AC807" s="53"/>
      <x:c r="AD807" s="53"/>
      <x:c r="AE807" s="53"/>
      <x:c r="AF807" s="53"/>
    </x:row>
    <x:row r="808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  <x:c r="AA808" s="53"/>
      <x:c r="AB808" s="53"/>
      <x:c r="AC808" s="53"/>
      <x:c r="AD808" s="53"/>
      <x:c r="AE808" s="53"/>
      <x:c r="AF808" s="53"/>
    </x:row>
    <x:row r="809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  <x:c r="AA809" s="53"/>
      <x:c r="AB809" s="53"/>
      <x:c r="AC809" s="53"/>
      <x:c r="AD809" s="53"/>
      <x:c r="AE809" s="53"/>
      <x:c r="AF809" s="53"/>
    </x:row>
    <x:row r="810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  <x:c r="AA810" s="53"/>
      <x:c r="AB810" s="53"/>
      <x:c r="AC810" s="53"/>
      <x:c r="AD810" s="53"/>
      <x:c r="AE810" s="53"/>
      <x:c r="AF810" s="53"/>
    </x:row>
    <x:row r="811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  <x:c r="AA811" s="53"/>
      <x:c r="AB811" s="53"/>
      <x:c r="AC811" s="53"/>
      <x:c r="AD811" s="53"/>
      <x:c r="AE811" s="53"/>
      <x:c r="AF811" s="53"/>
    </x:row>
    <x:row r="812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  <x:c r="AA812" s="53"/>
      <x:c r="AB812" s="53"/>
      <x:c r="AC812" s="53"/>
      <x:c r="AD812" s="53"/>
      <x:c r="AE812" s="53"/>
      <x:c r="AF812" s="53"/>
    </x:row>
    <x:row r="813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  <x:c r="AA813" s="53"/>
      <x:c r="AB813" s="53"/>
      <x:c r="AC813" s="53"/>
      <x:c r="AD813" s="53"/>
      <x:c r="AE813" s="53"/>
      <x:c r="AF813" s="53"/>
    </x:row>
    <x:row r="814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  <x:c r="AA814" s="53"/>
      <x:c r="AB814" s="53"/>
      <x:c r="AC814" s="53"/>
      <x:c r="AD814" s="53"/>
      <x:c r="AE814" s="53"/>
      <x:c r="AF814" s="53"/>
    </x:row>
    <x:row r="815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  <x:c r="AA815" s="53"/>
      <x:c r="AB815" s="53"/>
      <x:c r="AC815" s="53"/>
      <x:c r="AD815" s="53"/>
      <x:c r="AE815" s="53"/>
      <x:c r="AF815" s="53"/>
    </x:row>
    <x:row r="81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  <x:c r="AA816" s="53"/>
      <x:c r="AB816" s="53"/>
      <x:c r="AC816" s="53"/>
      <x:c r="AD816" s="53"/>
      <x:c r="AE816" s="53"/>
      <x:c r="AF816" s="53"/>
    </x:row>
    <x:row r="817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  <x:c r="AA817" s="53"/>
      <x:c r="AB817" s="53"/>
      <x:c r="AC817" s="53"/>
      <x:c r="AD817" s="53"/>
      <x:c r="AE817" s="53"/>
      <x:c r="AF817" s="53"/>
    </x:row>
    <x:row r="818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  <x:c r="AA818" s="53"/>
      <x:c r="AB818" s="53"/>
      <x:c r="AC818" s="53"/>
      <x:c r="AD818" s="53"/>
      <x:c r="AE818" s="53"/>
      <x:c r="AF818" s="53"/>
    </x:row>
    <x:row r="819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  <x:c r="AA819" s="53"/>
      <x:c r="AB819" s="53"/>
      <x:c r="AC819" s="53"/>
      <x:c r="AD819" s="53"/>
      <x:c r="AE819" s="53"/>
      <x:c r="AF819" s="53"/>
    </x:row>
    <x:row r="820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  <x:c r="AA820" s="53"/>
      <x:c r="AB820" s="53"/>
      <x:c r="AC820" s="53"/>
      <x:c r="AD820" s="53"/>
      <x:c r="AE820" s="53"/>
      <x:c r="AF820" s="53"/>
    </x:row>
    <x:row r="821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  <x:c r="AA821" s="53"/>
      <x:c r="AB821" s="53"/>
      <x:c r="AC821" s="53"/>
      <x:c r="AD821" s="53"/>
      <x:c r="AE821" s="53"/>
      <x:c r="AF821" s="53"/>
    </x:row>
    <x:row r="822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  <x:c r="AA822" s="53"/>
      <x:c r="AB822" s="53"/>
      <x:c r="AC822" s="53"/>
      <x:c r="AD822" s="53"/>
      <x:c r="AE822" s="53"/>
      <x:c r="AF822" s="53"/>
    </x:row>
    <x:row r="823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  <x:c r="AA823" s="53"/>
      <x:c r="AB823" s="53"/>
      <x:c r="AC823" s="53"/>
      <x:c r="AD823" s="53"/>
      <x:c r="AE823" s="53"/>
      <x:c r="AF823" s="53"/>
    </x:row>
    <x:row r="824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  <x:c r="AA824" s="53"/>
      <x:c r="AB824" s="53"/>
      <x:c r="AC824" s="53"/>
      <x:c r="AD824" s="53"/>
      <x:c r="AE824" s="53"/>
      <x:c r="AF824" s="53"/>
    </x:row>
    <x:row r="825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  <x:c r="AA825" s="53"/>
      <x:c r="AB825" s="53"/>
      <x:c r="AC825" s="53"/>
      <x:c r="AD825" s="53"/>
      <x:c r="AE825" s="53"/>
      <x:c r="AF825" s="53"/>
    </x:row>
    <x:row r="82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  <x:c r="AA826" s="53"/>
      <x:c r="AB826" s="53"/>
      <x:c r="AC826" s="53"/>
      <x:c r="AD826" s="53"/>
      <x:c r="AE826" s="53"/>
      <x:c r="AF826" s="53"/>
    </x:row>
    <x:row r="827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  <x:c r="AA827" s="53"/>
      <x:c r="AB827" s="53"/>
      <x:c r="AC827" s="53"/>
      <x:c r="AD827" s="53"/>
      <x:c r="AE827" s="53"/>
      <x:c r="AF827" s="53"/>
    </x:row>
    <x:row r="828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  <x:c r="AA828" s="53"/>
      <x:c r="AB828" s="53"/>
      <x:c r="AC828" s="53"/>
      <x:c r="AD828" s="53"/>
      <x:c r="AE828" s="53"/>
      <x:c r="AF828" s="53"/>
    </x:row>
    <x:row r="829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  <x:c r="AA829" s="53"/>
      <x:c r="AB829" s="53"/>
      <x:c r="AC829" s="53"/>
      <x:c r="AD829" s="53"/>
      <x:c r="AE829" s="53"/>
      <x:c r="AF829" s="53"/>
    </x:row>
    <x:row r="830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  <x:c r="AA830" s="53"/>
      <x:c r="AB830" s="53"/>
      <x:c r="AC830" s="53"/>
      <x:c r="AD830" s="53"/>
      <x:c r="AE830" s="53"/>
      <x:c r="AF830" s="53"/>
    </x:row>
    <x:row r="831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  <x:c r="AA831" s="53"/>
      <x:c r="AB831" s="53"/>
      <x:c r="AC831" s="53"/>
      <x:c r="AD831" s="53"/>
      <x:c r="AE831" s="53"/>
      <x:c r="AF831" s="53"/>
    </x:row>
    <x:row r="832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  <x:c r="AA832" s="53"/>
      <x:c r="AB832" s="53"/>
      <x:c r="AC832" s="53"/>
      <x:c r="AD832" s="53"/>
      <x:c r="AE832" s="53"/>
      <x:c r="AF832" s="53"/>
    </x:row>
    <x:row r="833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  <x:c r="AA833" s="53"/>
      <x:c r="AB833" s="53"/>
      <x:c r="AC833" s="53"/>
      <x:c r="AD833" s="53"/>
      <x:c r="AE833" s="53"/>
      <x:c r="AF833" s="53"/>
    </x:row>
    <x:row r="834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  <x:c r="AA834" s="53"/>
      <x:c r="AB834" s="53"/>
      <x:c r="AC834" s="53"/>
      <x:c r="AD834" s="53"/>
      <x:c r="AE834" s="53"/>
      <x:c r="AF834" s="53"/>
    </x:row>
    <x:row r="835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  <x:c r="AA835" s="53"/>
      <x:c r="AB835" s="53"/>
      <x:c r="AC835" s="53"/>
      <x:c r="AD835" s="53"/>
      <x:c r="AE835" s="53"/>
      <x:c r="AF835" s="53"/>
    </x:row>
    <x:row r="83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  <x:c r="AA836" s="53"/>
      <x:c r="AB836" s="53"/>
      <x:c r="AC836" s="53"/>
      <x:c r="AD836" s="53"/>
      <x:c r="AE836" s="53"/>
      <x:c r="AF836" s="53"/>
    </x:row>
    <x:row r="837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  <x:c r="AA837" s="53"/>
      <x:c r="AB837" s="53"/>
      <x:c r="AC837" s="53"/>
      <x:c r="AD837" s="53"/>
      <x:c r="AE837" s="53"/>
      <x:c r="AF837" s="53"/>
    </x:row>
    <x:row r="838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  <x:c r="AA838" s="53"/>
      <x:c r="AB838" s="53"/>
      <x:c r="AC838" s="53"/>
      <x:c r="AD838" s="53"/>
      <x:c r="AE838" s="53"/>
      <x:c r="AF838" s="53"/>
    </x:row>
    <x:row r="839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  <x:c r="AA839" s="53"/>
      <x:c r="AB839" s="53"/>
      <x:c r="AC839" s="53"/>
      <x:c r="AD839" s="53"/>
      <x:c r="AE839" s="53"/>
      <x:c r="AF839" s="53"/>
    </x:row>
    <x:row r="840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  <x:c r="AA840" s="53"/>
      <x:c r="AB840" s="53"/>
      <x:c r="AC840" s="53"/>
      <x:c r="AD840" s="53"/>
      <x:c r="AE840" s="53"/>
      <x:c r="AF840" s="53"/>
    </x:row>
    <x:row r="841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  <x:c r="AA841" s="53"/>
      <x:c r="AB841" s="53"/>
      <x:c r="AC841" s="53"/>
      <x:c r="AD841" s="53"/>
      <x:c r="AE841" s="53"/>
      <x:c r="AF841" s="53"/>
    </x:row>
    <x:row r="842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  <x:c r="AA842" s="53"/>
      <x:c r="AB842" s="53"/>
      <x:c r="AC842" s="53"/>
      <x:c r="AD842" s="53"/>
      <x:c r="AE842" s="53"/>
      <x:c r="AF842" s="53"/>
    </x:row>
    <x:row r="843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  <x:c r="AA843" s="53"/>
      <x:c r="AB843" s="53"/>
      <x:c r="AC843" s="53"/>
      <x:c r="AD843" s="53"/>
      <x:c r="AE843" s="53"/>
      <x:c r="AF843" s="53"/>
    </x:row>
    <x:row r="844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  <x:c r="AA844" s="53"/>
      <x:c r="AB844" s="53"/>
      <x:c r="AC844" s="53"/>
      <x:c r="AD844" s="53"/>
      <x:c r="AE844" s="53"/>
      <x:c r="AF844" s="53"/>
    </x:row>
    <x:row r="845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  <x:c r="AA845" s="53"/>
      <x:c r="AB845" s="53"/>
      <x:c r="AC845" s="53"/>
      <x:c r="AD845" s="53"/>
      <x:c r="AE845" s="53"/>
      <x:c r="AF845" s="53"/>
    </x:row>
    <x:row r="8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  <x:c r="AA846" s="53"/>
      <x:c r="AB846" s="53"/>
      <x:c r="AC846" s="53"/>
      <x:c r="AD846" s="53"/>
      <x:c r="AE846" s="53"/>
      <x:c r="AF846" s="53"/>
    </x:row>
    <x:row r="847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  <x:c r="AA847" s="53"/>
      <x:c r="AB847" s="53"/>
      <x:c r="AC847" s="53"/>
      <x:c r="AD847" s="53"/>
      <x:c r="AE847" s="53"/>
      <x:c r="AF847" s="53"/>
    </x:row>
    <x:row r="848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  <x:c r="AA848" s="53"/>
      <x:c r="AB848" s="53"/>
      <x:c r="AC848" s="53"/>
      <x:c r="AD848" s="53"/>
      <x:c r="AE848" s="53"/>
      <x:c r="AF848" s="53"/>
    </x:row>
    <x:row r="849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  <x:c r="AA849" s="53"/>
      <x:c r="AB849" s="53"/>
      <x:c r="AC849" s="53"/>
      <x:c r="AD849" s="53"/>
      <x:c r="AE849" s="53"/>
      <x:c r="AF849" s="53"/>
    </x:row>
    <x:row r="850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  <x:c r="AA850" s="53"/>
      <x:c r="AB850" s="53"/>
      <x:c r="AC850" s="53"/>
      <x:c r="AD850" s="53"/>
      <x:c r="AE850" s="53"/>
      <x:c r="AF850" s="53"/>
    </x:row>
    <x:row r="851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  <x:c r="AA851" s="53"/>
      <x:c r="AB851" s="53"/>
      <x:c r="AC851" s="53"/>
      <x:c r="AD851" s="53"/>
      <x:c r="AE851" s="53"/>
      <x:c r="AF851" s="53"/>
    </x:row>
    <x:row r="852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  <x:c r="AA852" s="53"/>
      <x:c r="AB852" s="53"/>
      <x:c r="AC852" s="53"/>
      <x:c r="AD852" s="53"/>
      <x:c r="AE852" s="53"/>
      <x:c r="AF852" s="53"/>
    </x:row>
    <x:row r="853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  <x:c r="AA853" s="53"/>
      <x:c r="AB853" s="53"/>
      <x:c r="AC853" s="53"/>
      <x:c r="AD853" s="53"/>
      <x:c r="AE853" s="53"/>
      <x:c r="AF853" s="53"/>
    </x:row>
    <x:row r="854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  <x:c r="AA854" s="53"/>
      <x:c r="AB854" s="53"/>
      <x:c r="AC854" s="53"/>
      <x:c r="AD854" s="53"/>
      <x:c r="AE854" s="53"/>
      <x:c r="AF854" s="53"/>
    </x:row>
    <x:row r="855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  <x:c r="AA855" s="53"/>
      <x:c r="AB855" s="53"/>
      <x:c r="AC855" s="53"/>
      <x:c r="AD855" s="53"/>
      <x:c r="AE855" s="53"/>
      <x:c r="AF855" s="53"/>
    </x:row>
    <x:row r="85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  <x:c r="AA856" s="53"/>
      <x:c r="AB856" s="53"/>
      <x:c r="AC856" s="53"/>
      <x:c r="AD856" s="53"/>
      <x:c r="AE856" s="53"/>
      <x:c r="AF856" s="53"/>
    </x:row>
    <x:row r="857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  <x:c r="AA857" s="53"/>
      <x:c r="AB857" s="53"/>
      <x:c r="AC857" s="53"/>
      <x:c r="AD857" s="53"/>
      <x:c r="AE857" s="53"/>
      <x:c r="AF857" s="53"/>
    </x:row>
    <x:row r="858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  <x:c r="AA858" s="53"/>
      <x:c r="AB858" s="53"/>
      <x:c r="AC858" s="53"/>
      <x:c r="AD858" s="53"/>
      <x:c r="AE858" s="53"/>
      <x:c r="AF858" s="53"/>
    </x:row>
    <x:row r="859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  <x:c r="AA859" s="53"/>
      <x:c r="AB859" s="53"/>
      <x:c r="AC859" s="53"/>
      <x:c r="AD859" s="53"/>
      <x:c r="AE859" s="53"/>
      <x:c r="AF859" s="53"/>
    </x:row>
    <x:row r="860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  <x:c r="AA860" s="53"/>
      <x:c r="AB860" s="53"/>
      <x:c r="AC860" s="53"/>
      <x:c r="AD860" s="53"/>
      <x:c r="AE860" s="53"/>
      <x:c r="AF860" s="53"/>
    </x:row>
    <x:row r="861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  <x:c r="AA861" s="53"/>
      <x:c r="AB861" s="53"/>
      <x:c r="AC861" s="53"/>
      <x:c r="AD861" s="53"/>
      <x:c r="AE861" s="53"/>
      <x:c r="AF861" s="53"/>
    </x:row>
    <x:row r="862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  <x:c r="AA862" s="53"/>
      <x:c r="AB862" s="53"/>
      <x:c r="AC862" s="53"/>
      <x:c r="AD862" s="53"/>
      <x:c r="AE862" s="53"/>
      <x:c r="AF862" s="53"/>
    </x:row>
    <x:row r="863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  <x:c r="AA863" s="53"/>
      <x:c r="AB863" s="53"/>
      <x:c r="AC863" s="53"/>
      <x:c r="AD863" s="53"/>
      <x:c r="AE863" s="53"/>
      <x:c r="AF863" s="53"/>
    </x:row>
    <x:row r="864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  <x:c r="AA864" s="53"/>
      <x:c r="AB864" s="53"/>
      <x:c r="AC864" s="53"/>
      <x:c r="AD864" s="53"/>
      <x:c r="AE864" s="53"/>
      <x:c r="AF864" s="53"/>
    </x:row>
    <x:row r="865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  <x:c r="AA865" s="53"/>
      <x:c r="AB865" s="53"/>
      <x:c r="AC865" s="53"/>
      <x:c r="AD865" s="53"/>
      <x:c r="AE865" s="53"/>
      <x:c r="AF865" s="53"/>
    </x:row>
    <x:row r="86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  <x:c r="AA866" s="53"/>
      <x:c r="AB866" s="53"/>
      <x:c r="AC866" s="53"/>
      <x:c r="AD866" s="53"/>
      <x:c r="AE866" s="53"/>
      <x:c r="AF866" s="53"/>
    </x:row>
    <x:row r="867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  <x:c r="AA867" s="53"/>
      <x:c r="AB867" s="53"/>
      <x:c r="AC867" s="53"/>
      <x:c r="AD867" s="53"/>
      <x:c r="AE867" s="53"/>
      <x:c r="AF867" s="53"/>
    </x:row>
    <x:row r="868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  <x:c r="AA868" s="53"/>
      <x:c r="AB868" s="53"/>
      <x:c r="AC868" s="53"/>
      <x:c r="AD868" s="53"/>
      <x:c r="AE868" s="53"/>
      <x:c r="AF868" s="53"/>
    </x:row>
    <x:row r="869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  <x:c r="AA869" s="53"/>
      <x:c r="AB869" s="53"/>
      <x:c r="AC869" s="53"/>
      <x:c r="AD869" s="53"/>
      <x:c r="AE869" s="53"/>
      <x:c r="AF869" s="53"/>
    </x:row>
    <x:row r="870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  <x:c r="AA870" s="53"/>
      <x:c r="AB870" s="53"/>
      <x:c r="AC870" s="53"/>
      <x:c r="AD870" s="53"/>
      <x:c r="AE870" s="53"/>
      <x:c r="AF870" s="53"/>
    </x:row>
    <x:row r="871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  <x:c r="AA871" s="53"/>
      <x:c r="AB871" s="53"/>
      <x:c r="AC871" s="53"/>
      <x:c r="AD871" s="53"/>
      <x:c r="AE871" s="53"/>
      <x:c r="AF871" s="53"/>
    </x:row>
    <x:row r="872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  <x:c r="AA872" s="53"/>
      <x:c r="AB872" s="53"/>
      <x:c r="AC872" s="53"/>
      <x:c r="AD872" s="53"/>
      <x:c r="AE872" s="53"/>
      <x:c r="AF872" s="53"/>
    </x:row>
    <x:row r="873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  <x:c r="AA873" s="53"/>
      <x:c r="AB873" s="53"/>
      <x:c r="AC873" s="53"/>
      <x:c r="AD873" s="53"/>
      <x:c r="AE873" s="53"/>
      <x:c r="AF873" s="53"/>
    </x:row>
    <x:row r="874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  <x:c r="AA874" s="53"/>
      <x:c r="AB874" s="53"/>
      <x:c r="AC874" s="53"/>
      <x:c r="AD874" s="53"/>
      <x:c r="AE874" s="53"/>
      <x:c r="AF874" s="53"/>
    </x:row>
    <x:row r="875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  <x:c r="AA875" s="53"/>
      <x:c r="AB875" s="53"/>
      <x:c r="AC875" s="53"/>
      <x:c r="AD875" s="53"/>
      <x:c r="AE875" s="53"/>
      <x:c r="AF875" s="53"/>
    </x:row>
    <x:row r="87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  <x:c r="AA876" s="53"/>
      <x:c r="AB876" s="53"/>
      <x:c r="AC876" s="53"/>
      <x:c r="AD876" s="53"/>
      <x:c r="AE876" s="53"/>
      <x:c r="AF876" s="53"/>
    </x:row>
    <x:row r="877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  <x:c r="AA877" s="53"/>
      <x:c r="AB877" s="53"/>
      <x:c r="AC877" s="53"/>
      <x:c r="AD877" s="53"/>
      <x:c r="AE877" s="53"/>
      <x:c r="AF877" s="53"/>
    </x:row>
    <x:row r="878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  <x:c r="AA878" s="53"/>
      <x:c r="AB878" s="53"/>
      <x:c r="AC878" s="53"/>
      <x:c r="AD878" s="53"/>
      <x:c r="AE878" s="53"/>
      <x:c r="AF878" s="53"/>
    </x:row>
    <x:row r="879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  <x:c r="AA879" s="53"/>
      <x:c r="AB879" s="53"/>
      <x:c r="AC879" s="53"/>
      <x:c r="AD879" s="53"/>
      <x:c r="AE879" s="53"/>
      <x:c r="AF879" s="53"/>
    </x:row>
    <x:row r="880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  <x:c r="AA880" s="53"/>
      <x:c r="AB880" s="53"/>
      <x:c r="AC880" s="53"/>
      <x:c r="AD880" s="53"/>
      <x:c r="AE880" s="53"/>
      <x:c r="AF880" s="53"/>
    </x:row>
    <x:row r="881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  <x:c r="AA881" s="53"/>
      <x:c r="AB881" s="53"/>
      <x:c r="AC881" s="53"/>
      <x:c r="AD881" s="53"/>
      <x:c r="AE881" s="53"/>
      <x:c r="AF881" s="53"/>
    </x:row>
    <x:row r="882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  <x:c r="AA882" s="53"/>
      <x:c r="AB882" s="53"/>
      <x:c r="AC882" s="53"/>
      <x:c r="AD882" s="53"/>
      <x:c r="AE882" s="53"/>
      <x:c r="AF882" s="53"/>
    </x:row>
    <x:row r="883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  <x:c r="AA883" s="53"/>
      <x:c r="AB883" s="53"/>
      <x:c r="AC883" s="53"/>
      <x:c r="AD883" s="53"/>
      <x:c r="AE883" s="53"/>
      <x:c r="AF883" s="53"/>
    </x:row>
    <x:row r="884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  <x:c r="AA884" s="53"/>
      <x:c r="AB884" s="53"/>
      <x:c r="AC884" s="53"/>
      <x:c r="AD884" s="53"/>
      <x:c r="AE884" s="53"/>
      <x:c r="AF884" s="53"/>
    </x:row>
    <x:row r="885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  <x:c r="AA885" s="53"/>
      <x:c r="AB885" s="53"/>
      <x:c r="AC885" s="53"/>
      <x:c r="AD885" s="53"/>
      <x:c r="AE885" s="53"/>
      <x:c r="AF885" s="53"/>
    </x:row>
    <x:row r="88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  <x:c r="AA886" s="53"/>
      <x:c r="AB886" s="53"/>
      <x:c r="AC886" s="53"/>
      <x:c r="AD886" s="53"/>
      <x:c r="AE886" s="53"/>
      <x:c r="AF886" s="53"/>
    </x:row>
    <x:row r="887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  <x:c r="AA887" s="53"/>
      <x:c r="AB887" s="53"/>
      <x:c r="AC887" s="53"/>
      <x:c r="AD887" s="53"/>
      <x:c r="AE887" s="53"/>
      <x:c r="AF887" s="53"/>
    </x:row>
    <x:row r="888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  <x:c r="AA888" s="53"/>
      <x:c r="AB888" s="53"/>
      <x:c r="AC888" s="53"/>
      <x:c r="AD888" s="53"/>
      <x:c r="AE888" s="53"/>
      <x:c r="AF888" s="53"/>
    </x:row>
    <x:row r="889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  <x:c r="AA889" s="53"/>
      <x:c r="AB889" s="53"/>
      <x:c r="AC889" s="53"/>
      <x:c r="AD889" s="53"/>
      <x:c r="AE889" s="53"/>
      <x:c r="AF889" s="53"/>
    </x:row>
    <x:row r="890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  <x:c r="AA890" s="53"/>
      <x:c r="AB890" s="53"/>
      <x:c r="AC890" s="53"/>
      <x:c r="AD890" s="53"/>
      <x:c r="AE890" s="53"/>
      <x:c r="AF890" s="53"/>
    </x:row>
    <x:row r="891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  <x:c r="AA891" s="53"/>
      <x:c r="AB891" s="53"/>
      <x:c r="AC891" s="53"/>
      <x:c r="AD891" s="53"/>
      <x:c r="AE891" s="53"/>
      <x:c r="AF891" s="53"/>
    </x:row>
    <x:row r="892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  <x:c r="AA892" s="53"/>
      <x:c r="AB892" s="53"/>
      <x:c r="AC892" s="53"/>
      <x:c r="AD892" s="53"/>
      <x:c r="AE892" s="53"/>
      <x:c r="AF892" s="53"/>
    </x:row>
    <x:row r="893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  <x:c r="AA893" s="53"/>
      <x:c r="AB893" s="53"/>
      <x:c r="AC893" s="53"/>
      <x:c r="AD893" s="53"/>
      <x:c r="AE893" s="53"/>
      <x:c r="AF893" s="53"/>
    </x:row>
    <x:row r="894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  <x:c r="AA894" s="53"/>
      <x:c r="AB894" s="53"/>
      <x:c r="AC894" s="53"/>
      <x:c r="AD894" s="53"/>
      <x:c r="AE894" s="53"/>
      <x:c r="AF894" s="53"/>
    </x:row>
    <x:row r="895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  <x:c r="AA895" s="53"/>
      <x:c r="AB895" s="53"/>
      <x:c r="AC895" s="53"/>
      <x:c r="AD895" s="53"/>
      <x:c r="AE895" s="53"/>
      <x:c r="AF895" s="53"/>
    </x:row>
    <x:row r="89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  <x:c r="AA896" s="53"/>
      <x:c r="AB896" s="53"/>
      <x:c r="AC896" s="53"/>
      <x:c r="AD896" s="53"/>
      <x:c r="AE896" s="53"/>
      <x:c r="AF896" s="53"/>
    </x:row>
    <x:row r="897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  <x:c r="AA897" s="53"/>
      <x:c r="AB897" s="53"/>
      <x:c r="AC897" s="53"/>
      <x:c r="AD897" s="53"/>
      <x:c r="AE897" s="53"/>
      <x:c r="AF897" s="53"/>
    </x:row>
    <x:row r="898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  <x:c r="AA898" s="53"/>
      <x:c r="AB898" s="53"/>
      <x:c r="AC898" s="53"/>
      <x:c r="AD898" s="53"/>
      <x:c r="AE898" s="53"/>
      <x:c r="AF898" s="53"/>
    </x:row>
    <x:row r="899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  <x:c r="AA899" s="53"/>
      <x:c r="AB899" s="53"/>
      <x:c r="AC899" s="53"/>
      <x:c r="AD899" s="53"/>
      <x:c r="AE899" s="53"/>
      <x:c r="AF899" s="53"/>
    </x:row>
    <x:row r="900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  <x:c r="AA900" s="53"/>
      <x:c r="AB900" s="53"/>
      <x:c r="AC900" s="53"/>
      <x:c r="AD900" s="53"/>
      <x:c r="AE900" s="53"/>
      <x:c r="AF900" s="53"/>
    </x:row>
    <x:row r="901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  <x:c r="AA901" s="53"/>
      <x:c r="AB901" s="53"/>
      <x:c r="AC901" s="53"/>
      <x:c r="AD901" s="53"/>
      <x:c r="AE901" s="53"/>
      <x:c r="AF901" s="53"/>
    </x:row>
    <x:row r="902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  <x:c r="AA902" s="53"/>
      <x:c r="AB902" s="53"/>
      <x:c r="AC902" s="53"/>
      <x:c r="AD902" s="53"/>
      <x:c r="AE902" s="53"/>
      <x:c r="AF902" s="53"/>
    </x:row>
    <x:row r="903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  <x:c r="AA903" s="53"/>
      <x:c r="AB903" s="53"/>
      <x:c r="AC903" s="53"/>
      <x:c r="AD903" s="53"/>
      <x:c r="AE903" s="53"/>
      <x:c r="AF903" s="53"/>
    </x:row>
    <x:row r="904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  <x:c r="AA904" s="53"/>
      <x:c r="AB904" s="53"/>
      <x:c r="AC904" s="53"/>
      <x:c r="AD904" s="53"/>
      <x:c r="AE904" s="53"/>
      <x:c r="AF904" s="53"/>
    </x:row>
    <x:row r="905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  <x:c r="AA905" s="53"/>
      <x:c r="AB905" s="53"/>
      <x:c r="AC905" s="53"/>
      <x:c r="AD905" s="53"/>
      <x:c r="AE905" s="53"/>
      <x:c r="AF905" s="53"/>
    </x:row>
    <x:row r="90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  <x:c r="AA906" s="53"/>
      <x:c r="AB906" s="53"/>
      <x:c r="AC906" s="53"/>
      <x:c r="AD906" s="53"/>
      <x:c r="AE906" s="53"/>
      <x:c r="AF906" s="53"/>
    </x:row>
    <x:row r="907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  <x:c r="AA907" s="53"/>
      <x:c r="AB907" s="53"/>
      <x:c r="AC907" s="53"/>
      <x:c r="AD907" s="53"/>
      <x:c r="AE907" s="53"/>
      <x:c r="AF907" s="53"/>
    </x:row>
    <x:row r="908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  <x:c r="AA908" s="53"/>
      <x:c r="AB908" s="53"/>
      <x:c r="AC908" s="53"/>
      <x:c r="AD908" s="53"/>
      <x:c r="AE908" s="53"/>
      <x:c r="AF908" s="53"/>
    </x:row>
    <x:row r="909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  <x:c r="AA909" s="53"/>
      <x:c r="AB909" s="53"/>
      <x:c r="AC909" s="53"/>
      <x:c r="AD909" s="53"/>
      <x:c r="AE909" s="53"/>
      <x:c r="AF909" s="53"/>
    </x:row>
    <x:row r="910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  <x:c r="AA910" s="53"/>
      <x:c r="AB910" s="53"/>
      <x:c r="AC910" s="53"/>
      <x:c r="AD910" s="53"/>
      <x:c r="AE910" s="53"/>
      <x:c r="AF910" s="53"/>
    </x:row>
    <x:row r="911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  <x:c r="AA911" s="53"/>
      <x:c r="AB911" s="53"/>
      <x:c r="AC911" s="53"/>
      <x:c r="AD911" s="53"/>
      <x:c r="AE911" s="53"/>
      <x:c r="AF911" s="53"/>
    </x:row>
    <x:row r="912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  <x:c r="AA912" s="53"/>
      <x:c r="AB912" s="53"/>
      <x:c r="AC912" s="53"/>
      <x:c r="AD912" s="53"/>
      <x:c r="AE912" s="53"/>
      <x:c r="AF912" s="53"/>
    </x:row>
    <x:row r="913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  <x:c r="AA913" s="53"/>
      <x:c r="AB913" s="53"/>
      <x:c r="AC913" s="53"/>
      <x:c r="AD913" s="53"/>
      <x:c r="AE913" s="53"/>
      <x:c r="AF913" s="53"/>
    </x:row>
    <x:row r="914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  <x:c r="AA914" s="53"/>
      <x:c r="AB914" s="53"/>
      <x:c r="AC914" s="53"/>
      <x:c r="AD914" s="53"/>
      <x:c r="AE914" s="53"/>
      <x:c r="AF914" s="53"/>
    </x:row>
    <x:row r="915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  <x:c r="AA915" s="53"/>
      <x:c r="AB915" s="53"/>
      <x:c r="AC915" s="53"/>
      <x:c r="AD915" s="53"/>
      <x:c r="AE915" s="53"/>
      <x:c r="AF915" s="53"/>
    </x:row>
    <x:row r="91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  <x:c r="AA916" s="53"/>
      <x:c r="AB916" s="53"/>
      <x:c r="AC916" s="53"/>
      <x:c r="AD916" s="53"/>
      <x:c r="AE916" s="53"/>
      <x:c r="AF916" s="53"/>
    </x:row>
    <x:row r="917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  <x:c r="AA917" s="53"/>
      <x:c r="AB917" s="53"/>
      <x:c r="AC917" s="53"/>
      <x:c r="AD917" s="53"/>
      <x:c r="AE917" s="53"/>
      <x:c r="AF917" s="53"/>
    </x:row>
    <x:row r="918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  <x:c r="AA918" s="53"/>
      <x:c r="AB918" s="53"/>
      <x:c r="AC918" s="53"/>
      <x:c r="AD918" s="53"/>
      <x:c r="AE918" s="53"/>
      <x:c r="AF918" s="53"/>
    </x:row>
    <x:row r="919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  <x:c r="AA919" s="53"/>
      <x:c r="AB919" s="53"/>
      <x:c r="AC919" s="53"/>
      <x:c r="AD919" s="53"/>
      <x:c r="AE919" s="53"/>
      <x:c r="AF919" s="53"/>
    </x:row>
    <x:row r="920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  <x:c r="AA920" s="53"/>
      <x:c r="AB920" s="53"/>
      <x:c r="AC920" s="53"/>
      <x:c r="AD920" s="53"/>
      <x:c r="AE920" s="53"/>
      <x:c r="AF920" s="53"/>
    </x:row>
    <x:row r="921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  <x:c r="AA921" s="53"/>
      <x:c r="AB921" s="53"/>
      <x:c r="AC921" s="53"/>
      <x:c r="AD921" s="53"/>
      <x:c r="AE921" s="53"/>
      <x:c r="AF921" s="53"/>
    </x:row>
    <x:row r="922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  <x:c r="AA922" s="53"/>
      <x:c r="AB922" s="53"/>
      <x:c r="AC922" s="53"/>
      <x:c r="AD922" s="53"/>
      <x:c r="AE922" s="53"/>
      <x:c r="AF922" s="53"/>
    </x:row>
    <x:row r="923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  <x:c r="AA923" s="53"/>
      <x:c r="AB923" s="53"/>
      <x:c r="AC923" s="53"/>
      <x:c r="AD923" s="53"/>
      <x:c r="AE923" s="53"/>
      <x:c r="AF923" s="53"/>
    </x:row>
    <x:row r="924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  <x:c r="AA924" s="53"/>
      <x:c r="AB924" s="53"/>
      <x:c r="AC924" s="53"/>
      <x:c r="AD924" s="53"/>
      <x:c r="AE924" s="53"/>
      <x:c r="AF924" s="53"/>
    </x:row>
    <x:row r="925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  <x:c r="AA925" s="53"/>
      <x:c r="AB925" s="53"/>
      <x:c r="AC925" s="53"/>
      <x:c r="AD925" s="53"/>
      <x:c r="AE925" s="53"/>
      <x:c r="AF925" s="53"/>
    </x:row>
    <x:row r="92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  <x:c r="AA926" s="53"/>
      <x:c r="AB926" s="53"/>
      <x:c r="AC926" s="53"/>
      <x:c r="AD926" s="53"/>
      <x:c r="AE926" s="53"/>
      <x:c r="AF926" s="53"/>
    </x:row>
    <x:row r="927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  <x:c r="AA927" s="53"/>
      <x:c r="AB927" s="53"/>
      <x:c r="AC927" s="53"/>
      <x:c r="AD927" s="53"/>
      <x:c r="AE927" s="53"/>
      <x:c r="AF927" s="53"/>
    </x:row>
    <x:row r="928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  <x:c r="AA928" s="53"/>
      <x:c r="AB928" s="53"/>
      <x:c r="AC928" s="53"/>
      <x:c r="AD928" s="53"/>
      <x:c r="AE928" s="53"/>
      <x:c r="AF928" s="53"/>
    </x:row>
    <x:row r="929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  <x:c r="AA929" s="53"/>
      <x:c r="AB929" s="53"/>
      <x:c r="AC929" s="53"/>
      <x:c r="AD929" s="53"/>
      <x:c r="AE929" s="53"/>
      <x:c r="AF929" s="53"/>
    </x:row>
    <x:row r="930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  <x:c r="AA930" s="53"/>
      <x:c r="AB930" s="53"/>
      <x:c r="AC930" s="53"/>
      <x:c r="AD930" s="53"/>
      <x:c r="AE930" s="53"/>
      <x:c r="AF930" s="53"/>
    </x:row>
    <x:row r="931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  <x:c r="AA931" s="53"/>
      <x:c r="AB931" s="53"/>
      <x:c r="AC931" s="53"/>
      <x:c r="AD931" s="53"/>
      <x:c r="AE931" s="53"/>
      <x:c r="AF931" s="53"/>
    </x:row>
    <x:row r="932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  <x:c r="AA932" s="53"/>
      <x:c r="AB932" s="53"/>
      <x:c r="AC932" s="53"/>
      <x:c r="AD932" s="53"/>
      <x:c r="AE932" s="53"/>
      <x:c r="AF932" s="53"/>
    </x:row>
    <x:row r="933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  <x:c r="AA933" s="53"/>
      <x:c r="AB933" s="53"/>
      <x:c r="AC933" s="53"/>
      <x:c r="AD933" s="53"/>
      <x:c r="AE933" s="53"/>
      <x:c r="AF933" s="53"/>
    </x:row>
    <x:row r="934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  <x:c r="AA934" s="53"/>
      <x:c r="AB934" s="53"/>
      <x:c r="AC934" s="53"/>
      <x:c r="AD934" s="53"/>
      <x:c r="AE934" s="53"/>
      <x:c r="AF934" s="53"/>
    </x:row>
    <x:row r="935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  <x:c r="AA935" s="53"/>
      <x:c r="AB935" s="53"/>
      <x:c r="AC935" s="53"/>
      <x:c r="AD935" s="53"/>
      <x:c r="AE935" s="53"/>
      <x:c r="AF935" s="53"/>
    </x:row>
    <x:row r="93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  <x:c r="AA936" s="53"/>
      <x:c r="AB936" s="53"/>
      <x:c r="AC936" s="53"/>
      <x:c r="AD936" s="53"/>
      <x:c r="AE936" s="53"/>
      <x:c r="AF936" s="53"/>
    </x:row>
    <x:row r="937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  <x:c r="AA937" s="53"/>
      <x:c r="AB937" s="53"/>
      <x:c r="AC937" s="53"/>
      <x:c r="AD937" s="53"/>
      <x:c r="AE937" s="53"/>
      <x:c r="AF937" s="53"/>
    </x:row>
    <x:row r="938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  <x:c r="AA938" s="53"/>
      <x:c r="AB938" s="53"/>
      <x:c r="AC938" s="53"/>
      <x:c r="AD938" s="53"/>
      <x:c r="AE938" s="53"/>
      <x:c r="AF938" s="53"/>
    </x:row>
    <x:row r="939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  <x:c r="AA939" s="53"/>
      <x:c r="AB939" s="53"/>
      <x:c r="AC939" s="53"/>
      <x:c r="AD939" s="53"/>
      <x:c r="AE939" s="53"/>
      <x:c r="AF939" s="53"/>
    </x:row>
    <x:row r="940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  <x:c r="AA940" s="53"/>
      <x:c r="AB940" s="53"/>
      <x:c r="AC940" s="53"/>
      <x:c r="AD940" s="53"/>
      <x:c r="AE940" s="53"/>
      <x:c r="AF940" s="53"/>
    </x:row>
    <x:row r="941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  <x:c r="AA941" s="53"/>
      <x:c r="AB941" s="53"/>
      <x:c r="AC941" s="53"/>
      <x:c r="AD941" s="53"/>
      <x:c r="AE941" s="53"/>
      <x:c r="AF941" s="53"/>
    </x:row>
    <x:row r="942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  <x:c r="AA942" s="53"/>
      <x:c r="AB942" s="53"/>
      <x:c r="AC942" s="53"/>
      <x:c r="AD942" s="53"/>
      <x:c r="AE942" s="53"/>
      <x:c r="AF942" s="53"/>
    </x:row>
    <x:row r="943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  <x:c r="AA943" s="53"/>
      <x:c r="AB943" s="53"/>
      <x:c r="AC943" s="53"/>
      <x:c r="AD943" s="53"/>
      <x:c r="AE943" s="53"/>
      <x:c r="AF943" s="53"/>
    </x:row>
    <x:row r="944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  <x:c r="AA944" s="53"/>
      <x:c r="AB944" s="53"/>
      <x:c r="AC944" s="53"/>
      <x:c r="AD944" s="53"/>
      <x:c r="AE944" s="53"/>
      <x:c r="AF944" s="53"/>
    </x:row>
    <x:row r="945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  <x:c r="AA945" s="53"/>
      <x:c r="AB945" s="53"/>
      <x:c r="AC945" s="53"/>
      <x:c r="AD945" s="53"/>
      <x:c r="AE945" s="53"/>
      <x:c r="AF945" s="53"/>
    </x:row>
    <x:row r="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  <x:c r="AA946" s="53"/>
      <x:c r="AB946" s="53"/>
      <x:c r="AC946" s="53"/>
      <x:c r="AD946" s="53"/>
      <x:c r="AE946" s="53"/>
      <x:c r="AF946" s="53"/>
    </x:row>
    <x:row r="947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  <x:c r="AA947" s="53"/>
      <x:c r="AB947" s="53"/>
      <x:c r="AC947" s="53"/>
      <x:c r="AD947" s="53"/>
      <x:c r="AE947" s="53"/>
      <x:c r="AF947" s="53"/>
    </x:row>
    <x:row r="948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  <x:c r="AA948" s="53"/>
      <x:c r="AB948" s="53"/>
      <x:c r="AC948" s="53"/>
      <x:c r="AD948" s="53"/>
      <x:c r="AE948" s="53"/>
      <x:c r="AF948" s="53"/>
    </x:row>
    <x:row r="949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  <x:c r="AA949" s="53"/>
      <x:c r="AB949" s="53"/>
      <x:c r="AC949" s="53"/>
      <x:c r="AD949" s="53"/>
      <x:c r="AE949" s="53"/>
      <x:c r="AF949" s="53"/>
    </x:row>
    <x:row r="950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  <x:c r="AA950" s="53"/>
      <x:c r="AB950" s="53"/>
      <x:c r="AC950" s="53"/>
      <x:c r="AD950" s="53"/>
      <x:c r="AE950" s="53"/>
      <x:c r="AF950" s="53"/>
    </x:row>
    <x:row r="951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  <x:c r="AA951" s="53"/>
      <x:c r="AB951" s="53"/>
      <x:c r="AC951" s="53"/>
      <x:c r="AD951" s="53"/>
      <x:c r="AE951" s="53"/>
      <x:c r="AF951" s="53"/>
    </x:row>
    <x:row r="952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  <x:c r="AA952" s="53"/>
      <x:c r="AB952" s="53"/>
      <x:c r="AC952" s="53"/>
      <x:c r="AD952" s="53"/>
      <x:c r="AE952" s="53"/>
      <x:c r="AF952" s="53"/>
    </x:row>
    <x:row r="953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  <x:c r="AA953" s="53"/>
      <x:c r="AB953" s="53"/>
      <x:c r="AC953" s="53"/>
      <x:c r="AD953" s="53"/>
      <x:c r="AE953" s="53"/>
      <x:c r="AF953" s="53"/>
    </x:row>
    <x:row r="954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  <x:c r="AA954" s="53"/>
      <x:c r="AB954" s="53"/>
      <x:c r="AC954" s="53"/>
      <x:c r="AD954" s="53"/>
      <x:c r="AE954" s="53"/>
      <x:c r="AF954" s="53"/>
    </x:row>
    <x:row r="955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  <x:c r="AA955" s="53"/>
      <x:c r="AB955" s="53"/>
      <x:c r="AC955" s="53"/>
      <x:c r="AD955" s="53"/>
      <x:c r="AE955" s="53"/>
      <x:c r="AF955" s="53"/>
    </x:row>
    <x:row r="95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  <x:c r="AA956" s="53"/>
      <x:c r="AB956" s="53"/>
      <x:c r="AC956" s="53"/>
      <x:c r="AD956" s="53"/>
      <x:c r="AE956" s="53"/>
      <x:c r="AF956" s="53"/>
    </x:row>
    <x:row r="957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  <x:c r="AA957" s="53"/>
      <x:c r="AB957" s="53"/>
      <x:c r="AC957" s="53"/>
      <x:c r="AD957" s="53"/>
      <x:c r="AE957" s="53"/>
      <x:c r="AF957" s="53"/>
    </x:row>
    <x:row r="958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  <x:c r="AA958" s="53"/>
      <x:c r="AB958" s="53"/>
      <x:c r="AC958" s="53"/>
      <x:c r="AD958" s="53"/>
      <x:c r="AE958" s="53"/>
      <x:c r="AF958" s="53"/>
    </x:row>
    <x:row r="959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  <x:c r="AA959" s="53"/>
      <x:c r="AB959" s="53"/>
      <x:c r="AC959" s="53"/>
      <x:c r="AD959" s="53"/>
      <x:c r="AE959" s="53"/>
      <x:c r="AF959" s="53"/>
    </x:row>
    <x:row r="960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  <x:c r="AA960" s="53"/>
      <x:c r="AB960" s="53"/>
      <x:c r="AC960" s="53"/>
      <x:c r="AD960" s="53"/>
      <x:c r="AE960" s="53"/>
      <x:c r="AF960" s="53"/>
    </x:row>
    <x:row r="961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  <x:c r="AA961" s="53"/>
      <x:c r="AB961" s="53"/>
      <x:c r="AC961" s="53"/>
      <x:c r="AD961" s="53"/>
      <x:c r="AE961" s="53"/>
      <x:c r="AF961" s="53"/>
    </x:row>
    <x:row r="962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  <x:c r="AA962" s="53"/>
      <x:c r="AB962" s="53"/>
      <x:c r="AC962" s="53"/>
      <x:c r="AD962" s="53"/>
      <x:c r="AE962" s="53"/>
      <x:c r="AF962" s="53"/>
    </x:row>
    <x:row r="963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  <x:c r="AA963" s="53"/>
      <x:c r="AB963" s="53"/>
      <x:c r="AC963" s="53"/>
      <x:c r="AD963" s="53"/>
      <x:c r="AE963" s="53"/>
      <x:c r="AF963" s="53"/>
    </x:row>
    <x:row r="964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  <x:c r="AA964" s="53"/>
      <x:c r="AB964" s="53"/>
      <x:c r="AC964" s="53"/>
      <x:c r="AD964" s="53"/>
      <x:c r="AE964" s="53"/>
      <x:c r="AF964" s="53"/>
    </x:row>
    <x:row r="965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  <x:c r="AA965" s="53"/>
      <x:c r="AB965" s="53"/>
      <x:c r="AC965" s="53"/>
      <x:c r="AD965" s="53"/>
      <x:c r="AE965" s="53"/>
      <x:c r="AF965" s="53"/>
    </x:row>
    <x:row r="96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  <x:c r="AA966" s="53"/>
      <x:c r="AB966" s="53"/>
      <x:c r="AC966" s="53"/>
      <x:c r="AD966" s="53"/>
      <x:c r="AE966" s="53"/>
      <x:c r="AF966" s="53"/>
    </x:row>
    <x:row r="967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  <x:c r="AA967" s="53"/>
      <x:c r="AB967" s="53"/>
      <x:c r="AC967" s="53"/>
      <x:c r="AD967" s="53"/>
      <x:c r="AE967" s="53"/>
      <x:c r="AF967" s="53"/>
    </x:row>
    <x:row r="968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  <x:c r="AA968" s="53"/>
      <x:c r="AB968" s="53"/>
      <x:c r="AC968" s="53"/>
      <x:c r="AD968" s="53"/>
      <x:c r="AE968" s="53"/>
      <x:c r="AF968" s="53"/>
    </x:row>
    <x:row r="969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  <x:c r="AA969" s="53"/>
      <x:c r="AB969" s="53"/>
      <x:c r="AC969" s="53"/>
      <x:c r="AD969" s="53"/>
      <x:c r="AE969" s="53"/>
      <x:c r="AF969" s="53"/>
    </x:row>
    <x:row r="970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  <x:c r="AA970" s="53"/>
      <x:c r="AB970" s="53"/>
      <x:c r="AC970" s="53"/>
      <x:c r="AD970" s="53"/>
      <x:c r="AE970" s="53"/>
      <x:c r="AF970" s="53"/>
    </x:row>
    <x:row r="971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  <x:c r="AA971" s="53"/>
      <x:c r="AB971" s="53"/>
      <x:c r="AC971" s="53"/>
      <x:c r="AD971" s="53"/>
      <x:c r="AE971" s="53"/>
      <x:c r="AF971" s="53"/>
    </x:row>
    <x:row r="972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  <x:c r="AA972" s="53"/>
      <x:c r="AB972" s="53"/>
      <x:c r="AC972" s="53"/>
      <x:c r="AD972" s="53"/>
      <x:c r="AE972" s="53"/>
      <x:c r="AF972" s="53"/>
    </x:row>
    <x:row r="973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  <x:c r="AA973" s="53"/>
      <x:c r="AB973" s="53"/>
      <x:c r="AC973" s="53"/>
      <x:c r="AD973" s="53"/>
      <x:c r="AE973" s="53"/>
      <x:c r="AF973" s="53"/>
    </x:row>
    <x:row r="974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  <x:c r="AA974" s="53"/>
      <x:c r="AB974" s="53"/>
      <x:c r="AC974" s="53"/>
      <x:c r="AD974" s="53"/>
      <x:c r="AE974" s="53"/>
      <x:c r="AF974" s="53"/>
    </x:row>
    <x:row r="975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  <x:c r="AA975" s="53"/>
      <x:c r="AB975" s="53"/>
      <x:c r="AC975" s="53"/>
      <x:c r="AD975" s="53"/>
      <x:c r="AE975" s="53"/>
      <x:c r="AF975" s="53"/>
    </x:row>
    <x:row r="97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  <x:c r="AA976" s="53"/>
      <x:c r="AB976" s="53"/>
      <x:c r="AC976" s="53"/>
      <x:c r="AD976" s="53"/>
      <x:c r="AE976" s="53"/>
      <x:c r="AF976" s="53"/>
    </x:row>
    <x:row r="977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  <x:c r="AA977" s="53"/>
      <x:c r="AB977" s="53"/>
      <x:c r="AC977" s="53"/>
      <x:c r="AD977" s="53"/>
      <x:c r="AE977" s="53"/>
      <x:c r="AF977" s="53"/>
    </x:row>
    <x:row r="978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  <x:c r="AA978" s="53"/>
      <x:c r="AB978" s="53"/>
      <x:c r="AC978" s="53"/>
      <x:c r="AD978" s="53"/>
      <x:c r="AE978" s="53"/>
      <x:c r="AF978" s="53"/>
    </x:row>
    <x:row r="979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  <x:c r="AA979" s="53"/>
      <x:c r="AB979" s="53"/>
      <x:c r="AC979" s="53"/>
      <x:c r="AD979" s="53"/>
      <x:c r="AE979" s="53"/>
      <x:c r="AF979" s="53"/>
    </x:row>
    <x:row r="980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  <x:c r="AA980" s="53"/>
      <x:c r="AB980" s="53"/>
      <x:c r="AC980" s="53"/>
      <x:c r="AD980" s="53"/>
      <x:c r="AE980" s="53"/>
      <x:c r="AF980" s="53"/>
    </x:row>
    <x:row r="981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  <x:c r="AA981" s="53"/>
      <x:c r="AB981" s="53"/>
      <x:c r="AC981" s="53"/>
      <x:c r="AD981" s="53"/>
      <x:c r="AE981" s="53"/>
      <x:c r="AF981" s="53"/>
    </x:row>
    <x:row r="982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  <x:c r="AA982" s="53"/>
      <x:c r="AB982" s="53"/>
      <x:c r="AC982" s="53"/>
      <x:c r="AD982" s="53"/>
      <x:c r="AE982" s="53"/>
      <x:c r="AF982" s="53"/>
    </x:row>
    <x:row r="983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  <x:c r="AA983" s="53"/>
      <x:c r="AB983" s="53"/>
      <x:c r="AC983" s="53"/>
      <x:c r="AD983" s="53"/>
      <x:c r="AE983" s="53"/>
      <x:c r="AF983" s="53"/>
    </x:row>
    <x:row r="984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  <x:c r="AA984" s="53"/>
      <x:c r="AB984" s="53"/>
      <x:c r="AC984" s="53"/>
      <x:c r="AD984" s="53"/>
      <x:c r="AE984" s="53"/>
      <x:c r="AF984" s="53"/>
    </x:row>
    <x:row r="985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  <x:c r="AA985" s="53"/>
      <x:c r="AB985" s="53"/>
      <x:c r="AC985" s="53"/>
      <x:c r="AD985" s="53"/>
      <x:c r="AE985" s="53"/>
      <x:c r="AF985" s="53"/>
    </x:row>
    <x:row r="98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  <x:c r="AA986" s="53"/>
      <x:c r="AB986" s="53"/>
      <x:c r="AC986" s="53"/>
      <x:c r="AD986" s="53"/>
      <x:c r="AE986" s="53"/>
      <x:c r="AF986" s="53"/>
    </x:row>
    <x:row r="987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  <x:c r="AA987" s="53"/>
      <x:c r="AB987" s="53"/>
      <x:c r="AC987" s="53"/>
      <x:c r="AD987" s="53"/>
      <x:c r="AE987" s="53"/>
      <x:c r="AF987" s="53"/>
    </x:row>
    <x:row r="988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  <x:c r="AA988" s="53"/>
      <x:c r="AB988" s="53"/>
      <x:c r="AC988" s="53"/>
      <x:c r="AD988" s="53"/>
      <x:c r="AE988" s="53"/>
      <x:c r="AF988" s="53"/>
    </x:row>
    <x:row r="989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  <x:c r="AA989" s="53"/>
      <x:c r="AB989" s="53"/>
      <x:c r="AC989" s="53"/>
      <x:c r="AD989" s="53"/>
      <x:c r="AE989" s="53"/>
      <x:c r="AF989" s="53"/>
    </x:row>
    <x:row r="990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  <x:c r="AA990" s="53"/>
      <x:c r="AB990" s="53"/>
      <x:c r="AC990" s="53"/>
      <x:c r="AD990" s="53"/>
      <x:c r="AE990" s="53"/>
      <x:c r="AF990" s="53"/>
    </x:row>
    <x:row r="991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  <x:c r="AA991" s="53"/>
      <x:c r="AB991" s="53"/>
      <x:c r="AC991" s="53"/>
      <x:c r="AD991" s="53"/>
      <x:c r="AE991" s="53"/>
      <x:c r="AF991" s="53"/>
    </x:row>
    <x:row r="992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  <x:c r="AA992" s="53"/>
      <x:c r="AB992" s="53"/>
      <x:c r="AC992" s="53"/>
      <x:c r="AD992" s="53"/>
      <x:c r="AE992" s="53"/>
      <x:c r="AF992" s="53"/>
    </x:row>
    <x:row r="993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  <x:c r="AA993" s="53"/>
      <x:c r="AB993" s="53"/>
      <x:c r="AC993" s="53"/>
      <x:c r="AD993" s="53"/>
      <x:c r="AE993" s="53"/>
      <x:c r="AF993" s="53"/>
    </x:row>
    <x:row r="994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  <x:c r="AA994" s="53"/>
      <x:c r="AB994" s="53"/>
      <x:c r="AC994" s="53"/>
      <x:c r="AD994" s="53"/>
      <x:c r="AE994" s="53"/>
      <x:c r="AF994" s="53"/>
    </x:row>
    <x:row r="995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  <x:c r="AA995" s="53"/>
      <x:c r="AB995" s="53"/>
      <x:c r="AC995" s="53"/>
      <x:c r="AD995" s="53"/>
      <x:c r="AE995" s="53"/>
      <x:c r="AF995" s="53"/>
    </x:row>
    <x:row r="99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  <x:c r="AA996" s="53"/>
      <x:c r="AB996" s="53"/>
      <x:c r="AC996" s="53"/>
      <x:c r="AD996" s="53"/>
      <x:c r="AE996" s="53"/>
      <x:c r="AF996" s="53"/>
    </x:row>
    <x:row r="997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  <x:c r="AA997" s="53"/>
      <x:c r="AB997" s="53"/>
      <x:c r="AC997" s="53"/>
      <x:c r="AD997" s="53"/>
      <x:c r="AE997" s="53"/>
      <x:c r="AF997" s="53"/>
    </x:row>
    <x:row r="998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  <x:c r="AA998" s="53"/>
      <x:c r="AB998" s="53"/>
      <x:c r="AC998" s="53"/>
      <x:c r="AD998" s="53"/>
      <x:c r="AE998" s="53"/>
      <x:c r="AF998" s="53"/>
    </x:row>
    <x:row r="999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  <x:c r="AA999" s="53"/>
      <x:c r="AB999" s="53"/>
      <x:c r="AC999" s="53"/>
      <x:c r="AD999" s="53"/>
      <x:c r="AE999" s="53"/>
      <x:c r="AF999" s="53"/>
    </x:row>
    <x:row r="1000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  <x:c r="AA1000" s="53"/>
      <x:c r="AB1000" s="53"/>
      <x:c r="AC1000" s="53"/>
      <x:c r="AD1000" s="53"/>
      <x:c r="AE1000" s="53"/>
      <x:c r="AF1000" s="53"/>
    </x:row>
    <x:row r="1001">
      <x:c r="A1001" s="53"/>
      <x:c r="B1001" s="53"/>
      <x:c r="C1001" s="53"/>
      <x:c r="D1001" s="53"/>
      <x:c r="E1001" s="53"/>
      <x:c r="F1001" s="53"/>
      <x:c r="G1001" s="53"/>
      <x:c r="H1001" s="53"/>
      <x:c r="I1001" s="53"/>
      <x:c r="J1001" s="53"/>
      <x:c r="K1001" s="53"/>
      <x:c r="L1001" s="53"/>
      <x:c r="M1001" s="53"/>
      <x:c r="N1001" s="53"/>
      <x:c r="O1001" s="53"/>
      <x:c r="P1001" s="53"/>
      <x:c r="Q1001" s="53"/>
      <x:c r="R1001" s="53"/>
      <x:c r="S1001" s="53"/>
      <x:c r="T1001" s="53"/>
      <x:c r="U1001" s="53"/>
      <x:c r="V1001" s="53"/>
      <x:c r="W1001" s="53"/>
      <x:c r="X1001" s="53"/>
      <x:c r="Y1001" s="53"/>
      <x:c r="Z1001" s="53"/>
      <x:c r="AA1001" s="53"/>
      <x:c r="AB1001" s="53"/>
      <x:c r="AC1001" s="53"/>
      <x:c r="AD1001" s="53"/>
      <x:c r="AE1001" s="53"/>
      <x:c r="AF1001" s="53"/>
    </x:row>
    <x:row r="1002">
      <x:c r="A1002" s="53"/>
      <x:c r="B1002" s="53"/>
      <x:c r="C1002" s="53"/>
      <x:c r="D1002" s="53"/>
      <x:c r="E1002" s="53"/>
      <x:c r="F1002" s="53"/>
      <x:c r="G1002" s="53"/>
      <x:c r="H1002" s="53"/>
      <x:c r="I1002" s="53"/>
      <x:c r="J1002" s="53"/>
      <x:c r="K1002" s="53"/>
      <x:c r="L1002" s="53"/>
      <x:c r="M1002" s="53"/>
      <x:c r="N1002" s="53"/>
      <x:c r="O1002" s="53"/>
      <x:c r="P1002" s="53"/>
      <x:c r="Q1002" s="53"/>
      <x:c r="R1002" s="53"/>
      <x:c r="S1002" s="53"/>
      <x:c r="T1002" s="53"/>
      <x:c r="U1002" s="53"/>
      <x:c r="V1002" s="53"/>
      <x:c r="W1002" s="53"/>
      <x:c r="X1002" s="53"/>
      <x:c r="Y1002" s="53"/>
      <x:c r="Z1002" s="53"/>
      <x:c r="AA1002" s="53"/>
      <x:c r="AB1002" s="53"/>
      <x:c r="AC1002" s="53"/>
      <x:c r="AD1002" s="53"/>
      <x:c r="AE1002" s="53"/>
      <x:c r="AF1002" s="53"/>
    </x:row>
    <x:row r="1003">
      <x:c r="A1003" s="53"/>
      <x:c r="B1003" s="53"/>
      <x:c r="C1003" s="53"/>
      <x:c r="D1003" s="53"/>
      <x:c r="E1003" s="53"/>
      <x:c r="F1003" s="53"/>
      <x:c r="G1003" s="53"/>
      <x:c r="H1003" s="53"/>
      <x:c r="I1003" s="53"/>
      <x:c r="J1003" s="53"/>
      <x:c r="K1003" s="53"/>
      <x:c r="L1003" s="53"/>
      <x:c r="M1003" s="53"/>
      <x:c r="N1003" s="53"/>
      <x:c r="O1003" s="53"/>
      <x:c r="P1003" s="53"/>
      <x:c r="Q1003" s="53"/>
      <x:c r="R1003" s="53"/>
      <x:c r="S1003" s="53"/>
      <x:c r="T1003" s="53"/>
      <x:c r="U1003" s="53"/>
      <x:c r="V1003" s="53"/>
      <x:c r="W1003" s="53"/>
      <x:c r="X1003" s="53"/>
      <x:c r="Y1003" s="53"/>
      <x:c r="Z1003" s="53"/>
      <x:c r="AA1003" s="53"/>
      <x:c r="AB1003" s="53"/>
      <x:c r="AC1003" s="53"/>
      <x:c r="AD1003" s="53"/>
      <x:c r="AE1003" s="53"/>
      <x:c r="AF1003" s="53"/>
    </x:row>
    <x:row r="1004">
      <x:c r="A1004" s="53"/>
      <x:c r="B1004" s="53"/>
      <x:c r="C1004" s="53"/>
      <x:c r="D1004" s="53"/>
      <x:c r="E1004" s="53"/>
      <x:c r="F1004" s="53"/>
      <x:c r="G1004" s="53"/>
      <x:c r="H1004" s="53"/>
      <x:c r="I1004" s="53"/>
      <x:c r="J1004" s="53"/>
      <x:c r="K1004" s="53"/>
      <x:c r="L1004" s="53"/>
      <x:c r="M1004" s="53"/>
      <x:c r="N1004" s="53"/>
      <x:c r="O1004" s="53"/>
      <x:c r="P1004" s="53"/>
      <x:c r="Q1004" s="53"/>
      <x:c r="R1004" s="53"/>
      <x:c r="S1004" s="53"/>
      <x:c r="T1004" s="53"/>
      <x:c r="U1004" s="53"/>
      <x:c r="V1004" s="53"/>
      <x:c r="W1004" s="53"/>
      <x:c r="X1004" s="53"/>
      <x:c r="Y1004" s="53"/>
      <x:c r="Z1004" s="53"/>
      <x:c r="AA1004" s="53"/>
      <x:c r="AB1004" s="53"/>
      <x:c r="AC1004" s="53"/>
      <x:c r="AD1004" s="53"/>
      <x:c r="AE1004" s="53"/>
      <x:c r="AF1004" s="53"/>
    </x:row>
    <x:row r="1005">
      <x:c r="A1005" s="53"/>
      <x:c r="B1005" s="53"/>
      <x:c r="C1005" s="53"/>
      <x:c r="D1005" s="53"/>
      <x:c r="E1005" s="53"/>
      <x:c r="F1005" s="53"/>
      <x:c r="G1005" s="53"/>
      <x:c r="H1005" s="53"/>
      <x:c r="I1005" s="53"/>
      <x:c r="J1005" s="53"/>
      <x:c r="K1005" s="53"/>
      <x:c r="L1005" s="53"/>
      <x:c r="M1005" s="53"/>
      <x:c r="N1005" s="53"/>
      <x:c r="O1005" s="53"/>
      <x:c r="P1005" s="53"/>
      <x:c r="Q1005" s="53"/>
      <x:c r="R1005" s="53"/>
      <x:c r="S1005" s="53"/>
      <x:c r="T1005" s="53"/>
      <x:c r="U1005" s="53"/>
      <x:c r="V1005" s="53"/>
      <x:c r="W1005" s="53"/>
      <x:c r="X1005" s="53"/>
      <x:c r="Y1005" s="53"/>
      <x:c r="Z1005" s="53"/>
      <x:c r="AA1005" s="53"/>
      <x:c r="AB1005" s="53"/>
      <x:c r="AC1005" s="53"/>
      <x:c r="AD1005" s="53"/>
      <x:c r="AE1005" s="53"/>
      <x:c r="AF1005" s="53"/>
    </x:row>
    <x:row r="1006">
      <x:c r="A1006" s="53"/>
      <x:c r="B1006" s="53"/>
      <x:c r="C1006" s="53"/>
      <x:c r="D1006" s="53"/>
      <x:c r="E1006" s="53"/>
      <x:c r="F1006" s="53"/>
      <x:c r="G1006" s="53"/>
      <x:c r="H1006" s="53"/>
      <x:c r="I1006" s="53"/>
      <x:c r="J1006" s="53"/>
      <x:c r="K1006" s="53"/>
      <x:c r="L1006" s="53"/>
      <x:c r="M1006" s="53"/>
      <x:c r="N1006" s="53"/>
      <x:c r="O1006" s="53"/>
      <x:c r="P1006" s="53"/>
      <x:c r="Q1006" s="53"/>
      <x:c r="R1006" s="53"/>
      <x:c r="S1006" s="53"/>
      <x:c r="T1006" s="53"/>
      <x:c r="U1006" s="53"/>
      <x:c r="V1006" s="53"/>
      <x:c r="W1006" s="53"/>
      <x:c r="X1006" s="53"/>
      <x:c r="Y1006" s="53"/>
      <x:c r="Z1006" s="53"/>
      <x:c r="AA1006" s="53"/>
      <x:c r="AB1006" s="53"/>
      <x:c r="AC1006" s="53"/>
      <x:c r="AD1006" s="53"/>
      <x:c r="AE1006" s="53"/>
      <x:c r="AF1006" s="53"/>
    </x:row>
    <x:row r="1007">
      <x:c r="A1007" s="53"/>
      <x:c r="B1007" s="53"/>
      <x:c r="C1007" s="53"/>
      <x:c r="D1007" s="53"/>
      <x:c r="E1007" s="53"/>
      <x:c r="F1007" s="53"/>
      <x:c r="G1007" s="53"/>
      <x:c r="H1007" s="53"/>
      <x:c r="I1007" s="53"/>
      <x:c r="J1007" s="53"/>
      <x:c r="K1007" s="53"/>
      <x:c r="L1007" s="53"/>
      <x:c r="M1007" s="53"/>
      <x:c r="N1007" s="53"/>
      <x:c r="O1007" s="53"/>
      <x:c r="P1007" s="53"/>
      <x:c r="Q1007" s="53"/>
      <x:c r="R1007" s="53"/>
      <x:c r="S1007" s="53"/>
      <x:c r="T1007" s="53"/>
      <x:c r="U1007" s="53"/>
      <x:c r="V1007" s="53"/>
      <x:c r="W1007" s="53"/>
      <x:c r="X1007" s="53"/>
      <x:c r="Y1007" s="53"/>
      <x:c r="Z1007" s="53"/>
      <x:c r="AA1007" s="53"/>
      <x:c r="AB1007" s="53"/>
      <x:c r="AC1007" s="53"/>
      <x:c r="AD1007" s="53"/>
      <x:c r="AE1007" s="53"/>
      <x:c r="AF1007" s="53"/>
    </x:row>
    <x:row r="1008">
      <x:c r="A1008" s="53"/>
      <x:c r="B1008" s="53"/>
      <x:c r="C1008" s="53"/>
      <x:c r="D1008" s="53"/>
      <x:c r="E1008" s="53"/>
      <x:c r="F1008" s="53"/>
      <x:c r="G1008" s="53"/>
      <x:c r="H1008" s="53"/>
      <x:c r="I1008" s="53"/>
      <x:c r="J1008" s="53"/>
      <x:c r="K1008" s="53"/>
      <x:c r="L1008" s="53"/>
      <x:c r="M1008" s="53"/>
      <x:c r="N1008" s="53"/>
      <x:c r="O1008" s="53"/>
      <x:c r="P1008" s="53"/>
      <x:c r="Q1008" s="53"/>
      <x:c r="R1008" s="53"/>
      <x:c r="S1008" s="53"/>
      <x:c r="T1008" s="53"/>
      <x:c r="U1008" s="53"/>
      <x:c r="V1008" s="53"/>
      <x:c r="W1008" s="53"/>
      <x:c r="X1008" s="53"/>
      <x:c r="Y1008" s="53"/>
      <x:c r="Z1008" s="53"/>
      <x:c r="AA1008" s="53"/>
      <x:c r="AB1008" s="53"/>
      <x:c r="AC1008" s="53"/>
      <x:c r="AD1008" s="53"/>
      <x:c r="AE1008" s="53"/>
      <x:c r="AF1008" s="53"/>
    </x:row>
    <x:row r="1009">
      <x:c r="A1009" s="53"/>
      <x:c r="B1009" s="53"/>
      <x:c r="C1009" s="53"/>
      <x:c r="D1009" s="53"/>
      <x:c r="E1009" s="53"/>
      <x:c r="F1009" s="53"/>
      <x:c r="G1009" s="53"/>
      <x:c r="H1009" s="53"/>
      <x:c r="I1009" s="53"/>
      <x:c r="J1009" s="53"/>
      <x:c r="K1009" s="53"/>
      <x:c r="L1009" s="53"/>
      <x:c r="M1009" s="53"/>
      <x:c r="N1009" s="53"/>
      <x:c r="O1009" s="53"/>
      <x:c r="P1009" s="53"/>
      <x:c r="Q1009" s="53"/>
      <x:c r="R1009" s="53"/>
      <x:c r="S1009" s="53"/>
      <x:c r="T1009" s="53"/>
      <x:c r="U1009" s="53"/>
      <x:c r="V1009" s="53"/>
      <x:c r="W1009" s="53"/>
      <x:c r="X1009" s="53"/>
      <x:c r="Y1009" s="53"/>
      <x:c r="Z1009" s="53"/>
      <x:c r="AA1009" s="53"/>
      <x:c r="AB1009" s="53"/>
      <x:c r="AC1009" s="53"/>
      <x:c r="AD1009" s="53"/>
      <x:c r="AE1009" s="53"/>
      <x:c r="AF1009" s="53"/>
    </x:row>
    <x:row r="1010">
      <x:c r="A1010" s="53"/>
      <x:c r="B1010" s="53"/>
      <x:c r="C1010" s="53"/>
      <x:c r="D1010" s="53"/>
      <x:c r="E1010" s="53"/>
      <x:c r="F1010" s="53"/>
      <x:c r="G1010" s="53"/>
      <x:c r="H1010" s="53"/>
      <x:c r="I1010" s="53"/>
      <x:c r="J1010" s="53"/>
      <x:c r="K1010" s="53"/>
      <x:c r="L1010" s="53"/>
      <x:c r="M1010" s="53"/>
      <x:c r="N1010" s="53"/>
      <x:c r="O1010" s="53"/>
      <x:c r="P1010" s="53"/>
      <x:c r="Q1010" s="53"/>
      <x:c r="R1010" s="53"/>
      <x:c r="S1010" s="53"/>
      <x:c r="T1010" s="53"/>
      <x:c r="U1010" s="53"/>
      <x:c r="V1010" s="53"/>
      <x:c r="W1010" s="53"/>
      <x:c r="X1010" s="53"/>
      <x:c r="Y1010" s="53"/>
      <x:c r="Z1010" s="53"/>
      <x:c r="AA1010" s="53"/>
      <x:c r="AB1010" s="53"/>
      <x:c r="AC1010" s="53"/>
      <x:c r="AD1010" s="53"/>
      <x:c r="AE1010" s="53"/>
      <x:c r="AF1010" s="53"/>
    </x:row>
    <x:row r="1011">
      <x:c r="A1011" s="53"/>
      <x:c r="B1011" s="53"/>
      <x:c r="C1011" s="53"/>
      <x:c r="D1011" s="53"/>
      <x:c r="E1011" s="53"/>
      <x:c r="F1011" s="53"/>
      <x:c r="G1011" s="53"/>
      <x:c r="H1011" s="53"/>
      <x:c r="I1011" s="53"/>
      <x:c r="J1011" s="53"/>
      <x:c r="K1011" s="53"/>
      <x:c r="L1011" s="53"/>
      <x:c r="M1011" s="53"/>
      <x:c r="N1011" s="53"/>
      <x:c r="O1011" s="53"/>
      <x:c r="P1011" s="53"/>
      <x:c r="Q1011" s="53"/>
      <x:c r="R1011" s="53"/>
      <x:c r="S1011" s="53"/>
      <x:c r="T1011" s="53"/>
      <x:c r="U1011" s="53"/>
      <x:c r="V1011" s="53"/>
      <x:c r="W1011" s="53"/>
      <x:c r="X1011" s="53"/>
      <x:c r="Y1011" s="53"/>
      <x:c r="Z1011" s="53"/>
      <x:c r="AA1011" s="53"/>
      <x:c r="AB1011" s="53"/>
      <x:c r="AC1011" s="53"/>
      <x:c r="AD1011" s="53"/>
      <x:c r="AE1011" s="53"/>
      <x:c r="AF1011" s="53"/>
    </x:row>
    <x:row r="1012">
      <x:c r="A1012" s="53"/>
      <x:c r="B1012" s="53"/>
      <x:c r="C1012" s="53"/>
      <x:c r="D1012" s="53"/>
      <x:c r="E1012" s="53"/>
      <x:c r="F1012" s="53"/>
      <x:c r="G1012" s="53"/>
      <x:c r="H1012" s="53"/>
      <x:c r="I1012" s="53"/>
      <x:c r="J1012" s="53"/>
      <x:c r="K1012" s="53"/>
      <x:c r="L1012" s="53"/>
      <x:c r="M1012" s="53"/>
      <x:c r="N1012" s="53"/>
      <x:c r="O1012" s="53"/>
      <x:c r="P1012" s="53"/>
      <x:c r="Q1012" s="53"/>
      <x:c r="R1012" s="53"/>
      <x:c r="S1012" s="53"/>
      <x:c r="T1012" s="53"/>
      <x:c r="U1012" s="53"/>
      <x:c r="V1012" s="53"/>
      <x:c r="W1012" s="53"/>
      <x:c r="X1012" s="53"/>
      <x:c r="Y1012" s="53"/>
      <x:c r="Z1012" s="53"/>
      <x:c r="AA1012" s="53"/>
      <x:c r="AB1012" s="53"/>
      <x:c r="AC1012" s="53"/>
      <x:c r="AD1012" s="53"/>
      <x:c r="AE1012" s="53"/>
      <x:c r="AF1012" s="53"/>
    </x:row>
    <x:row r="1013">
      <x:c r="A1013" s="53"/>
      <x:c r="B1013" s="53"/>
      <x:c r="C1013" s="53"/>
      <x:c r="D1013" s="53"/>
      <x:c r="E1013" s="53"/>
      <x:c r="F1013" s="53"/>
      <x:c r="G1013" s="53"/>
      <x:c r="H1013" s="53"/>
      <x:c r="I1013" s="53"/>
      <x:c r="J1013" s="53"/>
      <x:c r="K1013" s="53"/>
      <x:c r="L1013" s="53"/>
      <x:c r="M1013" s="53"/>
      <x:c r="N1013" s="53"/>
      <x:c r="O1013" s="53"/>
      <x:c r="P1013" s="53"/>
      <x:c r="Q1013" s="53"/>
      <x:c r="R1013" s="53"/>
      <x:c r="S1013" s="53"/>
      <x:c r="T1013" s="53"/>
      <x:c r="U1013" s="53"/>
      <x:c r="V1013" s="53"/>
      <x:c r="W1013" s="53"/>
      <x:c r="X1013" s="53"/>
      <x:c r="Y1013" s="53"/>
      <x:c r="Z1013" s="53"/>
      <x:c r="AA1013" s="53"/>
      <x:c r="AB1013" s="53"/>
      <x:c r="AC1013" s="53"/>
      <x:c r="AD1013" s="53"/>
      <x:c r="AE1013" s="53"/>
      <x:c r="AF1013" s="53"/>
    </x:row>
    <x:row r="1014">
      <x:c r="A1014" s="53"/>
      <x:c r="B1014" s="53"/>
      <x:c r="C1014" s="53"/>
      <x:c r="D1014" s="53"/>
      <x:c r="E1014" s="53"/>
      <x:c r="F1014" s="53"/>
      <x:c r="G1014" s="53"/>
      <x:c r="H1014" s="53"/>
      <x:c r="I1014" s="53"/>
      <x:c r="J1014" s="53"/>
      <x:c r="K1014" s="53"/>
      <x:c r="L1014" s="53"/>
      <x:c r="M1014" s="53"/>
      <x:c r="N1014" s="53"/>
      <x:c r="O1014" s="53"/>
      <x:c r="P1014" s="53"/>
      <x:c r="Q1014" s="53"/>
      <x:c r="R1014" s="53"/>
      <x:c r="S1014" s="53"/>
      <x:c r="T1014" s="53"/>
      <x:c r="U1014" s="53"/>
      <x:c r="V1014" s="53"/>
      <x:c r="W1014" s="53"/>
      <x:c r="X1014" s="53"/>
      <x:c r="Y1014" s="53"/>
      <x:c r="Z1014" s="53"/>
      <x:c r="AA1014" s="53"/>
      <x:c r="AB1014" s="53"/>
      <x:c r="AC1014" s="53"/>
      <x:c r="AD1014" s="53"/>
      <x:c r="AE1014" s="53"/>
      <x:c r="AF1014" s="53"/>
    </x:row>
    <x:row r="1015">
      <x:c r="A1015" s="53"/>
      <x:c r="B1015" s="53"/>
      <x:c r="C1015" s="53"/>
      <x:c r="D1015" s="53"/>
      <x:c r="E1015" s="53"/>
      <x:c r="F1015" s="53"/>
      <x:c r="G1015" s="53"/>
      <x:c r="H1015" s="53"/>
      <x:c r="I1015" s="53"/>
      <x:c r="J1015" s="53"/>
      <x:c r="K1015" s="53"/>
      <x:c r="L1015" s="53"/>
      <x:c r="M1015" s="53"/>
      <x:c r="N1015" s="53"/>
      <x:c r="O1015" s="53"/>
      <x:c r="P1015" s="53"/>
      <x:c r="Q1015" s="53"/>
      <x:c r="R1015" s="53"/>
      <x:c r="S1015" s="53"/>
      <x:c r="T1015" s="53"/>
      <x:c r="U1015" s="53"/>
      <x:c r="V1015" s="53"/>
      <x:c r="W1015" s="53"/>
      <x:c r="X1015" s="53"/>
      <x:c r="Y1015" s="53"/>
      <x:c r="Z1015" s="53"/>
      <x:c r="AA1015" s="53"/>
      <x:c r="AB1015" s="53"/>
      <x:c r="AC1015" s="53"/>
      <x:c r="AD1015" s="53"/>
      <x:c r="AE1015" s="53"/>
      <x:c r="AF1015" s="53"/>
    </x:row>
    <x:row r="1016">
      <x:c r="A1016" s="53"/>
      <x:c r="B1016" s="53"/>
      <x:c r="C1016" s="53"/>
      <x:c r="D1016" s="53"/>
      <x:c r="E1016" s="53"/>
      <x:c r="F1016" s="53"/>
      <x:c r="G1016" s="53"/>
      <x:c r="H1016" s="53"/>
      <x:c r="I1016" s="53"/>
      <x:c r="J1016" s="53"/>
      <x:c r="K1016" s="53"/>
      <x:c r="L1016" s="53"/>
      <x:c r="M1016" s="53"/>
      <x:c r="N1016" s="53"/>
      <x:c r="O1016" s="53"/>
      <x:c r="P1016" s="53"/>
      <x:c r="Q1016" s="53"/>
      <x:c r="R1016" s="53"/>
      <x:c r="S1016" s="53"/>
      <x:c r="T1016" s="53"/>
      <x:c r="U1016" s="53"/>
      <x:c r="V1016" s="53"/>
      <x:c r="W1016" s="53"/>
      <x:c r="X1016" s="53"/>
      <x:c r="Y1016" s="53"/>
      <x:c r="Z1016" s="53"/>
      <x:c r="AA1016" s="53"/>
      <x:c r="AB1016" s="53"/>
      <x:c r="AC1016" s="53"/>
      <x:c r="AD1016" s="53"/>
      <x:c r="AE1016" s="53"/>
      <x:c r="AF1016" s="53"/>
    </x:row>
    <x:row r="1017">
      <x:c r="A1017" s="53"/>
      <x:c r="B1017" s="53"/>
      <x:c r="C1017" s="53"/>
      <x:c r="D1017" s="53"/>
      <x:c r="E1017" s="53"/>
      <x:c r="F1017" s="53"/>
      <x:c r="G1017" s="53"/>
      <x:c r="H1017" s="53"/>
      <x:c r="I1017" s="53"/>
      <x:c r="J1017" s="53"/>
      <x:c r="K1017" s="53"/>
      <x:c r="L1017" s="53"/>
      <x:c r="M1017" s="53"/>
      <x:c r="N1017" s="53"/>
      <x:c r="O1017" s="53"/>
      <x:c r="P1017" s="53"/>
      <x:c r="Q1017" s="53"/>
      <x:c r="R1017" s="53"/>
      <x:c r="S1017" s="53"/>
      <x:c r="T1017" s="53"/>
      <x:c r="U1017" s="53"/>
      <x:c r="V1017" s="53"/>
      <x:c r="W1017" s="53"/>
      <x:c r="X1017" s="53"/>
      <x:c r="Y1017" s="53"/>
      <x:c r="Z1017" s="53"/>
      <x:c r="AA1017" s="53"/>
      <x:c r="AB1017" s="53"/>
      <x:c r="AC1017" s="53"/>
      <x:c r="AD1017" s="53"/>
      <x:c r="AE1017" s="53"/>
      <x:c r="AF1017" s="53"/>
    </x:row>
    <x:row r="1018">
      <x:c r="A1018" s="53"/>
      <x:c r="B1018" s="53"/>
      <x:c r="C1018" s="53"/>
      <x:c r="D1018" s="53"/>
      <x:c r="E1018" s="53"/>
      <x:c r="F1018" s="53"/>
      <x:c r="G1018" s="53"/>
      <x:c r="H1018" s="53"/>
      <x:c r="I1018" s="53"/>
      <x:c r="J1018" s="53"/>
      <x:c r="K1018" s="53"/>
      <x:c r="L1018" s="53"/>
      <x:c r="M1018" s="53"/>
      <x:c r="N1018" s="53"/>
      <x:c r="O1018" s="53"/>
      <x:c r="P1018" s="53"/>
      <x:c r="Q1018" s="53"/>
      <x:c r="R1018" s="53"/>
      <x:c r="S1018" s="53"/>
      <x:c r="T1018" s="53"/>
      <x:c r="U1018" s="53"/>
      <x:c r="V1018" s="53"/>
      <x:c r="W1018" s="53"/>
      <x:c r="X1018" s="53"/>
      <x:c r="Y1018" s="53"/>
      <x:c r="Z1018" s="53"/>
      <x:c r="AA1018" s="53"/>
      <x:c r="AB1018" s="53"/>
      <x:c r="AC1018" s="53"/>
      <x:c r="AD1018" s="53"/>
      <x:c r="AE1018" s="53"/>
      <x:c r="AF1018" s="53"/>
    </x:row>
    <x:row r="1019">
      <x:c r="A1019" s="53"/>
      <x:c r="B1019" s="53"/>
      <x:c r="C1019" s="53"/>
      <x:c r="D1019" s="53"/>
      <x:c r="E1019" s="53"/>
      <x:c r="F1019" s="53"/>
      <x:c r="G1019" s="53"/>
      <x:c r="H1019" s="53"/>
      <x:c r="I1019" s="53"/>
      <x:c r="J1019" s="53"/>
      <x:c r="K1019" s="53"/>
      <x:c r="L1019" s="53"/>
      <x:c r="M1019" s="53"/>
      <x:c r="N1019" s="53"/>
      <x:c r="O1019" s="53"/>
      <x:c r="P1019" s="53"/>
      <x:c r="Q1019" s="53"/>
      <x:c r="R1019" s="53"/>
      <x:c r="S1019" s="53"/>
      <x:c r="T1019" s="53"/>
      <x:c r="U1019" s="53"/>
      <x:c r="V1019" s="53"/>
      <x:c r="W1019" s="53"/>
      <x:c r="X1019" s="53"/>
      <x:c r="Y1019" s="53"/>
      <x:c r="Z1019" s="53"/>
      <x:c r="AA1019" s="53"/>
      <x:c r="AB1019" s="53"/>
      <x:c r="AC1019" s="53"/>
      <x:c r="AD1019" s="53"/>
      <x:c r="AE1019" s="53"/>
      <x:c r="AF1019" s="53"/>
    </x:row>
    <x:row r="1020">
      <x:c r="A1020" s="53"/>
      <x:c r="B1020" s="53"/>
      <x:c r="C1020" s="53"/>
      <x:c r="D1020" s="53"/>
      <x:c r="E1020" s="53"/>
      <x:c r="F1020" s="53"/>
      <x:c r="G1020" s="53"/>
      <x:c r="H1020" s="53"/>
      <x:c r="I1020" s="53"/>
      <x:c r="J1020" s="53"/>
      <x:c r="K1020" s="53"/>
      <x:c r="L1020" s="53"/>
      <x:c r="M1020" s="53"/>
      <x:c r="N1020" s="53"/>
      <x:c r="O1020" s="53"/>
      <x:c r="P1020" s="53"/>
      <x:c r="Q1020" s="53"/>
      <x:c r="R1020" s="53"/>
      <x:c r="S1020" s="53"/>
      <x:c r="T1020" s="53"/>
      <x:c r="U1020" s="53"/>
      <x:c r="V1020" s="53"/>
      <x:c r="W1020" s="53"/>
      <x:c r="X1020" s="53"/>
      <x:c r="Y1020" s="53"/>
      <x:c r="Z1020" s="53"/>
      <x:c r="AA1020" s="53"/>
      <x:c r="AB1020" s="53"/>
      <x:c r="AC1020" s="53"/>
      <x:c r="AD1020" s="53"/>
      <x:c r="AE1020" s="53"/>
      <x:c r="AF1020" s="53"/>
    </x:row>
    <x:row r="1021">
      <x:c r="A1021" s="53"/>
      <x:c r="B1021" s="53"/>
      <x:c r="C1021" s="53"/>
      <x:c r="D1021" s="53"/>
      <x:c r="E1021" s="53"/>
      <x:c r="F1021" s="53"/>
      <x:c r="G1021" s="53"/>
      <x:c r="H1021" s="53"/>
      <x:c r="I1021" s="53"/>
      <x:c r="J1021" s="53"/>
      <x:c r="K1021" s="53"/>
      <x:c r="L1021" s="53"/>
      <x:c r="M1021" s="53"/>
      <x:c r="N1021" s="53"/>
      <x:c r="O1021" s="53"/>
      <x:c r="P1021" s="53"/>
      <x:c r="Q1021" s="53"/>
      <x:c r="R1021" s="53"/>
      <x:c r="S1021" s="53"/>
      <x:c r="T1021" s="53"/>
      <x:c r="U1021" s="53"/>
      <x:c r="V1021" s="53"/>
      <x:c r="W1021" s="53"/>
      <x:c r="X1021" s="53"/>
      <x:c r="Y1021" s="53"/>
      <x:c r="Z1021" s="53"/>
      <x:c r="AA1021" s="53"/>
      <x:c r="AB1021" s="53"/>
      <x:c r="AC1021" s="53"/>
      <x:c r="AD1021" s="53"/>
      <x:c r="AE1021" s="53"/>
      <x:c r="AF1021" s="53"/>
    </x:row>
    <x:row r="1022">
      <x:c r="A1022" s="53"/>
      <x:c r="B1022" s="53"/>
      <x:c r="C1022" s="53"/>
      <x:c r="D1022" s="53"/>
      <x:c r="E1022" s="53"/>
      <x:c r="F1022" s="53"/>
      <x:c r="G1022" s="53"/>
      <x:c r="H1022" s="53"/>
      <x:c r="I1022" s="53"/>
      <x:c r="J1022" s="53"/>
      <x:c r="K1022" s="53"/>
      <x:c r="L1022" s="53"/>
      <x:c r="M1022" s="53"/>
      <x:c r="N1022" s="53"/>
      <x:c r="O1022" s="53"/>
      <x:c r="P1022" s="53"/>
      <x:c r="Q1022" s="53"/>
      <x:c r="R1022" s="53"/>
      <x:c r="S1022" s="53"/>
      <x:c r="T1022" s="53"/>
      <x:c r="U1022" s="53"/>
      <x:c r="V1022" s="53"/>
      <x:c r="W1022" s="53"/>
      <x:c r="X1022" s="53"/>
      <x:c r="Y1022" s="53"/>
      <x:c r="Z1022" s="53"/>
      <x:c r="AA1022" s="53"/>
      <x:c r="AB1022" s="53"/>
      <x:c r="AC1022" s="53"/>
      <x:c r="AD1022" s="53"/>
      <x:c r="AE1022" s="53"/>
      <x:c r="AF1022" s="53"/>
    </x:row>
    <x:row r="1023">
      <x:c r="A1023" s="53"/>
      <x:c r="B1023" s="53"/>
      <x:c r="C1023" s="53"/>
      <x:c r="D1023" s="53"/>
      <x:c r="E1023" s="53"/>
      <x:c r="F1023" s="53"/>
      <x:c r="G1023" s="53"/>
      <x:c r="H1023" s="53"/>
      <x:c r="I1023" s="53"/>
      <x:c r="J1023" s="53"/>
      <x:c r="K1023" s="53"/>
      <x:c r="L1023" s="53"/>
      <x:c r="M1023" s="53"/>
      <x:c r="N1023" s="53"/>
      <x:c r="O1023" s="53"/>
      <x:c r="P1023" s="53"/>
      <x:c r="Q1023" s="53"/>
      <x:c r="R1023" s="53"/>
      <x:c r="S1023" s="53"/>
      <x:c r="T1023" s="53"/>
      <x:c r="U1023" s="53"/>
      <x:c r="V1023" s="53"/>
      <x:c r="W1023" s="53"/>
      <x:c r="X1023" s="53"/>
      <x:c r="Y1023" s="53"/>
      <x:c r="Z1023" s="53"/>
      <x:c r="AA1023" s="53"/>
      <x:c r="AB1023" s="53"/>
      <x:c r="AC1023" s="53"/>
      <x:c r="AD1023" s="53"/>
      <x:c r="AE1023" s="53"/>
      <x:c r="AF1023" s="53"/>
    </x:row>
    <x:row r="1024">
      <x:c r="A1024" s="53"/>
      <x:c r="B1024" s="53"/>
      <x:c r="C1024" s="53"/>
      <x:c r="D1024" s="53"/>
      <x:c r="E1024" s="53"/>
      <x:c r="F1024" s="53"/>
      <x:c r="G1024" s="53"/>
      <x:c r="H1024" s="53"/>
      <x:c r="I1024" s="53"/>
      <x:c r="J1024" s="53"/>
      <x:c r="K1024" s="53"/>
      <x:c r="L1024" s="53"/>
      <x:c r="M1024" s="53"/>
      <x:c r="N1024" s="53"/>
      <x:c r="O1024" s="53"/>
      <x:c r="P1024" s="53"/>
      <x:c r="Q1024" s="53"/>
      <x:c r="R1024" s="53"/>
      <x:c r="S1024" s="53"/>
      <x:c r="T1024" s="53"/>
      <x:c r="U1024" s="53"/>
      <x:c r="V1024" s="53"/>
      <x:c r="W1024" s="53"/>
      <x:c r="X1024" s="53"/>
      <x:c r="Y1024" s="53"/>
      <x:c r="Z1024" s="53"/>
      <x:c r="AA1024" s="53"/>
      <x:c r="AB1024" s="53"/>
      <x:c r="AC1024" s="53"/>
      <x:c r="AD1024" s="53"/>
      <x:c r="AE1024" s="53"/>
      <x:c r="AF1024" s="53"/>
    </x:row>
    <x:row r="1025">
      <x:c r="A1025" s="53"/>
      <x:c r="B1025" s="53"/>
      <x:c r="C1025" s="53"/>
      <x:c r="D1025" s="53"/>
      <x:c r="E1025" s="53"/>
      <x:c r="F1025" s="53"/>
      <x:c r="G1025" s="53"/>
      <x:c r="H1025" s="53"/>
      <x:c r="I1025" s="53"/>
      <x:c r="J1025" s="53"/>
      <x:c r="K1025" s="53"/>
      <x:c r="L1025" s="53"/>
      <x:c r="M1025" s="53"/>
      <x:c r="N1025" s="53"/>
      <x:c r="O1025" s="53"/>
      <x:c r="P1025" s="53"/>
      <x:c r="Q1025" s="53"/>
      <x:c r="R1025" s="53"/>
      <x:c r="S1025" s="53"/>
      <x:c r="T1025" s="53"/>
      <x:c r="U1025" s="53"/>
      <x:c r="V1025" s="53"/>
      <x:c r="W1025" s="53"/>
      <x:c r="X1025" s="53"/>
      <x:c r="Y1025" s="53"/>
      <x:c r="Z1025" s="53"/>
      <x:c r="AA1025" s="53"/>
      <x:c r="AB1025" s="53"/>
      <x:c r="AC1025" s="53"/>
      <x:c r="AD1025" s="53"/>
      <x:c r="AE1025" s="53"/>
      <x:c r="AF1025" s="53"/>
    </x:row>
    <x:row r="1026">
      <x:c r="A1026" s="53"/>
      <x:c r="B1026" s="53"/>
      <x:c r="C1026" s="53"/>
      <x:c r="D1026" s="53"/>
      <x:c r="E1026" s="53"/>
      <x:c r="F1026" s="53"/>
      <x:c r="G1026" s="53"/>
      <x:c r="H1026" s="53"/>
      <x:c r="I1026" s="53"/>
      <x:c r="J1026" s="53"/>
      <x:c r="K1026" s="53"/>
      <x:c r="L1026" s="53"/>
      <x:c r="M1026" s="53"/>
      <x:c r="N1026" s="53"/>
      <x:c r="O1026" s="53"/>
      <x:c r="P1026" s="53"/>
      <x:c r="Q1026" s="53"/>
      <x:c r="R1026" s="53"/>
      <x:c r="S1026" s="53"/>
      <x:c r="T1026" s="53"/>
      <x:c r="U1026" s="53"/>
      <x:c r="V1026" s="53"/>
      <x:c r="W1026" s="53"/>
      <x:c r="X1026" s="53"/>
      <x:c r="Y1026" s="53"/>
      <x:c r="Z1026" s="53"/>
      <x:c r="AA1026" s="53"/>
      <x:c r="AB1026" s="53"/>
      <x:c r="AC1026" s="53"/>
      <x:c r="AD1026" s="53"/>
      <x:c r="AE1026" s="53"/>
      <x:c r="AF1026" s="53"/>
    </x:row>
    <x:row r="1027">
      <x:c r="A1027" s="53"/>
      <x:c r="B1027" s="53"/>
      <x:c r="C1027" s="53"/>
      <x:c r="D1027" s="53"/>
      <x:c r="E1027" s="53"/>
      <x:c r="F1027" s="53"/>
      <x:c r="G1027" s="53"/>
      <x:c r="H1027" s="53"/>
      <x:c r="I1027" s="53"/>
      <x:c r="J1027" s="53"/>
      <x:c r="K1027" s="53"/>
      <x:c r="L1027" s="53"/>
      <x:c r="M1027" s="53"/>
      <x:c r="N1027" s="53"/>
      <x:c r="O1027" s="53"/>
      <x:c r="P1027" s="53"/>
      <x:c r="Q1027" s="53"/>
      <x:c r="R1027" s="53"/>
      <x:c r="S1027" s="53"/>
      <x:c r="T1027" s="53"/>
      <x:c r="U1027" s="53"/>
      <x:c r="V1027" s="53"/>
      <x:c r="W1027" s="53"/>
      <x:c r="X1027" s="53"/>
      <x:c r="Y1027" s="53"/>
      <x:c r="Z1027" s="53"/>
      <x:c r="AA1027" s="53"/>
      <x:c r="AB1027" s="53"/>
      <x:c r="AC1027" s="53"/>
      <x:c r="AD1027" s="53"/>
      <x:c r="AE1027" s="53"/>
      <x:c r="AF1027" s="53"/>
    </x:row>
    <x:row r="1028">
      <x:c r="A1028" s="53"/>
      <x:c r="B1028" s="53"/>
      <x:c r="C1028" s="53"/>
      <x:c r="D1028" s="53"/>
      <x:c r="E1028" s="53"/>
      <x:c r="F1028" s="53"/>
      <x:c r="G1028" s="53"/>
      <x:c r="H1028" s="53"/>
      <x:c r="I1028" s="53"/>
      <x:c r="J1028" s="53"/>
      <x:c r="K1028" s="53"/>
      <x:c r="L1028" s="53"/>
      <x:c r="M1028" s="53"/>
      <x:c r="N1028" s="53"/>
      <x:c r="O1028" s="53"/>
      <x:c r="P1028" s="53"/>
      <x:c r="Q1028" s="53"/>
      <x:c r="R1028" s="53"/>
      <x:c r="S1028" s="53"/>
      <x:c r="T1028" s="53"/>
      <x:c r="U1028" s="53"/>
      <x:c r="V1028" s="53"/>
      <x:c r="W1028" s="53"/>
      <x:c r="X1028" s="53"/>
      <x:c r="Y1028" s="53"/>
      <x:c r="Z1028" s="53"/>
      <x:c r="AA1028" s="53"/>
      <x:c r="AB1028" s="53"/>
      <x:c r="AC1028" s="53"/>
      <x:c r="AD1028" s="53"/>
      <x:c r="AE1028" s="53"/>
      <x:c r="AF1028" s="53"/>
    </x:row>
    <x:row r="1029">
      <x:c r="A1029" s="53"/>
      <x:c r="B1029" s="53"/>
      <x:c r="C1029" s="53"/>
      <x:c r="D1029" s="53"/>
      <x:c r="E1029" s="53"/>
      <x:c r="F1029" s="53"/>
      <x:c r="G1029" s="53"/>
      <x:c r="H1029" s="53"/>
      <x:c r="I1029" s="53"/>
      <x:c r="J1029" s="53"/>
      <x:c r="K1029" s="53"/>
      <x:c r="L1029" s="53"/>
      <x:c r="M1029" s="53"/>
      <x:c r="N1029" s="53"/>
      <x:c r="O1029" s="53"/>
      <x:c r="P1029" s="53"/>
      <x:c r="Q1029" s="53"/>
      <x:c r="R1029" s="53"/>
      <x:c r="S1029" s="53"/>
      <x:c r="T1029" s="53"/>
      <x:c r="U1029" s="53"/>
      <x:c r="V1029" s="53"/>
      <x:c r="W1029" s="53"/>
      <x:c r="X1029" s="53"/>
      <x:c r="Y1029" s="53"/>
      <x:c r="Z1029" s="53"/>
      <x:c r="AA1029" s="53"/>
      <x:c r="AB1029" s="53"/>
      <x:c r="AC1029" s="53"/>
      <x:c r="AD1029" s="53"/>
      <x:c r="AE1029" s="53"/>
      <x:c r="AF1029" s="53"/>
    </x:row>
    <x:row r="1030">
      <x:c r="A1030" s="53"/>
      <x:c r="B1030" s="53"/>
      <x:c r="C1030" s="53"/>
      <x:c r="D1030" s="53"/>
      <x:c r="E1030" s="53"/>
      <x:c r="F1030" s="53"/>
      <x:c r="G1030" s="53"/>
      <x:c r="H1030" s="53"/>
      <x:c r="I1030" s="53"/>
      <x:c r="J1030" s="53"/>
      <x:c r="K1030" s="53"/>
      <x:c r="L1030" s="53"/>
      <x:c r="M1030" s="53"/>
      <x:c r="N1030" s="53"/>
      <x:c r="O1030" s="53"/>
      <x:c r="P1030" s="53"/>
      <x:c r="Q1030" s="53"/>
      <x:c r="R1030" s="53"/>
      <x:c r="S1030" s="53"/>
      <x:c r="T1030" s="53"/>
      <x:c r="U1030" s="53"/>
      <x:c r="V1030" s="53"/>
      <x:c r="W1030" s="53"/>
      <x:c r="X1030" s="53"/>
      <x:c r="Y1030" s="53"/>
      <x:c r="Z1030" s="53"/>
      <x:c r="AA1030" s="53"/>
      <x:c r="AB1030" s="53"/>
      <x:c r="AC1030" s="53"/>
      <x:c r="AD1030" s="53"/>
      <x:c r="AE1030" s="53"/>
      <x:c r="AF1030" s="53"/>
    </x:row>
    <x:row r="1031">
      <x:c r="A1031" s="53"/>
      <x:c r="B1031" s="53"/>
      <x:c r="C1031" s="53"/>
      <x:c r="D1031" s="53"/>
      <x:c r="E1031" s="53"/>
      <x:c r="F1031" s="53"/>
      <x:c r="G1031" s="53"/>
      <x:c r="H1031" s="53"/>
      <x:c r="I1031" s="53"/>
      <x:c r="J1031" s="53"/>
      <x:c r="K1031" s="53"/>
      <x:c r="L1031" s="53"/>
      <x:c r="M1031" s="53"/>
      <x:c r="N1031" s="53"/>
      <x:c r="O1031" s="53"/>
      <x:c r="P1031" s="53"/>
      <x:c r="Q1031" s="53"/>
      <x:c r="R1031" s="53"/>
      <x:c r="S1031" s="53"/>
      <x:c r="T1031" s="53"/>
      <x:c r="U1031" s="53"/>
      <x:c r="V1031" s="53"/>
      <x:c r="W1031" s="53"/>
      <x:c r="X1031" s="53"/>
      <x:c r="Y1031" s="53"/>
      <x:c r="Z1031" s="53"/>
      <x:c r="AA1031" s="53"/>
      <x:c r="AB1031" s="53"/>
      <x:c r="AC1031" s="53"/>
      <x:c r="AD1031" s="53"/>
      <x:c r="AE1031" s="53"/>
      <x:c r="AF1031" s="53"/>
    </x:row>
    <x:row r="1032">
      <x:c r="A1032" s="53"/>
      <x:c r="B1032" s="53"/>
      <x:c r="C1032" s="53"/>
      <x:c r="D1032" s="53"/>
      <x:c r="E1032" s="53"/>
      <x:c r="F1032" s="53"/>
      <x:c r="G1032" s="53"/>
      <x:c r="H1032" s="53"/>
      <x:c r="I1032" s="53"/>
      <x:c r="J1032" s="53"/>
      <x:c r="K1032" s="53"/>
      <x:c r="L1032" s="53"/>
      <x:c r="M1032" s="53"/>
      <x:c r="N1032" s="53"/>
      <x:c r="O1032" s="53"/>
      <x:c r="P1032" s="53"/>
      <x:c r="Q1032" s="53"/>
      <x:c r="R1032" s="53"/>
      <x:c r="S1032" s="53"/>
      <x:c r="T1032" s="53"/>
      <x:c r="U1032" s="53"/>
      <x:c r="V1032" s="53"/>
      <x:c r="W1032" s="53"/>
      <x:c r="X1032" s="53"/>
      <x:c r="Y1032" s="53"/>
      <x:c r="Z1032" s="53"/>
      <x:c r="AA1032" s="53"/>
      <x:c r="AB1032" s="53"/>
      <x:c r="AC1032" s="53"/>
      <x:c r="AD1032" s="53"/>
      <x:c r="AE1032" s="53"/>
      <x:c r="AF1032" s="53"/>
    </x:row>
    <x:row r="1033">
      <x:c r="A1033" s="53"/>
      <x:c r="B1033" s="53"/>
      <x:c r="C1033" s="53"/>
      <x:c r="D1033" s="53"/>
      <x:c r="E1033" s="53"/>
      <x:c r="F1033" s="53"/>
      <x:c r="G1033" s="53"/>
      <x:c r="H1033" s="53"/>
      <x:c r="I1033" s="53"/>
      <x:c r="J1033" s="53"/>
      <x:c r="K1033" s="53"/>
      <x:c r="L1033" s="53"/>
      <x:c r="M1033" s="53"/>
      <x:c r="N1033" s="53"/>
      <x:c r="O1033" s="53"/>
      <x:c r="P1033" s="53"/>
      <x:c r="Q1033" s="53"/>
      <x:c r="R1033" s="53"/>
      <x:c r="S1033" s="53"/>
      <x:c r="T1033" s="53"/>
      <x:c r="U1033" s="53"/>
      <x:c r="V1033" s="53"/>
      <x:c r="W1033" s="53"/>
      <x:c r="X1033" s="53"/>
      <x:c r="Y1033" s="53"/>
      <x:c r="Z1033" s="53"/>
      <x:c r="AA1033" s="53"/>
      <x:c r="AB1033" s="53"/>
      <x:c r="AC1033" s="53"/>
      <x:c r="AD1033" s="53"/>
      <x:c r="AE1033" s="53"/>
      <x:c r="AF1033" s="53"/>
    </x:row>
    <x:row r="1034">
      <x:c r="A1034" s="53"/>
      <x:c r="B1034" s="53"/>
      <x:c r="C1034" s="53"/>
      <x:c r="D1034" s="53"/>
      <x:c r="E1034" s="53"/>
      <x:c r="F1034" s="53"/>
      <x:c r="G1034" s="53"/>
      <x:c r="H1034" s="53"/>
      <x:c r="I1034" s="53"/>
      <x:c r="J1034" s="53"/>
      <x:c r="K1034" s="53"/>
      <x:c r="L1034" s="53"/>
      <x:c r="M1034" s="53"/>
      <x:c r="N1034" s="53"/>
      <x:c r="O1034" s="53"/>
      <x:c r="P1034" s="53"/>
      <x:c r="Q1034" s="53"/>
      <x:c r="R1034" s="53"/>
      <x:c r="S1034" s="53"/>
      <x:c r="T1034" s="53"/>
      <x:c r="U1034" s="53"/>
      <x:c r="V1034" s="53"/>
      <x:c r="W1034" s="53"/>
      <x:c r="X1034" s="53"/>
      <x:c r="Y1034" s="53"/>
      <x:c r="Z1034" s="53"/>
      <x:c r="AA1034" s="53"/>
      <x:c r="AB1034" s="53"/>
      <x:c r="AC1034" s="53"/>
      <x:c r="AD1034" s="53"/>
      <x:c r="AE1034" s="53"/>
      <x:c r="AF1034" s="53"/>
    </x:row>
    <x:row r="1035">
      <x:c r="A1035" s="53"/>
      <x:c r="B1035" s="53"/>
      <x:c r="C1035" s="53"/>
      <x:c r="D1035" s="53"/>
      <x:c r="E1035" s="53"/>
      <x:c r="F1035" s="53"/>
      <x:c r="G1035" s="53"/>
      <x:c r="H1035" s="53"/>
      <x:c r="I1035" s="53"/>
      <x:c r="J1035" s="53"/>
      <x:c r="K1035" s="53"/>
      <x:c r="L1035" s="53"/>
      <x:c r="M1035" s="53"/>
      <x:c r="N1035" s="53"/>
      <x:c r="O1035" s="53"/>
      <x:c r="P1035" s="53"/>
      <x:c r="Q1035" s="53"/>
      <x:c r="R1035" s="53"/>
      <x:c r="S1035" s="53"/>
      <x:c r="T1035" s="53"/>
      <x:c r="U1035" s="53"/>
      <x:c r="V1035" s="53"/>
      <x:c r="W1035" s="53"/>
      <x:c r="X1035" s="53"/>
      <x:c r="Y1035" s="53"/>
      <x:c r="Z1035" s="53"/>
      <x:c r="AA1035" s="53"/>
      <x:c r="AB1035" s="53"/>
      <x:c r="AC1035" s="53"/>
      <x:c r="AD1035" s="53"/>
      <x:c r="AE1035" s="53"/>
      <x:c r="AF1035" s="53"/>
    </x:row>
    <x:row r="1036">
      <x:c r="A1036" s="53"/>
      <x:c r="B1036" s="53"/>
      <x:c r="C1036" s="53"/>
      <x:c r="D1036" s="53"/>
      <x:c r="E1036" s="53"/>
      <x:c r="F1036" s="53"/>
      <x:c r="G1036" s="53"/>
      <x:c r="H1036" s="53"/>
      <x:c r="I1036" s="53"/>
      <x:c r="J1036" s="53"/>
      <x:c r="K1036" s="53"/>
      <x:c r="L1036" s="53"/>
      <x:c r="M1036" s="53"/>
      <x:c r="N1036" s="53"/>
      <x:c r="O1036" s="53"/>
      <x:c r="P1036" s="53"/>
      <x:c r="Q1036" s="53"/>
      <x:c r="R1036" s="53"/>
      <x:c r="S1036" s="53"/>
      <x:c r="T1036" s="53"/>
      <x:c r="U1036" s="53"/>
      <x:c r="V1036" s="53"/>
      <x:c r="W1036" s="53"/>
      <x:c r="X1036" s="53"/>
      <x:c r="Y1036" s="53"/>
      <x:c r="Z1036" s="53"/>
      <x:c r="AA1036" s="53"/>
      <x:c r="AB1036" s="53"/>
      <x:c r="AC1036" s="53"/>
      <x:c r="AD1036" s="53"/>
      <x:c r="AE1036" s="53"/>
      <x:c r="AF1036" s="53"/>
    </x:row>
    <x:row r="1037">
      <x:c r="A1037" s="53"/>
      <x:c r="B1037" s="53"/>
      <x:c r="C1037" s="53"/>
      <x:c r="D1037" s="53"/>
      <x:c r="E1037" s="53"/>
      <x:c r="F1037" s="53"/>
      <x:c r="G1037" s="53"/>
      <x:c r="H1037" s="53"/>
      <x:c r="I1037" s="53"/>
      <x:c r="J1037" s="53"/>
      <x:c r="K1037" s="53"/>
      <x:c r="L1037" s="53"/>
      <x:c r="M1037" s="53"/>
      <x:c r="N1037" s="53"/>
      <x:c r="O1037" s="53"/>
      <x:c r="P1037" s="53"/>
      <x:c r="Q1037" s="53"/>
      <x:c r="R1037" s="53"/>
      <x:c r="S1037" s="53"/>
      <x:c r="T1037" s="53"/>
      <x:c r="U1037" s="53"/>
      <x:c r="V1037" s="53"/>
      <x:c r="W1037" s="53"/>
      <x:c r="X1037" s="53"/>
      <x:c r="Y1037" s="53"/>
      <x:c r="Z1037" s="53"/>
      <x:c r="AA1037" s="53"/>
      <x:c r="AB1037" s="53"/>
      <x:c r="AC1037" s="53"/>
      <x:c r="AD1037" s="53"/>
      <x:c r="AE1037" s="53"/>
      <x:c r="AF1037" s="53"/>
    </x:row>
    <x:row r="1038">
      <x:c r="A1038" s="53"/>
      <x:c r="B1038" s="53"/>
      <x:c r="C1038" s="53"/>
      <x:c r="D1038" s="53"/>
      <x:c r="E1038" s="53"/>
      <x:c r="F1038" s="53"/>
      <x:c r="G1038" s="53"/>
      <x:c r="H1038" s="53"/>
      <x:c r="I1038" s="53"/>
      <x:c r="J1038" s="53"/>
      <x:c r="K1038" s="53"/>
      <x:c r="L1038" s="53"/>
      <x:c r="M1038" s="53"/>
      <x:c r="N1038" s="53"/>
      <x:c r="O1038" s="53"/>
      <x:c r="P1038" s="53"/>
      <x:c r="Q1038" s="53"/>
      <x:c r="R1038" s="53"/>
      <x:c r="S1038" s="53"/>
      <x:c r="T1038" s="53"/>
      <x:c r="U1038" s="53"/>
      <x:c r="V1038" s="53"/>
      <x:c r="W1038" s="53"/>
      <x:c r="X1038" s="53"/>
      <x:c r="Y1038" s="53"/>
      <x:c r="Z1038" s="53"/>
      <x:c r="AA1038" s="53"/>
      <x:c r="AB1038" s="53"/>
      <x:c r="AC1038" s="53"/>
      <x:c r="AD1038" s="53"/>
      <x:c r="AE1038" s="53"/>
      <x:c r="AF1038" s="53"/>
    </x:row>
    <x:row r="1039">
      <x:c r="A1039" s="53"/>
      <x:c r="B1039" s="53"/>
      <x:c r="C1039" s="53"/>
      <x:c r="D1039" s="53"/>
      <x:c r="E1039" s="53"/>
      <x:c r="F1039" s="53"/>
      <x:c r="G1039" s="53"/>
      <x:c r="H1039" s="53"/>
      <x:c r="I1039" s="53"/>
      <x:c r="J1039" s="53"/>
      <x:c r="K1039" s="53"/>
      <x:c r="L1039" s="53"/>
      <x:c r="M1039" s="53"/>
      <x:c r="N1039" s="53"/>
      <x:c r="O1039" s="53"/>
      <x:c r="P1039" s="53"/>
      <x:c r="Q1039" s="53"/>
      <x:c r="R1039" s="53"/>
      <x:c r="S1039" s="53"/>
      <x:c r="T1039" s="53"/>
      <x:c r="U1039" s="53"/>
      <x:c r="V1039" s="53"/>
      <x:c r="W1039" s="53"/>
      <x:c r="X1039" s="53"/>
      <x:c r="Y1039" s="53"/>
      <x:c r="Z1039" s="53"/>
      <x:c r="AA1039" s="53"/>
      <x:c r="AB1039" s="53"/>
      <x:c r="AC1039" s="53"/>
      <x:c r="AD1039" s="53"/>
      <x:c r="AE1039" s="53"/>
      <x:c r="AF1039" s="53"/>
    </x:row>
    <x:row r="1040">
      <x:c r="A1040" s="53"/>
      <x:c r="B1040" s="53"/>
      <x:c r="C1040" s="53"/>
      <x:c r="D1040" s="53"/>
      <x:c r="E1040" s="53"/>
      <x:c r="F1040" s="53"/>
      <x:c r="G1040" s="53"/>
      <x:c r="H1040" s="53"/>
      <x:c r="I1040" s="53"/>
      <x:c r="J1040" s="53"/>
      <x:c r="K1040" s="53"/>
      <x:c r="L1040" s="53"/>
      <x:c r="M1040" s="53"/>
      <x:c r="N1040" s="53"/>
      <x:c r="O1040" s="53"/>
      <x:c r="P1040" s="53"/>
      <x:c r="Q1040" s="53"/>
      <x:c r="R1040" s="53"/>
      <x:c r="S1040" s="53"/>
      <x:c r="T1040" s="53"/>
      <x:c r="U1040" s="53"/>
      <x:c r="V1040" s="53"/>
      <x:c r="W1040" s="53"/>
      <x:c r="X1040" s="53"/>
      <x:c r="Y1040" s="53"/>
      <x:c r="Z1040" s="53"/>
      <x:c r="AA1040" s="53"/>
      <x:c r="AB1040" s="53"/>
      <x:c r="AC1040" s="53"/>
      <x:c r="AD1040" s="53"/>
      <x:c r="AE1040" s="53"/>
      <x:c r="AF1040" s="53"/>
    </x:row>
    <x:row r="1041">
      <x:c r="A1041" s="53"/>
      <x:c r="B1041" s="53"/>
      <x:c r="C1041" s="53"/>
      <x:c r="D1041" s="53"/>
      <x:c r="E1041" s="53"/>
      <x:c r="F1041" s="53"/>
      <x:c r="G1041" s="53"/>
      <x:c r="H1041" s="53"/>
      <x:c r="I1041" s="53"/>
      <x:c r="J1041" s="53"/>
      <x:c r="K1041" s="53"/>
      <x:c r="L1041" s="53"/>
      <x:c r="M1041" s="53"/>
      <x:c r="N1041" s="53"/>
      <x:c r="O1041" s="53"/>
      <x:c r="P1041" s="53"/>
      <x:c r="Q1041" s="53"/>
      <x:c r="R1041" s="53"/>
      <x:c r="S1041" s="53"/>
      <x:c r="T1041" s="53"/>
      <x:c r="U1041" s="53"/>
      <x:c r="V1041" s="53"/>
      <x:c r="W1041" s="53"/>
      <x:c r="X1041" s="53"/>
      <x:c r="Y1041" s="53"/>
      <x:c r="Z1041" s="53"/>
      <x:c r="AA1041" s="53"/>
      <x:c r="AB1041" s="53"/>
      <x:c r="AC1041" s="53"/>
      <x:c r="AD1041" s="53"/>
      <x:c r="AE1041" s="53"/>
      <x:c r="AF1041" s="53"/>
    </x:row>
    <x:row r="1042">
      <x:c r="A1042" s="53"/>
      <x:c r="B1042" s="53"/>
      <x:c r="C1042" s="53"/>
      <x:c r="D1042" s="53"/>
      <x:c r="E1042" s="53"/>
      <x:c r="F1042" s="53"/>
      <x:c r="G1042" s="53"/>
      <x:c r="H1042" s="53"/>
      <x:c r="I1042" s="53"/>
      <x:c r="J1042" s="53"/>
      <x:c r="K1042" s="53"/>
      <x:c r="L1042" s="53"/>
      <x:c r="M1042" s="53"/>
      <x:c r="N1042" s="53"/>
      <x:c r="O1042" s="53"/>
      <x:c r="P1042" s="53"/>
      <x:c r="Q1042" s="53"/>
      <x:c r="R1042" s="53"/>
      <x:c r="S1042" s="53"/>
      <x:c r="T1042" s="53"/>
      <x:c r="U1042" s="53"/>
      <x:c r="V1042" s="53"/>
      <x:c r="W1042" s="53"/>
      <x:c r="X1042" s="53"/>
      <x:c r="Y1042" s="53"/>
      <x:c r="Z1042" s="53"/>
      <x:c r="AA1042" s="53"/>
      <x:c r="AB1042" s="53"/>
      <x:c r="AC1042" s="53"/>
      <x:c r="AD1042" s="53"/>
      <x:c r="AE1042" s="53"/>
      <x:c r="AF1042" s="53"/>
    </x:row>
    <x:row r="1043">
      <x:c r="A1043" s="53"/>
      <x:c r="B1043" s="53"/>
      <x:c r="C1043" s="53"/>
      <x:c r="D1043" s="53"/>
      <x:c r="E1043" s="53"/>
      <x:c r="F1043" s="53"/>
      <x:c r="G1043" s="53"/>
      <x:c r="H1043" s="53"/>
      <x:c r="I1043" s="53"/>
      <x:c r="J1043" s="53"/>
      <x:c r="K1043" s="53"/>
      <x:c r="L1043" s="53"/>
      <x:c r="M1043" s="53"/>
      <x:c r="N1043" s="53"/>
      <x:c r="O1043" s="53"/>
      <x:c r="P1043" s="53"/>
      <x:c r="Q1043" s="53"/>
      <x:c r="R1043" s="53"/>
      <x:c r="S1043" s="53"/>
      <x:c r="T1043" s="53"/>
      <x:c r="U1043" s="53"/>
      <x:c r="V1043" s="53"/>
      <x:c r="W1043" s="53"/>
      <x:c r="X1043" s="53"/>
      <x:c r="Y1043" s="53"/>
      <x:c r="Z1043" s="53"/>
      <x:c r="AA1043" s="53"/>
      <x:c r="AB1043" s="53"/>
      <x:c r="AC1043" s="53"/>
      <x:c r="AD1043" s="53"/>
      <x:c r="AE1043" s="53"/>
      <x:c r="AF1043" s="53"/>
    </x:row>
    <x:row r="1044">
      <x:c r="A1044" s="53"/>
      <x:c r="B1044" s="53"/>
      <x:c r="C1044" s="53"/>
      <x:c r="D1044" s="53"/>
      <x:c r="E1044" s="53"/>
      <x:c r="F1044" s="53"/>
      <x:c r="G1044" s="53"/>
      <x:c r="H1044" s="53"/>
      <x:c r="I1044" s="53"/>
      <x:c r="J1044" s="53"/>
      <x:c r="K1044" s="53"/>
      <x:c r="L1044" s="53"/>
      <x:c r="M1044" s="53"/>
      <x:c r="N1044" s="53"/>
      <x:c r="O1044" s="53"/>
      <x:c r="P1044" s="53"/>
      <x:c r="Q1044" s="53"/>
      <x:c r="R1044" s="53"/>
      <x:c r="S1044" s="53"/>
      <x:c r="T1044" s="53"/>
      <x:c r="U1044" s="53"/>
      <x:c r="V1044" s="53"/>
      <x:c r="W1044" s="53"/>
      <x:c r="X1044" s="53"/>
      <x:c r="Y1044" s="53"/>
      <x:c r="Z1044" s="53"/>
      <x:c r="AA1044" s="53"/>
      <x:c r="AB1044" s="53"/>
      <x:c r="AC1044" s="53"/>
      <x:c r="AD1044" s="53"/>
      <x:c r="AE1044" s="53"/>
      <x:c r="AF1044" s="53"/>
    </x:row>
    <x:row r="1045">
      <x:c r="A1045" s="53"/>
      <x:c r="B1045" s="53"/>
      <x:c r="C1045" s="53"/>
      <x:c r="D1045" s="53"/>
      <x:c r="E1045" s="53"/>
      <x:c r="F1045" s="53"/>
      <x:c r="G1045" s="53"/>
      <x:c r="H1045" s="53"/>
      <x:c r="I1045" s="53"/>
      <x:c r="J1045" s="53"/>
      <x:c r="K1045" s="53"/>
      <x:c r="L1045" s="53"/>
      <x:c r="M1045" s="53"/>
      <x:c r="N1045" s="53"/>
      <x:c r="O1045" s="53"/>
      <x:c r="P1045" s="53"/>
      <x:c r="Q1045" s="53"/>
      <x:c r="R1045" s="53"/>
      <x:c r="S1045" s="53"/>
      <x:c r="T1045" s="53"/>
      <x:c r="U1045" s="53"/>
      <x:c r="V1045" s="53"/>
      <x:c r="W1045" s="53"/>
      <x:c r="X1045" s="53"/>
      <x:c r="Y1045" s="53"/>
      <x:c r="Z1045" s="53"/>
      <x:c r="AA1045" s="53"/>
      <x:c r="AB1045" s="53"/>
      <x:c r="AC1045" s="53"/>
      <x:c r="AD1045" s="53"/>
      <x:c r="AE1045" s="53"/>
      <x:c r="AF1045" s="53"/>
    </x:row>
    <x:row r="1046">
      <x:c r="A1046" s="53"/>
      <x:c r="B1046" s="53"/>
      <x:c r="C1046" s="53"/>
      <x:c r="D1046" s="53"/>
      <x:c r="E1046" s="53"/>
      <x:c r="F1046" s="53"/>
      <x:c r="G1046" s="53"/>
      <x:c r="H1046" s="53"/>
      <x:c r="I1046" s="53"/>
      <x:c r="J1046" s="53"/>
      <x:c r="K1046" s="53"/>
      <x:c r="L1046" s="53"/>
      <x:c r="M1046" s="53"/>
      <x:c r="N1046" s="53"/>
      <x:c r="O1046" s="53"/>
      <x:c r="P1046" s="53"/>
      <x:c r="Q1046" s="53"/>
      <x:c r="R1046" s="53"/>
      <x:c r="S1046" s="53"/>
      <x:c r="T1046" s="53"/>
      <x:c r="U1046" s="53"/>
      <x:c r="V1046" s="53"/>
      <x:c r="W1046" s="53"/>
      <x:c r="X1046" s="53"/>
      <x:c r="Y1046" s="53"/>
      <x:c r="Z1046" s="53"/>
      <x:c r="AA1046" s="53"/>
      <x:c r="AB1046" s="53"/>
      <x:c r="AC1046" s="53"/>
      <x:c r="AD1046" s="53"/>
      <x:c r="AE1046" s="53"/>
      <x:c r="AF1046" s="53"/>
    </x:row>
    <x:row r="1047">
      <x:c r="A1047" s="53"/>
      <x:c r="B1047" s="53"/>
      <x:c r="C1047" s="53"/>
      <x:c r="D1047" s="53"/>
      <x:c r="E1047" s="53"/>
      <x:c r="F1047" s="53"/>
      <x:c r="G1047" s="53"/>
      <x:c r="H1047" s="53"/>
      <x:c r="I1047" s="53"/>
      <x:c r="J1047" s="53"/>
      <x:c r="K1047" s="53"/>
      <x:c r="L1047" s="53"/>
      <x:c r="M1047" s="53"/>
      <x:c r="N1047" s="53"/>
      <x:c r="O1047" s="53"/>
      <x:c r="P1047" s="53"/>
      <x:c r="Q1047" s="53"/>
      <x:c r="R1047" s="53"/>
      <x:c r="S1047" s="53"/>
      <x:c r="T1047" s="53"/>
      <x:c r="U1047" s="53"/>
      <x:c r="V1047" s="53"/>
      <x:c r="W1047" s="53"/>
      <x:c r="X1047" s="53"/>
      <x:c r="Y1047" s="53"/>
      <x:c r="Z1047" s="53"/>
      <x:c r="AA1047" s="53"/>
      <x:c r="AB1047" s="53"/>
      <x:c r="AC1047" s="53"/>
      <x:c r="AD1047" s="53"/>
      <x:c r="AE1047" s="53"/>
      <x:c r="AF1047" s="53"/>
    </x:row>
    <x:row r="1048">
      <x:c r="A1048" s="53"/>
      <x:c r="B1048" s="53"/>
      <x:c r="C1048" s="53"/>
      <x:c r="D1048" s="53"/>
      <x:c r="E1048" s="53"/>
      <x:c r="F1048" s="53"/>
      <x:c r="G1048" s="53"/>
      <x:c r="H1048" s="53"/>
      <x:c r="I1048" s="53"/>
      <x:c r="J1048" s="53"/>
      <x:c r="K1048" s="53"/>
      <x:c r="L1048" s="53"/>
      <x:c r="M1048" s="53"/>
      <x:c r="N1048" s="53"/>
      <x:c r="O1048" s="53"/>
      <x:c r="P1048" s="53"/>
      <x:c r="Q1048" s="53"/>
      <x:c r="R1048" s="53"/>
      <x:c r="S1048" s="53"/>
      <x:c r="T1048" s="53"/>
      <x:c r="U1048" s="53"/>
      <x:c r="V1048" s="53"/>
      <x:c r="W1048" s="53"/>
      <x:c r="X1048" s="53"/>
      <x:c r="Y1048" s="53"/>
      <x:c r="Z1048" s="53"/>
      <x:c r="AA1048" s="53"/>
      <x:c r="AB1048" s="53"/>
      <x:c r="AC1048" s="53"/>
      <x:c r="AD1048" s="53"/>
      <x:c r="AE1048" s="53"/>
      <x:c r="AF1048" s="53"/>
    </x:row>
    <x:row r="1049">
      <x:c r="A1049" s="53"/>
      <x:c r="B1049" s="53"/>
      <x:c r="C1049" s="53"/>
      <x:c r="D1049" s="53"/>
      <x:c r="E1049" s="53"/>
      <x:c r="F1049" s="53"/>
      <x:c r="G1049" s="53"/>
      <x:c r="H1049" s="53"/>
      <x:c r="I1049" s="53"/>
      <x:c r="J1049" s="53"/>
      <x:c r="K1049" s="53"/>
      <x:c r="L1049" s="53"/>
      <x:c r="M1049" s="53"/>
      <x:c r="N1049" s="53"/>
      <x:c r="O1049" s="53"/>
      <x:c r="P1049" s="53"/>
      <x:c r="Q1049" s="53"/>
      <x:c r="R1049" s="53"/>
      <x:c r="S1049" s="53"/>
      <x:c r="T1049" s="53"/>
      <x:c r="U1049" s="53"/>
      <x:c r="V1049" s="53"/>
      <x:c r="W1049" s="53"/>
      <x:c r="X1049" s="53"/>
      <x:c r="Y1049" s="53"/>
      <x:c r="Z1049" s="53"/>
      <x:c r="AA1049" s="53"/>
      <x:c r="AB1049" s="53"/>
      <x:c r="AC1049" s="53"/>
      <x:c r="AD1049" s="53"/>
      <x:c r="AE1049" s="53"/>
      <x:c r="AF1049" s="53"/>
    </x:row>
    <x:row r="1050">
      <x:c r="A1050" s="53"/>
      <x:c r="B1050" s="53"/>
      <x:c r="C1050" s="53"/>
      <x:c r="D1050" s="53"/>
      <x:c r="E1050" s="53"/>
      <x:c r="F1050" s="53"/>
      <x:c r="G1050" s="53"/>
      <x:c r="H1050" s="53"/>
      <x:c r="I1050" s="53"/>
      <x:c r="J1050" s="53"/>
      <x:c r="K1050" s="53"/>
      <x:c r="L1050" s="53"/>
      <x:c r="M1050" s="53"/>
      <x:c r="N1050" s="53"/>
      <x:c r="O1050" s="53"/>
      <x:c r="P1050" s="53"/>
      <x:c r="Q1050" s="53"/>
      <x:c r="R1050" s="53"/>
      <x:c r="S1050" s="53"/>
      <x:c r="T1050" s="53"/>
      <x:c r="U1050" s="53"/>
      <x:c r="V1050" s="53"/>
      <x:c r="W1050" s="53"/>
      <x:c r="X1050" s="53"/>
      <x:c r="Y1050" s="53"/>
      <x:c r="Z1050" s="53"/>
      <x:c r="AA1050" s="53"/>
      <x:c r="AB1050" s="53"/>
      <x:c r="AC1050" s="53"/>
      <x:c r="AD1050" s="53"/>
      <x:c r="AE1050" s="53"/>
      <x:c r="AF1050" s="53"/>
    </x:row>
    <x:row r="1051">
      <x:c r="A1051" s="53"/>
      <x:c r="B1051" s="53"/>
      <x:c r="C1051" s="53"/>
      <x:c r="D1051" s="53"/>
      <x:c r="E1051" s="53"/>
      <x:c r="F1051" s="53"/>
      <x:c r="G1051" s="53"/>
      <x:c r="H1051" s="53"/>
      <x:c r="I1051" s="53"/>
      <x:c r="J1051" s="53"/>
      <x:c r="K1051" s="53"/>
      <x:c r="L1051" s="53"/>
      <x:c r="M1051" s="53"/>
      <x:c r="N1051" s="53"/>
      <x:c r="O1051" s="53"/>
      <x:c r="P1051" s="53"/>
      <x:c r="Q1051" s="53"/>
      <x:c r="R1051" s="53"/>
      <x:c r="S1051" s="53"/>
      <x:c r="T1051" s="53"/>
      <x:c r="U1051" s="53"/>
      <x:c r="V1051" s="53"/>
      <x:c r="W1051" s="53"/>
      <x:c r="X1051" s="53"/>
      <x:c r="Y1051" s="53"/>
      <x:c r="Z1051" s="53"/>
      <x:c r="AA1051" s="53"/>
      <x:c r="AB1051" s="53"/>
      <x:c r="AC1051" s="53"/>
      <x:c r="AD1051" s="53"/>
      <x:c r="AE1051" s="53"/>
      <x:c r="AF1051" s="53"/>
    </x:row>
    <x:row r="1052">
      <x:c r="A1052" s="53"/>
      <x:c r="B1052" s="53"/>
      <x:c r="C1052" s="53"/>
      <x:c r="D1052" s="53"/>
      <x:c r="E1052" s="53"/>
      <x:c r="F1052" s="53"/>
      <x:c r="G1052" s="53"/>
      <x:c r="H1052" s="53"/>
      <x:c r="I1052" s="53"/>
      <x:c r="J1052" s="53"/>
      <x:c r="K1052" s="53"/>
      <x:c r="L1052" s="53"/>
      <x:c r="M1052" s="53"/>
      <x:c r="N1052" s="53"/>
      <x:c r="O1052" s="53"/>
      <x:c r="P1052" s="53"/>
      <x:c r="Q1052" s="53"/>
      <x:c r="R1052" s="53"/>
      <x:c r="S1052" s="53"/>
      <x:c r="T1052" s="53"/>
      <x:c r="U1052" s="53"/>
      <x:c r="V1052" s="53"/>
      <x:c r="W1052" s="53"/>
      <x:c r="X1052" s="53"/>
      <x:c r="Y1052" s="53"/>
      <x:c r="Z1052" s="53"/>
      <x:c r="AA1052" s="53"/>
      <x:c r="AB1052" s="53"/>
      <x:c r="AC1052" s="53"/>
      <x:c r="AD1052" s="53"/>
      <x:c r="AE1052" s="53"/>
      <x:c r="AF1052" s="53"/>
    </x:row>
    <x:row r="1053">
      <x:c r="A1053" s="53"/>
      <x:c r="B1053" s="53"/>
      <x:c r="C1053" s="53"/>
      <x:c r="D1053" s="53"/>
      <x:c r="E1053" s="53"/>
      <x:c r="F1053" s="53"/>
      <x:c r="G1053" s="53"/>
      <x:c r="H1053" s="53"/>
      <x:c r="I1053" s="53"/>
      <x:c r="J1053" s="53"/>
      <x:c r="K1053" s="53"/>
      <x:c r="L1053" s="53"/>
      <x:c r="M1053" s="53"/>
      <x:c r="N1053" s="53"/>
      <x:c r="O1053" s="53"/>
      <x:c r="P1053" s="53"/>
      <x:c r="Q1053" s="53"/>
      <x:c r="R1053" s="53"/>
      <x:c r="S1053" s="53"/>
      <x:c r="T1053" s="53"/>
      <x:c r="U1053" s="53"/>
      <x:c r="V1053" s="53"/>
      <x:c r="W1053" s="53"/>
      <x:c r="X1053" s="53"/>
      <x:c r="Y1053" s="53"/>
      <x:c r="Z1053" s="53"/>
      <x:c r="AA1053" s="53"/>
      <x:c r="AB1053" s="53"/>
      <x:c r="AC1053" s="53"/>
      <x:c r="AD1053" s="53"/>
      <x:c r="AE1053" s="53"/>
      <x:c r="AF1053" s="53"/>
    </x:row>
    <x:row r="1054">
      <x:c r="A1054" s="53"/>
      <x:c r="B1054" s="53"/>
      <x:c r="C1054" s="53"/>
      <x:c r="D1054" s="53"/>
      <x:c r="E1054" s="53"/>
      <x:c r="F1054" s="53"/>
      <x:c r="G1054" s="53"/>
      <x:c r="H1054" s="53"/>
      <x:c r="I1054" s="53"/>
      <x:c r="J1054" s="53"/>
      <x:c r="K1054" s="53"/>
      <x:c r="L1054" s="53"/>
      <x:c r="M1054" s="53"/>
      <x:c r="N1054" s="53"/>
      <x:c r="O1054" s="53"/>
      <x:c r="P1054" s="53"/>
      <x:c r="Q1054" s="53"/>
      <x:c r="R1054" s="53"/>
      <x:c r="S1054" s="53"/>
      <x:c r="T1054" s="53"/>
      <x:c r="U1054" s="53"/>
      <x:c r="V1054" s="53"/>
      <x:c r="W1054" s="53"/>
      <x:c r="X1054" s="53"/>
      <x:c r="Y1054" s="53"/>
      <x:c r="Z1054" s="53"/>
      <x:c r="AA1054" s="53"/>
      <x:c r="AB1054" s="53"/>
      <x:c r="AC1054" s="53"/>
      <x:c r="AD1054" s="53"/>
      <x:c r="AE1054" s="53"/>
      <x:c r="AF1054" s="53"/>
    </x:row>
    <x:row r="1055">
      <x:c r="A1055" s="53"/>
      <x:c r="B1055" s="53"/>
      <x:c r="C1055" s="53"/>
      <x:c r="D1055" s="53"/>
      <x:c r="E1055" s="53"/>
      <x:c r="F1055" s="53"/>
      <x:c r="G1055" s="53"/>
      <x:c r="H1055" s="53"/>
      <x:c r="I1055" s="53"/>
      <x:c r="J1055" s="53"/>
      <x:c r="K1055" s="53"/>
      <x:c r="L1055" s="53"/>
      <x:c r="M1055" s="53"/>
      <x:c r="N1055" s="53"/>
      <x:c r="O1055" s="53"/>
      <x:c r="P1055" s="53"/>
      <x:c r="Q1055" s="53"/>
      <x:c r="R1055" s="53"/>
      <x:c r="S1055" s="53"/>
      <x:c r="T1055" s="53"/>
      <x:c r="U1055" s="53"/>
      <x:c r="V1055" s="53"/>
      <x:c r="W1055" s="53"/>
      <x:c r="X1055" s="53"/>
      <x:c r="Y1055" s="53"/>
      <x:c r="Z1055" s="53"/>
      <x:c r="AA1055" s="53"/>
      <x:c r="AB1055" s="53"/>
      <x:c r="AC1055" s="53"/>
      <x:c r="AD1055" s="53"/>
      <x:c r="AE1055" s="53"/>
      <x:c r="AF1055" s="53"/>
    </x:row>
    <x:row r="1056">
      <x:c r="A1056" s="53"/>
      <x:c r="B1056" s="53"/>
      <x:c r="C1056" s="53"/>
      <x:c r="D1056" s="53"/>
      <x:c r="E1056" s="53"/>
      <x:c r="F1056" s="53"/>
      <x:c r="G1056" s="53"/>
      <x:c r="H1056" s="53"/>
      <x:c r="I1056" s="53"/>
      <x:c r="J1056" s="53"/>
      <x:c r="K1056" s="53"/>
      <x:c r="L1056" s="53"/>
      <x:c r="M1056" s="53"/>
      <x:c r="N1056" s="53"/>
      <x:c r="O1056" s="53"/>
      <x:c r="P1056" s="53"/>
      <x:c r="Q1056" s="53"/>
      <x:c r="R1056" s="53"/>
      <x:c r="S1056" s="53"/>
      <x:c r="T1056" s="53"/>
      <x:c r="U1056" s="53"/>
      <x:c r="V1056" s="53"/>
      <x:c r="W1056" s="53"/>
      <x:c r="X1056" s="53"/>
      <x:c r="Y1056" s="53"/>
      <x:c r="Z1056" s="53"/>
      <x:c r="AA1056" s="53"/>
      <x:c r="AB1056" s="53"/>
      <x:c r="AC1056" s="53"/>
      <x:c r="AD1056" s="53"/>
      <x:c r="AE1056" s="53"/>
      <x:c r="AF1056" s="53"/>
    </x:row>
    <x:row r="1057">
      <x:c r="A1057" s="53"/>
      <x:c r="B1057" s="53"/>
      <x:c r="C1057" s="53"/>
      <x:c r="D1057" s="53"/>
      <x:c r="E1057" s="53"/>
      <x:c r="F1057" s="53"/>
      <x:c r="G1057" s="53"/>
      <x:c r="H1057" s="53"/>
      <x:c r="I1057" s="53"/>
      <x:c r="J1057" s="53"/>
      <x:c r="K1057" s="53"/>
      <x:c r="L1057" s="53"/>
      <x:c r="M1057" s="53"/>
      <x:c r="N1057" s="53"/>
      <x:c r="O1057" s="53"/>
      <x:c r="P1057" s="53"/>
      <x:c r="Q1057" s="53"/>
      <x:c r="R1057" s="53"/>
      <x:c r="S1057" s="53"/>
      <x:c r="T1057" s="53"/>
      <x:c r="U1057" s="53"/>
      <x:c r="V1057" s="53"/>
      <x:c r="W1057" s="53"/>
      <x:c r="X1057" s="53"/>
      <x:c r="Y1057" s="53"/>
      <x:c r="Z1057" s="53"/>
      <x:c r="AA1057" s="53"/>
      <x:c r="AB1057" s="53"/>
      <x:c r="AC1057" s="53"/>
      <x:c r="AD1057" s="53"/>
      <x:c r="AE1057" s="53"/>
      <x:c r="AF1057" s="53"/>
    </x:row>
    <x:row r="1058">
      <x:c r="A1058" s="53"/>
      <x:c r="B1058" s="53"/>
      <x:c r="C1058" s="53"/>
      <x:c r="D1058" s="53"/>
      <x:c r="E1058" s="53"/>
      <x:c r="F1058" s="53"/>
      <x:c r="G1058" s="53"/>
      <x:c r="H1058" s="53"/>
      <x:c r="I1058" s="53"/>
      <x:c r="J1058" s="53"/>
      <x:c r="K1058" s="53"/>
      <x:c r="L1058" s="53"/>
      <x:c r="M1058" s="53"/>
      <x:c r="N1058" s="53"/>
      <x:c r="O1058" s="53"/>
      <x:c r="P1058" s="53"/>
      <x:c r="Q1058" s="53"/>
      <x:c r="R1058" s="53"/>
      <x:c r="S1058" s="53"/>
      <x:c r="T1058" s="53"/>
      <x:c r="U1058" s="53"/>
      <x:c r="V1058" s="53"/>
      <x:c r="W1058" s="53"/>
      <x:c r="X1058" s="53"/>
      <x:c r="Y1058" s="53"/>
      <x:c r="Z1058" s="53"/>
      <x:c r="AA1058" s="53"/>
      <x:c r="AB1058" s="53"/>
      <x:c r="AC1058" s="53"/>
      <x:c r="AD1058" s="53"/>
      <x:c r="AE1058" s="53"/>
      <x:c r="AF1058" s="53"/>
    </x:row>
    <x:row r="1059">
      <x:c r="A1059" s="53"/>
      <x:c r="B1059" s="53"/>
      <x:c r="C1059" s="53"/>
      <x:c r="D1059" s="53"/>
      <x:c r="E1059" s="53"/>
      <x:c r="F1059" s="53"/>
      <x:c r="G1059" s="53"/>
      <x:c r="H1059" s="53"/>
      <x:c r="I1059" s="53"/>
      <x:c r="J1059" s="53"/>
      <x:c r="K1059" s="53"/>
      <x:c r="L1059" s="53"/>
      <x:c r="M1059" s="53"/>
      <x:c r="N1059" s="53"/>
      <x:c r="O1059" s="53"/>
      <x:c r="P1059" s="53"/>
      <x:c r="Q1059" s="53"/>
      <x:c r="R1059" s="53"/>
      <x:c r="S1059" s="53"/>
      <x:c r="T1059" s="53"/>
      <x:c r="U1059" s="53"/>
      <x:c r="V1059" s="53"/>
      <x:c r="W1059" s="53"/>
      <x:c r="X1059" s="53"/>
      <x:c r="Y1059" s="53"/>
      <x:c r="Z1059" s="53"/>
      <x:c r="AA1059" s="53"/>
      <x:c r="AB1059" s="53"/>
      <x:c r="AC1059" s="53"/>
      <x:c r="AD1059" s="53"/>
      <x:c r="AE1059" s="53"/>
      <x:c r="AF1059" s="53"/>
    </x:row>
    <x:row r="1060">
      <x:c r="A1060" s="53"/>
      <x:c r="B1060" s="53"/>
      <x:c r="C1060" s="53"/>
      <x:c r="D1060" s="53"/>
      <x:c r="E1060" s="53"/>
      <x:c r="F1060" s="53"/>
      <x:c r="G1060" s="53"/>
      <x:c r="H1060" s="53"/>
      <x:c r="I1060" s="53"/>
      <x:c r="J1060" s="53"/>
      <x:c r="K1060" s="53"/>
      <x:c r="L1060" s="53"/>
      <x:c r="M1060" s="53"/>
      <x:c r="N1060" s="53"/>
      <x:c r="O1060" s="53"/>
      <x:c r="P1060" s="53"/>
      <x:c r="Q1060" s="53"/>
      <x:c r="R1060" s="53"/>
      <x:c r="S1060" s="53"/>
      <x:c r="T1060" s="53"/>
      <x:c r="U1060" s="53"/>
      <x:c r="V1060" s="53"/>
      <x:c r="W1060" s="53"/>
      <x:c r="X1060" s="53"/>
      <x:c r="Y1060" s="53"/>
      <x:c r="Z1060" s="53"/>
      <x:c r="AA1060" s="53"/>
      <x:c r="AB1060" s="53"/>
      <x:c r="AC1060" s="53"/>
      <x:c r="AD1060" s="53"/>
      <x:c r="AE1060" s="53"/>
      <x:c r="AF1060" s="53"/>
    </x:row>
    <x:row r="1061">
      <x:c r="A1061" s="53"/>
      <x:c r="B1061" s="53"/>
      <x:c r="C1061" s="53"/>
      <x:c r="D1061" s="53"/>
      <x:c r="E1061" s="53"/>
      <x:c r="F1061" s="53"/>
      <x:c r="G1061" s="53"/>
      <x:c r="H1061" s="53"/>
      <x:c r="I1061" s="53"/>
      <x:c r="J1061" s="53"/>
      <x:c r="K1061" s="53"/>
      <x:c r="L1061" s="53"/>
      <x:c r="M1061" s="53"/>
      <x:c r="N1061" s="53"/>
      <x:c r="O1061" s="53"/>
      <x:c r="P1061" s="53"/>
      <x:c r="Q1061" s="53"/>
      <x:c r="R1061" s="53"/>
      <x:c r="S1061" s="53"/>
      <x:c r="T1061" s="53"/>
      <x:c r="U1061" s="53"/>
      <x:c r="V1061" s="53"/>
      <x:c r="W1061" s="53"/>
      <x:c r="X1061" s="53"/>
      <x:c r="Y1061" s="53"/>
      <x:c r="Z1061" s="53"/>
      <x:c r="AA1061" s="53"/>
      <x:c r="AB1061" s="53"/>
      <x:c r="AC1061" s="53"/>
      <x:c r="AD1061" s="53"/>
      <x:c r="AE1061" s="53"/>
      <x:c r="AF1061" s="53"/>
    </x:row>
    <x:row r="1062">
      <x:c r="A1062" s="53"/>
      <x:c r="B1062" s="53"/>
      <x:c r="C1062" s="53"/>
      <x:c r="D1062" s="53"/>
      <x:c r="E1062" s="53"/>
      <x:c r="F1062" s="53"/>
      <x:c r="G1062" s="53"/>
      <x:c r="H1062" s="53"/>
      <x:c r="I1062" s="53"/>
      <x:c r="J1062" s="53"/>
      <x:c r="K1062" s="53"/>
      <x:c r="L1062" s="53"/>
      <x:c r="M1062" s="53"/>
      <x:c r="N1062" s="53"/>
      <x:c r="O1062" s="53"/>
      <x:c r="P1062" s="53"/>
      <x:c r="Q1062" s="53"/>
      <x:c r="R1062" s="53"/>
      <x:c r="S1062" s="53"/>
      <x:c r="T1062" s="53"/>
      <x:c r="U1062" s="53"/>
      <x:c r="V1062" s="53"/>
      <x:c r="W1062" s="53"/>
      <x:c r="X1062" s="53"/>
      <x:c r="Y1062" s="53"/>
      <x:c r="Z1062" s="53"/>
      <x:c r="AA1062" s="53"/>
      <x:c r="AB1062" s="53"/>
      <x:c r="AC1062" s="53"/>
      <x:c r="AD1062" s="53"/>
      <x:c r="AE1062" s="53"/>
      <x:c r="AF1062" s="53"/>
    </x:row>
    <x:row r="1063">
      <x:c r="A1063" s="53"/>
      <x:c r="B1063" s="53"/>
      <x:c r="C1063" s="53"/>
      <x:c r="D1063" s="53"/>
      <x:c r="E1063" s="53"/>
      <x:c r="F1063" s="53"/>
      <x:c r="G1063" s="53"/>
      <x:c r="H1063" s="53"/>
      <x:c r="I1063" s="53"/>
      <x:c r="J1063" s="53"/>
      <x:c r="K1063" s="53"/>
      <x:c r="L1063" s="53"/>
      <x:c r="M1063" s="53"/>
      <x:c r="N1063" s="53"/>
      <x:c r="O1063" s="53"/>
      <x:c r="P1063" s="53"/>
      <x:c r="Q1063" s="53"/>
      <x:c r="R1063" s="53"/>
      <x:c r="S1063" s="53"/>
      <x:c r="T1063" s="53"/>
      <x:c r="U1063" s="53"/>
      <x:c r="V1063" s="53"/>
      <x:c r="W1063" s="53"/>
      <x:c r="X1063" s="53"/>
      <x:c r="Y1063" s="53"/>
      <x:c r="Z1063" s="53"/>
      <x:c r="AA1063" s="53"/>
      <x:c r="AB1063" s="53"/>
      <x:c r="AC1063" s="53"/>
      <x:c r="AD1063" s="53"/>
      <x:c r="AE1063" s="53"/>
      <x:c r="AF1063" s="53"/>
    </x:row>
    <x:row r="1064">
      <x:c r="A1064" s="53"/>
      <x:c r="B1064" s="53"/>
      <x:c r="C1064" s="53"/>
      <x:c r="D1064" s="53"/>
      <x:c r="E1064" s="53"/>
      <x:c r="F1064" s="53"/>
      <x:c r="G1064" s="53"/>
      <x:c r="H1064" s="53"/>
      <x:c r="I1064" s="53"/>
      <x:c r="J1064" s="53"/>
      <x:c r="K1064" s="53"/>
      <x:c r="L1064" s="53"/>
      <x:c r="M1064" s="53"/>
      <x:c r="N1064" s="53"/>
      <x:c r="O1064" s="53"/>
      <x:c r="P1064" s="53"/>
      <x:c r="Q1064" s="53"/>
      <x:c r="R1064" s="53"/>
      <x:c r="S1064" s="53"/>
      <x:c r="T1064" s="53"/>
      <x:c r="U1064" s="53"/>
      <x:c r="V1064" s="53"/>
      <x:c r="W1064" s="53"/>
      <x:c r="X1064" s="53"/>
      <x:c r="Y1064" s="53"/>
      <x:c r="Z1064" s="53"/>
      <x:c r="AA1064" s="53"/>
      <x:c r="AB1064" s="53"/>
      <x:c r="AC1064" s="53"/>
      <x:c r="AD1064" s="53"/>
      <x:c r="AE1064" s="53"/>
      <x:c r="AF1064" s="53"/>
    </x:row>
    <x:row r="1065">
      <x:c r="A1065" s="53"/>
      <x:c r="B1065" s="53"/>
      <x:c r="C1065" s="53"/>
      <x:c r="D1065" s="53"/>
      <x:c r="E1065" s="53"/>
      <x:c r="F1065" s="53"/>
      <x:c r="G1065" s="53"/>
      <x:c r="H1065" s="53"/>
      <x:c r="I1065" s="53"/>
      <x:c r="J1065" s="53"/>
      <x:c r="K1065" s="53"/>
      <x:c r="L1065" s="53"/>
      <x:c r="M1065" s="53"/>
      <x:c r="N1065" s="53"/>
      <x:c r="O1065" s="53"/>
      <x:c r="P1065" s="53"/>
      <x:c r="Q1065" s="53"/>
      <x:c r="R1065" s="53"/>
      <x:c r="S1065" s="53"/>
      <x:c r="T1065" s="53"/>
      <x:c r="U1065" s="53"/>
      <x:c r="V1065" s="53"/>
      <x:c r="W1065" s="53"/>
      <x:c r="X1065" s="53"/>
      <x:c r="Y1065" s="53"/>
      <x:c r="Z1065" s="53"/>
      <x:c r="AA1065" s="53"/>
      <x:c r="AB1065" s="53"/>
      <x:c r="AC1065" s="53"/>
      <x:c r="AD1065" s="53"/>
      <x:c r="AE1065" s="53"/>
      <x:c r="AF1065" s="53"/>
    </x:row>
    <x:row r="1066">
      <x:c r="A1066" s="53"/>
      <x:c r="B1066" s="53"/>
      <x:c r="C1066" s="53"/>
      <x:c r="D1066" s="53"/>
      <x:c r="E1066" s="53"/>
      <x:c r="F1066" s="53"/>
      <x:c r="G1066" s="53"/>
      <x:c r="H1066" s="53"/>
      <x:c r="I1066" s="53"/>
      <x:c r="J1066" s="53"/>
      <x:c r="K1066" s="53"/>
      <x:c r="L1066" s="53"/>
      <x:c r="M1066" s="53"/>
      <x:c r="N1066" s="53"/>
      <x:c r="O1066" s="53"/>
      <x:c r="P1066" s="53"/>
      <x:c r="Q1066" s="53"/>
      <x:c r="R1066" s="53"/>
      <x:c r="S1066" s="53"/>
      <x:c r="T1066" s="53"/>
      <x:c r="U1066" s="53"/>
      <x:c r="V1066" s="53"/>
      <x:c r="W1066" s="53"/>
      <x:c r="X1066" s="53"/>
      <x:c r="Y1066" s="53"/>
      <x:c r="Z1066" s="53"/>
      <x:c r="AA1066" s="53"/>
      <x:c r="AB1066" s="53"/>
      <x:c r="AC1066" s="53"/>
      <x:c r="AD1066" s="53"/>
      <x:c r="AE1066" s="53"/>
      <x:c r="AF1066" s="53"/>
    </x:row>
    <x:row r="1067">
      <x:c r="A1067" s="53"/>
      <x:c r="B1067" s="53"/>
      <x:c r="C1067" s="53"/>
      <x:c r="D1067" s="53"/>
      <x:c r="E1067" s="53"/>
      <x:c r="F1067" s="53"/>
      <x:c r="G1067" s="53"/>
      <x:c r="H1067" s="53"/>
      <x:c r="I1067" s="53"/>
      <x:c r="J1067" s="53"/>
      <x:c r="K1067" s="53"/>
      <x:c r="L1067" s="53"/>
      <x:c r="M1067" s="53"/>
      <x:c r="N1067" s="53"/>
      <x:c r="O1067" s="53"/>
      <x:c r="P1067" s="53"/>
      <x:c r="Q1067" s="53"/>
      <x:c r="R1067" s="53"/>
      <x:c r="S1067" s="53"/>
      <x:c r="T1067" s="53"/>
      <x:c r="U1067" s="53"/>
      <x:c r="V1067" s="53"/>
      <x:c r="W1067" s="53"/>
      <x:c r="X1067" s="53"/>
      <x:c r="Y1067" s="53"/>
      <x:c r="Z1067" s="53"/>
      <x:c r="AA1067" s="53"/>
      <x:c r="AB1067" s="53"/>
      <x:c r="AC1067" s="53"/>
      <x:c r="AD1067" s="53"/>
      <x:c r="AE1067" s="53"/>
      <x:c r="AF1067" s="53"/>
    </x:row>
    <x:row r="1068">
      <x:c r="A1068" s="53"/>
      <x:c r="B1068" s="53"/>
      <x:c r="C1068" s="53"/>
      <x:c r="D1068" s="53"/>
      <x:c r="E1068" s="53"/>
      <x:c r="F1068" s="53"/>
      <x:c r="G1068" s="53"/>
      <x:c r="H1068" s="53"/>
      <x:c r="I1068" s="53"/>
      <x:c r="J1068" s="53"/>
      <x:c r="K1068" s="53"/>
      <x:c r="L1068" s="53"/>
      <x:c r="M1068" s="53"/>
      <x:c r="N1068" s="53"/>
      <x:c r="O1068" s="53"/>
      <x:c r="P1068" s="53"/>
      <x:c r="Q1068" s="53"/>
      <x:c r="R1068" s="53"/>
      <x:c r="S1068" s="53"/>
      <x:c r="T1068" s="53"/>
      <x:c r="U1068" s="53"/>
      <x:c r="V1068" s="53"/>
      <x:c r="W1068" s="53"/>
      <x:c r="X1068" s="53"/>
      <x:c r="Y1068" s="53"/>
      <x:c r="Z1068" s="53"/>
      <x:c r="AA1068" s="53"/>
      <x:c r="AB1068" s="53"/>
      <x:c r="AC1068" s="53"/>
      <x:c r="AD1068" s="53"/>
      <x:c r="AE1068" s="53"/>
      <x:c r="AF1068" s="53"/>
    </x:row>
    <x:row r="1069">
      <x:c r="A1069" s="53"/>
      <x:c r="B1069" s="53"/>
      <x:c r="C1069" s="53"/>
      <x:c r="D1069" s="53"/>
      <x:c r="E1069" s="53"/>
      <x:c r="F1069" s="53"/>
      <x:c r="G1069" s="53"/>
      <x:c r="H1069" s="53"/>
      <x:c r="I1069" s="53"/>
      <x:c r="J1069" s="53"/>
      <x:c r="K1069" s="53"/>
      <x:c r="L1069" s="53"/>
      <x:c r="M1069" s="53"/>
      <x:c r="N1069" s="53"/>
      <x:c r="O1069" s="53"/>
      <x:c r="P1069" s="53"/>
      <x:c r="Q1069" s="53"/>
      <x:c r="R1069" s="53"/>
      <x:c r="S1069" s="53"/>
      <x:c r="T1069" s="53"/>
      <x:c r="U1069" s="53"/>
      <x:c r="V1069" s="53"/>
      <x:c r="W1069" s="53"/>
      <x:c r="X1069" s="53"/>
      <x:c r="Y1069" s="53"/>
      <x:c r="Z1069" s="53"/>
      <x:c r="AA1069" s="53"/>
      <x:c r="AB1069" s="53"/>
      <x:c r="AC1069" s="53"/>
      <x:c r="AD1069" s="53"/>
      <x:c r="AE1069" s="53"/>
      <x:c r="AF1069" s="53"/>
    </x:row>
    <x:row r="1070">
      <x:c r="A1070" s="53"/>
      <x:c r="B1070" s="53"/>
      <x:c r="C1070" s="53"/>
      <x:c r="D1070" s="53"/>
      <x:c r="E1070" s="53"/>
      <x:c r="F1070" s="53"/>
      <x:c r="G1070" s="53"/>
      <x:c r="H1070" s="53"/>
      <x:c r="I1070" s="53"/>
      <x:c r="J1070" s="53"/>
      <x:c r="K1070" s="53"/>
      <x:c r="L1070" s="53"/>
      <x:c r="M1070" s="53"/>
      <x:c r="N1070" s="53"/>
      <x:c r="O1070" s="53"/>
      <x:c r="P1070" s="53"/>
      <x:c r="Q1070" s="53"/>
      <x:c r="R1070" s="53"/>
      <x:c r="S1070" s="53"/>
      <x:c r="T1070" s="53"/>
      <x:c r="U1070" s="53"/>
      <x:c r="V1070" s="53"/>
      <x:c r="W1070" s="53"/>
      <x:c r="X1070" s="53"/>
      <x:c r="Y1070" s="53"/>
      <x:c r="Z1070" s="53"/>
      <x:c r="AA1070" s="53"/>
      <x:c r="AB1070" s="53"/>
      <x:c r="AC1070" s="53"/>
      <x:c r="AD1070" s="53"/>
      <x:c r="AE1070" s="53"/>
      <x:c r="AF1070" s="53"/>
    </x:row>
    <x:row r="1071">
      <x:c r="A1071" s="53"/>
      <x:c r="B1071" s="53"/>
      <x:c r="C1071" s="53"/>
      <x:c r="D1071" s="53"/>
      <x:c r="E1071" s="53"/>
      <x:c r="F1071" s="53"/>
      <x:c r="G1071" s="53"/>
      <x:c r="H1071" s="53"/>
      <x:c r="I1071" s="53"/>
      <x:c r="J1071" s="53"/>
      <x:c r="K1071" s="53"/>
      <x:c r="L1071" s="53"/>
      <x:c r="M1071" s="53"/>
      <x:c r="N1071" s="53"/>
      <x:c r="O1071" s="53"/>
      <x:c r="P1071" s="53"/>
      <x:c r="Q1071" s="53"/>
      <x:c r="R1071" s="53"/>
      <x:c r="S1071" s="53"/>
      <x:c r="T1071" s="53"/>
      <x:c r="U1071" s="53"/>
      <x:c r="V1071" s="53"/>
      <x:c r="W1071" s="53"/>
      <x:c r="X1071" s="53"/>
      <x:c r="Y1071" s="53"/>
      <x:c r="Z1071" s="53"/>
      <x:c r="AA1071" s="53"/>
      <x:c r="AB1071" s="53"/>
      <x:c r="AC1071" s="53"/>
      <x:c r="AD1071" s="53"/>
      <x:c r="AE1071" s="53"/>
      <x:c r="AF1071" s="53"/>
    </x:row>
    <x:row r="1072">
      <x:c r="A1072" s="53"/>
      <x:c r="B1072" s="53"/>
      <x:c r="C1072" s="53"/>
      <x:c r="D1072" s="53"/>
      <x:c r="E1072" s="53"/>
      <x:c r="F1072" s="53"/>
      <x:c r="G1072" s="53"/>
      <x:c r="H1072" s="53"/>
      <x:c r="I1072" s="53"/>
      <x:c r="J1072" s="53"/>
      <x:c r="K1072" s="53"/>
      <x:c r="L1072" s="53"/>
      <x:c r="M1072" s="53"/>
      <x:c r="N1072" s="53"/>
      <x:c r="O1072" s="53"/>
      <x:c r="P1072" s="53"/>
      <x:c r="Q1072" s="53"/>
      <x:c r="R1072" s="53"/>
      <x:c r="S1072" s="53"/>
      <x:c r="T1072" s="53"/>
      <x:c r="U1072" s="53"/>
      <x:c r="V1072" s="53"/>
      <x:c r="W1072" s="53"/>
      <x:c r="X1072" s="53"/>
      <x:c r="Y1072" s="53"/>
      <x:c r="Z1072" s="53"/>
      <x:c r="AA1072" s="53"/>
      <x:c r="AB1072" s="53"/>
      <x:c r="AC1072" s="53"/>
      <x:c r="AD1072" s="53"/>
      <x:c r="AE1072" s="53"/>
      <x:c r="AF1072" s="53"/>
    </x:row>
    <x:row r="1073">
      <x:c r="A1073" s="53"/>
      <x:c r="B1073" s="53"/>
      <x:c r="C1073" s="53"/>
      <x:c r="D1073" s="53"/>
      <x:c r="E1073" s="53"/>
      <x:c r="F1073" s="53"/>
      <x:c r="G1073" s="53"/>
      <x:c r="H1073" s="53"/>
      <x:c r="I1073" s="53"/>
      <x:c r="J1073" s="53"/>
      <x:c r="K1073" s="53"/>
      <x:c r="L1073" s="53"/>
      <x:c r="M1073" s="53"/>
      <x:c r="N1073" s="53"/>
      <x:c r="O1073" s="53"/>
      <x:c r="P1073" s="53"/>
      <x:c r="Q1073" s="53"/>
      <x:c r="R1073" s="53"/>
      <x:c r="S1073" s="53"/>
      <x:c r="T1073" s="53"/>
      <x:c r="U1073" s="53"/>
      <x:c r="V1073" s="53"/>
      <x:c r="W1073" s="53"/>
      <x:c r="X1073" s="53"/>
      <x:c r="Y1073" s="53"/>
      <x:c r="Z1073" s="53"/>
      <x:c r="AA1073" s="53"/>
      <x:c r="AB1073" s="53"/>
      <x:c r="AC1073" s="53"/>
      <x:c r="AD1073" s="53"/>
      <x:c r="AE1073" s="53"/>
      <x:c r="AF1073" s="53"/>
    </x:row>
    <x:row r="1074">
      <x:c r="A1074" s="53"/>
      <x:c r="B1074" s="53"/>
      <x:c r="C1074" s="53"/>
      <x:c r="D1074" s="53"/>
      <x:c r="E1074" s="53"/>
      <x:c r="F1074" s="53"/>
      <x:c r="G1074" s="53"/>
      <x:c r="H1074" s="53"/>
      <x:c r="I1074" s="53"/>
      <x:c r="J1074" s="53"/>
      <x:c r="K1074" s="53"/>
      <x:c r="L1074" s="53"/>
      <x:c r="M1074" s="53"/>
      <x:c r="N1074" s="53"/>
      <x:c r="O1074" s="53"/>
      <x:c r="P1074" s="53"/>
      <x:c r="Q1074" s="53"/>
      <x:c r="R1074" s="53"/>
      <x:c r="S1074" s="53"/>
      <x:c r="T1074" s="53"/>
      <x:c r="U1074" s="53"/>
      <x:c r="V1074" s="53"/>
      <x:c r="W1074" s="53"/>
      <x:c r="X1074" s="53"/>
      <x:c r="Y1074" s="53"/>
      <x:c r="Z1074" s="53"/>
      <x:c r="AA1074" s="53"/>
      <x:c r="AB1074" s="53"/>
      <x:c r="AC1074" s="53"/>
      <x:c r="AD1074" s="53"/>
      <x:c r="AE1074" s="53"/>
      <x:c r="AF1074" s="53"/>
    </x:row>
    <x:row r="1075">
      <x:c r="A1075" s="53"/>
      <x:c r="B1075" s="53"/>
      <x:c r="C1075" s="53"/>
      <x:c r="D1075" s="53"/>
      <x:c r="E1075" s="53"/>
      <x:c r="F1075" s="53"/>
      <x:c r="G1075" s="53"/>
      <x:c r="H1075" s="53"/>
      <x:c r="I1075" s="53"/>
      <x:c r="J1075" s="53"/>
      <x:c r="K1075" s="53"/>
      <x:c r="L1075" s="53"/>
      <x:c r="M1075" s="53"/>
      <x:c r="N1075" s="53"/>
      <x:c r="O1075" s="53"/>
      <x:c r="P1075" s="53"/>
      <x:c r="Q1075" s="53"/>
      <x:c r="R1075" s="53"/>
      <x:c r="S1075" s="53"/>
      <x:c r="T1075" s="53"/>
      <x:c r="U1075" s="53"/>
      <x:c r="V1075" s="53"/>
      <x:c r="W1075" s="53"/>
      <x:c r="X1075" s="53"/>
      <x:c r="Y1075" s="53"/>
      <x:c r="Z1075" s="53"/>
      <x:c r="AA1075" s="53"/>
      <x:c r="AB1075" s="53"/>
      <x:c r="AC1075" s="53"/>
      <x:c r="AD1075" s="53"/>
      <x:c r="AE1075" s="53"/>
      <x:c r="AF1075" s="53"/>
    </x:row>
    <x:row r="1076">
      <x:c r="A1076" s="53"/>
      <x:c r="B1076" s="53"/>
      <x:c r="C1076" s="53"/>
      <x:c r="D1076" s="53"/>
      <x:c r="E1076" s="53"/>
      <x:c r="F1076" s="53"/>
      <x:c r="G1076" s="53"/>
      <x:c r="H1076" s="53"/>
      <x:c r="I1076" s="53"/>
      <x:c r="J1076" s="53"/>
      <x:c r="K1076" s="53"/>
      <x:c r="L1076" s="53"/>
      <x:c r="M1076" s="53"/>
      <x:c r="N1076" s="53"/>
      <x:c r="O1076" s="53"/>
      <x:c r="P1076" s="53"/>
      <x:c r="Q1076" s="53"/>
      <x:c r="R1076" s="53"/>
      <x:c r="S1076" s="53"/>
      <x:c r="T1076" s="53"/>
      <x:c r="U1076" s="53"/>
      <x:c r="V1076" s="53"/>
      <x:c r="W1076" s="53"/>
      <x:c r="X1076" s="53"/>
      <x:c r="Y1076" s="53"/>
      <x:c r="Z1076" s="53"/>
      <x:c r="AA1076" s="53"/>
      <x:c r="AB1076" s="53"/>
      <x:c r="AC1076" s="53"/>
      <x:c r="AD1076" s="53"/>
      <x:c r="AE1076" s="53"/>
      <x:c r="AF1076" s="53"/>
    </x:row>
    <x:row r="1077">
      <x:c r="A1077" s="53"/>
      <x:c r="B1077" s="53"/>
      <x:c r="C1077" s="53"/>
      <x:c r="D1077" s="53"/>
      <x:c r="E1077" s="53"/>
      <x:c r="F1077" s="53"/>
      <x:c r="G1077" s="53"/>
      <x:c r="H1077" s="53"/>
      <x:c r="I1077" s="53"/>
      <x:c r="J1077" s="53"/>
      <x:c r="K1077" s="53"/>
      <x:c r="L1077" s="53"/>
      <x:c r="M1077" s="53"/>
      <x:c r="N1077" s="53"/>
      <x:c r="O1077" s="53"/>
      <x:c r="P1077" s="53"/>
      <x:c r="Q1077" s="53"/>
      <x:c r="R1077" s="53"/>
      <x:c r="S1077" s="53"/>
      <x:c r="T1077" s="53"/>
      <x:c r="U1077" s="53"/>
      <x:c r="V1077" s="53"/>
      <x:c r="W1077" s="53"/>
      <x:c r="X1077" s="53"/>
      <x:c r="Y1077" s="53"/>
      <x:c r="Z1077" s="53"/>
      <x:c r="AA1077" s="53"/>
      <x:c r="AB1077" s="53"/>
      <x:c r="AC1077" s="53"/>
      <x:c r="AD1077" s="53"/>
      <x:c r="AE1077" s="53"/>
      <x:c r="AF1077" s="53"/>
    </x:row>
    <x:row r="1078">
      <x:c r="A1078" s="53"/>
      <x:c r="B1078" s="53"/>
      <x:c r="C1078" s="53"/>
      <x:c r="D1078" s="53"/>
      <x:c r="E1078" s="53"/>
      <x:c r="F1078" s="53"/>
      <x:c r="G1078" s="53"/>
      <x:c r="H1078" s="53"/>
      <x:c r="I1078" s="53"/>
      <x:c r="J1078" s="53"/>
      <x:c r="K1078" s="53"/>
      <x:c r="L1078" s="53"/>
      <x:c r="M1078" s="53"/>
      <x:c r="N1078" s="53"/>
      <x:c r="O1078" s="53"/>
      <x:c r="P1078" s="53"/>
      <x:c r="Q1078" s="53"/>
      <x:c r="R1078" s="53"/>
      <x:c r="S1078" s="53"/>
      <x:c r="T1078" s="53"/>
      <x:c r="U1078" s="53"/>
      <x:c r="V1078" s="53"/>
      <x:c r="W1078" s="53"/>
      <x:c r="X1078" s="53"/>
      <x:c r="Y1078" s="53"/>
      <x:c r="Z1078" s="53"/>
      <x:c r="AA1078" s="53"/>
      <x:c r="AB1078" s="53"/>
      <x:c r="AC1078" s="53"/>
      <x:c r="AD1078" s="53"/>
      <x:c r="AE1078" s="53"/>
      <x:c r="AF1078" s="53"/>
    </x:row>
    <x:row r="1079">
      <x:c r="A1079" s="53"/>
      <x:c r="B1079" s="53"/>
      <x:c r="C1079" s="53"/>
      <x:c r="D1079" s="53"/>
      <x:c r="E1079" s="53"/>
      <x:c r="F1079" s="53"/>
      <x:c r="G1079" s="53"/>
      <x:c r="H1079" s="53"/>
      <x:c r="I1079" s="53"/>
      <x:c r="J1079" s="53"/>
      <x:c r="K1079" s="53"/>
      <x:c r="L1079" s="53"/>
      <x:c r="M1079" s="53"/>
      <x:c r="N1079" s="53"/>
      <x:c r="O1079" s="53"/>
      <x:c r="P1079" s="53"/>
      <x:c r="Q1079" s="53"/>
      <x:c r="R1079" s="53"/>
      <x:c r="S1079" s="53"/>
      <x:c r="T1079" s="53"/>
      <x:c r="U1079" s="53"/>
      <x:c r="V1079" s="53"/>
      <x:c r="W1079" s="53"/>
      <x:c r="X1079" s="53"/>
      <x:c r="Y1079" s="53"/>
      <x:c r="Z1079" s="53"/>
      <x:c r="AA1079" s="53"/>
      <x:c r="AB1079" s="53"/>
      <x:c r="AC1079" s="53"/>
      <x:c r="AD1079" s="53"/>
      <x:c r="AE1079" s="53"/>
      <x:c r="AF1079" s="53"/>
    </x:row>
    <x:row r="1080">
      <x:c r="A1080" s="53"/>
      <x:c r="B1080" s="53"/>
      <x:c r="C1080" s="53"/>
      <x:c r="D1080" s="53"/>
      <x:c r="E1080" s="53"/>
      <x:c r="F1080" s="53"/>
      <x:c r="G1080" s="53"/>
      <x:c r="H1080" s="53"/>
      <x:c r="I1080" s="53"/>
      <x:c r="J1080" s="53"/>
      <x:c r="K1080" s="53"/>
      <x:c r="L1080" s="53"/>
      <x:c r="M1080" s="53"/>
      <x:c r="N1080" s="53"/>
      <x:c r="O1080" s="53"/>
      <x:c r="P1080" s="53"/>
      <x:c r="Q1080" s="53"/>
      <x:c r="R1080" s="53"/>
      <x:c r="S1080" s="53"/>
      <x:c r="T1080" s="53"/>
      <x:c r="U1080" s="53"/>
      <x:c r="V1080" s="53"/>
      <x:c r="W1080" s="53"/>
      <x:c r="X1080" s="53"/>
      <x:c r="Y1080" s="53"/>
      <x:c r="Z1080" s="53"/>
      <x:c r="AA1080" s="53"/>
      <x:c r="AB1080" s="53"/>
      <x:c r="AC1080" s="53"/>
      <x:c r="AD1080" s="53"/>
      <x:c r="AE1080" s="53"/>
      <x:c r="AF1080" s="53"/>
    </x:row>
    <x:row r="1081">
      <x:c r="A1081" s="53"/>
      <x:c r="B1081" s="53"/>
      <x:c r="C1081" s="53"/>
      <x:c r="D1081" s="53"/>
      <x:c r="E1081" s="53"/>
      <x:c r="F1081" s="53"/>
      <x:c r="G1081" s="53"/>
      <x:c r="H1081" s="53"/>
      <x:c r="I1081" s="53"/>
      <x:c r="J1081" s="53"/>
      <x:c r="K1081" s="53"/>
      <x:c r="L1081" s="53"/>
      <x:c r="M1081" s="53"/>
      <x:c r="N1081" s="53"/>
      <x:c r="O1081" s="53"/>
      <x:c r="P1081" s="53"/>
      <x:c r="Q1081" s="53"/>
      <x:c r="R1081" s="53"/>
      <x:c r="S1081" s="53"/>
      <x:c r="T1081" s="53"/>
      <x:c r="U1081" s="53"/>
      <x:c r="V1081" s="53"/>
      <x:c r="W1081" s="53"/>
      <x:c r="X1081" s="53"/>
      <x:c r="Y1081" s="53"/>
      <x:c r="Z1081" s="53"/>
      <x:c r="AA1081" s="53"/>
      <x:c r="AB1081" s="53"/>
      <x:c r="AC1081" s="53"/>
      <x:c r="AD1081" s="53"/>
      <x:c r="AE1081" s="53"/>
      <x:c r="AF1081" s="53"/>
    </x:row>
    <x:row r="1082">
      <x:c r="A1082" s="53"/>
      <x:c r="B1082" s="53"/>
      <x:c r="C1082" s="53"/>
      <x:c r="D1082" s="53"/>
      <x:c r="E1082" s="53"/>
      <x:c r="F1082" s="53"/>
      <x:c r="G1082" s="53"/>
      <x:c r="H1082" s="53"/>
      <x:c r="I1082" s="53"/>
      <x:c r="J1082" s="53"/>
      <x:c r="K1082" s="53"/>
      <x:c r="L1082" s="53"/>
      <x:c r="M1082" s="53"/>
      <x:c r="N1082" s="53"/>
      <x:c r="O1082" s="53"/>
      <x:c r="P1082" s="53"/>
      <x:c r="Q1082" s="53"/>
      <x:c r="R1082" s="53"/>
      <x:c r="S1082" s="53"/>
      <x:c r="T1082" s="53"/>
      <x:c r="U1082" s="53"/>
      <x:c r="V1082" s="53"/>
      <x:c r="W1082" s="53"/>
      <x:c r="X1082" s="53"/>
      <x:c r="Y1082" s="53"/>
      <x:c r="Z1082" s="53"/>
      <x:c r="AA1082" s="53"/>
      <x:c r="AB1082" s="53"/>
      <x:c r="AC1082" s="53"/>
      <x:c r="AD1082" s="53"/>
      <x:c r="AE1082" s="53"/>
      <x:c r="AF1082" s="53"/>
    </x:row>
    <x:row r="1083">
      <x:c r="A1083" s="53"/>
      <x:c r="B1083" s="53"/>
      <x:c r="C1083" s="53"/>
      <x:c r="D1083" s="53"/>
      <x:c r="E1083" s="53"/>
      <x:c r="F1083" s="53"/>
      <x:c r="G1083" s="53"/>
      <x:c r="H1083" s="53"/>
      <x:c r="I1083" s="53"/>
      <x:c r="J1083" s="53"/>
      <x:c r="K1083" s="53"/>
      <x:c r="L1083" s="53"/>
      <x:c r="M1083" s="53"/>
      <x:c r="N1083" s="53"/>
      <x:c r="O1083" s="53"/>
      <x:c r="P1083" s="53"/>
      <x:c r="Q1083" s="53"/>
      <x:c r="R1083" s="53"/>
      <x:c r="S1083" s="53"/>
      <x:c r="T1083" s="53"/>
      <x:c r="U1083" s="53"/>
      <x:c r="V1083" s="53"/>
      <x:c r="W1083" s="53"/>
      <x:c r="X1083" s="53"/>
      <x:c r="Y1083" s="53"/>
      <x:c r="Z1083" s="53"/>
      <x:c r="AA1083" s="53"/>
      <x:c r="AB1083" s="53"/>
      <x:c r="AC1083" s="53"/>
      <x:c r="AD1083" s="53"/>
      <x:c r="AE1083" s="53"/>
      <x:c r="AF1083" s="53"/>
    </x:row>
    <x:row r="1084">
      <x:c r="A1084" s="53"/>
      <x:c r="B1084" s="53"/>
      <x:c r="C1084" s="53"/>
      <x:c r="D1084" s="53"/>
      <x:c r="E1084" s="53"/>
      <x:c r="F1084" s="53"/>
      <x:c r="G1084" s="53"/>
      <x:c r="H1084" s="53"/>
      <x:c r="I1084" s="53"/>
      <x:c r="J1084" s="53"/>
      <x:c r="K1084" s="53"/>
      <x:c r="L1084" s="53"/>
      <x:c r="M1084" s="53"/>
      <x:c r="N1084" s="53"/>
      <x:c r="O1084" s="53"/>
      <x:c r="P1084" s="53"/>
      <x:c r="Q1084" s="53"/>
      <x:c r="R1084" s="53"/>
      <x:c r="S1084" s="53"/>
      <x:c r="T1084" s="53"/>
      <x:c r="U1084" s="53"/>
      <x:c r="V1084" s="53"/>
      <x:c r="W1084" s="53"/>
      <x:c r="X1084" s="53"/>
      <x:c r="Y1084" s="53"/>
      <x:c r="Z1084" s="53"/>
      <x:c r="AA1084" s="53"/>
      <x:c r="AB1084" s="53"/>
      <x:c r="AC1084" s="53"/>
      <x:c r="AD1084" s="53"/>
      <x:c r="AE1084" s="53"/>
      <x:c r="AF1084" s="53"/>
    </x:row>
    <x:row r="1085">
      <x:c r="A1085" s="53"/>
      <x:c r="B1085" s="53"/>
      <x:c r="C1085" s="53"/>
      <x:c r="D1085" s="53"/>
      <x:c r="E1085" s="53"/>
      <x:c r="F1085" s="53"/>
      <x:c r="G1085" s="53"/>
      <x:c r="H1085" s="53"/>
      <x:c r="I1085" s="53"/>
      <x:c r="J1085" s="53"/>
      <x:c r="K1085" s="53"/>
      <x:c r="L1085" s="53"/>
      <x:c r="M1085" s="53"/>
      <x:c r="N1085" s="53"/>
      <x:c r="O1085" s="53"/>
      <x:c r="P1085" s="53"/>
      <x:c r="Q1085" s="53"/>
      <x:c r="R1085" s="53"/>
      <x:c r="S1085" s="53"/>
      <x:c r="T1085" s="53"/>
      <x:c r="U1085" s="53"/>
      <x:c r="V1085" s="53"/>
      <x:c r="W1085" s="53"/>
      <x:c r="X1085" s="53"/>
      <x:c r="Y1085" s="53"/>
      <x:c r="Z1085" s="53"/>
      <x:c r="AA1085" s="53"/>
      <x:c r="AB1085" s="53"/>
      <x:c r="AC1085" s="53"/>
      <x:c r="AD1085" s="53"/>
      <x:c r="AE1085" s="53"/>
      <x:c r="AF1085" s="53"/>
    </x:row>
    <x:row r="1086">
      <x:c r="A1086" s="53"/>
      <x:c r="B1086" s="53"/>
      <x:c r="C1086" s="53"/>
      <x:c r="D1086" s="53"/>
      <x:c r="E1086" s="53"/>
      <x:c r="F1086" s="53"/>
      <x:c r="G1086" s="53"/>
      <x:c r="H1086" s="53"/>
      <x:c r="I1086" s="53"/>
      <x:c r="J1086" s="53"/>
      <x:c r="K1086" s="53"/>
      <x:c r="L1086" s="53"/>
      <x:c r="M1086" s="53"/>
      <x:c r="N1086" s="53"/>
      <x:c r="O1086" s="53"/>
      <x:c r="P1086" s="53"/>
      <x:c r="Q1086" s="53"/>
      <x:c r="R1086" s="53"/>
      <x:c r="S1086" s="53"/>
      <x:c r="T1086" s="53"/>
      <x:c r="U1086" s="53"/>
      <x:c r="V1086" s="53"/>
      <x:c r="W1086" s="53"/>
      <x:c r="X1086" s="53"/>
      <x:c r="Y1086" s="53"/>
      <x:c r="Z1086" s="53"/>
      <x:c r="AA1086" s="53"/>
      <x:c r="AB1086" s="53"/>
      <x:c r="AC1086" s="53"/>
      <x:c r="AD1086" s="53"/>
      <x:c r="AE1086" s="53"/>
      <x:c r="AF1086" s="53"/>
    </x:row>
    <x:row r="1087">
      <x:c r="A1087" s="53"/>
      <x:c r="B1087" s="53"/>
      <x:c r="C1087" s="53"/>
      <x:c r="D1087" s="53"/>
      <x:c r="E1087" s="53"/>
      <x:c r="F1087" s="53"/>
      <x:c r="G1087" s="53"/>
      <x:c r="H1087" s="53"/>
      <x:c r="I1087" s="53"/>
      <x:c r="J1087" s="53"/>
      <x:c r="K1087" s="53"/>
      <x:c r="L1087" s="53"/>
      <x:c r="M1087" s="53"/>
      <x:c r="N1087" s="53"/>
      <x:c r="O1087" s="53"/>
      <x:c r="P1087" s="53"/>
      <x:c r="Q1087" s="53"/>
      <x:c r="R1087" s="53"/>
      <x:c r="S1087" s="53"/>
      <x:c r="T1087" s="53"/>
      <x:c r="U1087" s="53"/>
      <x:c r="V1087" s="53"/>
      <x:c r="W1087" s="53"/>
      <x:c r="X1087" s="53"/>
      <x:c r="Y1087" s="53"/>
      <x:c r="Z1087" s="53"/>
      <x:c r="AA1087" s="53"/>
      <x:c r="AB1087" s="53"/>
      <x:c r="AC1087" s="53"/>
      <x:c r="AD1087" s="53"/>
      <x:c r="AE1087" s="53"/>
      <x:c r="AF1087" s="53"/>
    </x:row>
    <x:row r="1088">
      <x:c r="A1088" s="53"/>
      <x:c r="B1088" s="53"/>
      <x:c r="C1088" s="53"/>
      <x:c r="D1088" s="53"/>
      <x:c r="E1088" s="53"/>
      <x:c r="F1088" s="53"/>
      <x:c r="G1088" s="53"/>
      <x:c r="H1088" s="53"/>
      <x:c r="I1088" s="53"/>
      <x:c r="J1088" s="53"/>
      <x:c r="K1088" s="53"/>
      <x:c r="L1088" s="53"/>
      <x:c r="M1088" s="53"/>
      <x:c r="N1088" s="53"/>
      <x:c r="O1088" s="53"/>
      <x:c r="P1088" s="53"/>
      <x:c r="Q1088" s="53"/>
      <x:c r="R1088" s="53"/>
      <x:c r="S1088" s="53"/>
      <x:c r="T1088" s="53"/>
      <x:c r="U1088" s="53"/>
      <x:c r="V1088" s="53"/>
      <x:c r="W1088" s="53"/>
      <x:c r="X1088" s="53"/>
      <x:c r="Y1088" s="53"/>
      <x:c r="Z1088" s="53"/>
      <x:c r="AA1088" s="53"/>
      <x:c r="AB1088" s="53"/>
      <x:c r="AC1088" s="53"/>
      <x:c r="AD1088" s="53"/>
      <x:c r="AE1088" s="53"/>
      <x:c r="AF1088" s="53"/>
    </x:row>
    <x:row r="1089">
      <x:c r="A1089" s="53"/>
      <x:c r="B1089" s="53"/>
      <x:c r="C1089" s="53"/>
      <x:c r="D1089" s="53"/>
      <x:c r="E1089" s="53"/>
      <x:c r="F1089" s="53"/>
      <x:c r="G1089" s="53"/>
      <x:c r="H1089" s="53"/>
      <x:c r="I1089" s="53"/>
      <x:c r="J1089" s="53"/>
      <x:c r="K1089" s="53"/>
      <x:c r="L1089" s="53"/>
      <x:c r="M1089" s="53"/>
      <x:c r="N1089" s="53"/>
      <x:c r="O1089" s="53"/>
      <x:c r="P1089" s="53"/>
      <x:c r="Q1089" s="53"/>
      <x:c r="R1089" s="53"/>
      <x:c r="S1089" s="53"/>
      <x:c r="T1089" s="53"/>
      <x:c r="U1089" s="53"/>
      <x:c r="V1089" s="53"/>
      <x:c r="W1089" s="53"/>
      <x:c r="X1089" s="53"/>
      <x:c r="Y1089" s="53"/>
      <x:c r="Z1089" s="53"/>
      <x:c r="AA1089" s="53"/>
      <x:c r="AB1089" s="53"/>
      <x:c r="AC1089" s="53"/>
      <x:c r="AD1089" s="53"/>
      <x:c r="AE1089" s="53"/>
      <x:c r="AF1089" s="53"/>
    </x:row>
    <x:row r="1090">
      <x:c r="A1090" s="53"/>
      <x:c r="B1090" s="53"/>
      <x:c r="C1090" s="53"/>
      <x:c r="D1090" s="53"/>
      <x:c r="E1090" s="53"/>
      <x:c r="F1090" s="53"/>
      <x:c r="G1090" s="53"/>
      <x:c r="H1090" s="53"/>
      <x:c r="I1090" s="53"/>
      <x:c r="J1090" s="53"/>
      <x:c r="K1090" s="53"/>
      <x:c r="L1090" s="53"/>
      <x:c r="M1090" s="53"/>
      <x:c r="N1090" s="53"/>
      <x:c r="O1090" s="53"/>
      <x:c r="P1090" s="53"/>
      <x:c r="Q1090" s="53"/>
      <x:c r="R1090" s="53"/>
      <x:c r="S1090" s="53"/>
      <x:c r="T1090" s="53"/>
      <x:c r="U1090" s="53"/>
      <x:c r="V1090" s="53"/>
      <x:c r="W1090" s="53"/>
      <x:c r="X1090" s="53"/>
      <x:c r="Y1090" s="53"/>
      <x:c r="Z1090" s="53"/>
      <x:c r="AA1090" s="53"/>
      <x:c r="AB1090" s="53"/>
      <x:c r="AC1090" s="53"/>
      <x:c r="AD1090" s="53"/>
      <x:c r="AE1090" s="53"/>
      <x:c r="AF1090" s="53"/>
    </x:row>
    <x:row r="1091">
      <x:c r="A1091" s="53"/>
      <x:c r="B1091" s="53"/>
      <x:c r="C1091" s="53"/>
      <x:c r="D1091" s="53"/>
      <x:c r="E1091" s="53"/>
      <x:c r="F1091" s="53"/>
      <x:c r="G1091" s="53"/>
      <x:c r="H1091" s="53"/>
      <x:c r="I1091" s="53"/>
      <x:c r="J1091" s="53"/>
      <x:c r="K1091" s="53"/>
      <x:c r="L1091" s="53"/>
      <x:c r="M1091" s="53"/>
      <x:c r="N1091" s="53"/>
      <x:c r="O1091" s="53"/>
      <x:c r="P1091" s="53"/>
      <x:c r="Q1091" s="53"/>
      <x:c r="R1091" s="53"/>
      <x:c r="S1091" s="53"/>
      <x:c r="T1091" s="53"/>
      <x:c r="U1091" s="53"/>
      <x:c r="V1091" s="53"/>
      <x:c r="W1091" s="53"/>
      <x:c r="X1091" s="53"/>
      <x:c r="Y1091" s="53"/>
      <x:c r="Z1091" s="53"/>
      <x:c r="AA1091" s="53"/>
      <x:c r="AB1091" s="53"/>
      <x:c r="AC1091" s="53"/>
      <x:c r="AD1091" s="53"/>
      <x:c r="AE1091" s="53"/>
      <x:c r="AF1091" s="53"/>
    </x:row>
    <x:row r="1092">
      <x:c r="A1092" s="53"/>
      <x:c r="B1092" s="53"/>
      <x:c r="C1092" s="53"/>
      <x:c r="D1092" s="53"/>
      <x:c r="E1092" s="53"/>
      <x:c r="F1092" s="53"/>
      <x:c r="G1092" s="53"/>
      <x:c r="H1092" s="53"/>
      <x:c r="I1092" s="53"/>
      <x:c r="J1092" s="53"/>
      <x:c r="K1092" s="53"/>
      <x:c r="L1092" s="53"/>
      <x:c r="M1092" s="53"/>
      <x:c r="N1092" s="53"/>
      <x:c r="O1092" s="53"/>
      <x:c r="P1092" s="53"/>
      <x:c r="Q1092" s="53"/>
      <x:c r="R1092" s="53"/>
      <x:c r="S1092" s="53"/>
      <x:c r="T1092" s="53"/>
      <x:c r="U1092" s="53"/>
      <x:c r="V1092" s="53"/>
      <x:c r="W1092" s="53"/>
      <x:c r="X1092" s="53"/>
      <x:c r="Y1092" s="53"/>
      <x:c r="Z1092" s="53"/>
      <x:c r="AA1092" s="53"/>
      <x:c r="AB1092" s="53"/>
      <x:c r="AC1092" s="53"/>
      <x:c r="AD1092" s="53"/>
      <x:c r="AE1092" s="53"/>
      <x:c r="AF1092" s="53"/>
    </x:row>
    <x:row r="1093">
      <x:c r="A1093" s="53"/>
      <x:c r="B1093" s="53"/>
      <x:c r="C1093" s="53"/>
      <x:c r="D1093" s="53"/>
      <x:c r="E1093" s="53"/>
      <x:c r="F1093" s="53"/>
      <x:c r="G1093" s="53"/>
      <x:c r="H1093" s="53"/>
      <x:c r="I1093" s="53"/>
      <x:c r="J1093" s="53"/>
      <x:c r="K1093" s="53"/>
      <x:c r="L1093" s="53"/>
      <x:c r="M1093" s="53"/>
      <x:c r="N1093" s="53"/>
      <x:c r="O1093" s="53"/>
      <x:c r="P1093" s="53"/>
      <x:c r="Q1093" s="53"/>
      <x:c r="R1093" s="53"/>
      <x:c r="S1093" s="53"/>
      <x:c r="T1093" s="53"/>
      <x:c r="U1093" s="53"/>
      <x:c r="V1093" s="53"/>
      <x:c r="W1093" s="53"/>
      <x:c r="X1093" s="53"/>
      <x:c r="Y1093" s="53"/>
      <x:c r="Z1093" s="53"/>
      <x:c r="AA1093" s="53"/>
      <x:c r="AB1093" s="53"/>
      <x:c r="AC1093" s="53"/>
      <x:c r="AD1093" s="53"/>
      <x:c r="AE1093" s="53"/>
      <x:c r="AF1093" s="53"/>
    </x:row>
    <x:row r="1094">
      <x:c r="A1094" s="53"/>
      <x:c r="B1094" s="53"/>
      <x:c r="C1094" s="53"/>
      <x:c r="D1094" s="53"/>
      <x:c r="E1094" s="53"/>
      <x:c r="F1094" s="53"/>
      <x:c r="G1094" s="53"/>
      <x:c r="H1094" s="53"/>
      <x:c r="I1094" s="53"/>
      <x:c r="J1094" s="53"/>
      <x:c r="K1094" s="53"/>
      <x:c r="L1094" s="53"/>
      <x:c r="M1094" s="53"/>
      <x:c r="N1094" s="53"/>
      <x:c r="O1094" s="53"/>
      <x:c r="P1094" s="53"/>
      <x:c r="Q1094" s="53"/>
      <x:c r="R1094" s="53"/>
      <x:c r="S1094" s="53"/>
      <x:c r="T1094" s="53"/>
      <x:c r="U1094" s="53"/>
      <x:c r="V1094" s="53"/>
      <x:c r="W1094" s="53"/>
      <x:c r="X1094" s="53"/>
      <x:c r="Y1094" s="53"/>
      <x:c r="Z1094" s="53"/>
      <x:c r="AA1094" s="53"/>
      <x:c r="AB1094" s="53"/>
      <x:c r="AC1094" s="53"/>
      <x:c r="AD1094" s="53"/>
      <x:c r="AE1094" s="53"/>
      <x:c r="AF1094" s="53"/>
    </x:row>
    <x:row r="1095">
      <x:c r="A1095" s="53"/>
      <x:c r="B1095" s="53"/>
      <x:c r="C1095" s="53"/>
      <x:c r="D1095" s="53"/>
      <x:c r="E1095" s="53"/>
      <x:c r="F1095" s="53"/>
      <x:c r="G1095" s="53"/>
      <x:c r="H1095" s="53"/>
      <x:c r="I1095" s="53"/>
      <x:c r="J1095" s="53"/>
      <x:c r="K1095" s="53"/>
      <x:c r="L1095" s="53"/>
      <x:c r="M1095" s="53"/>
      <x:c r="N1095" s="53"/>
      <x:c r="O1095" s="53"/>
      <x:c r="P1095" s="53"/>
      <x:c r="Q1095" s="53"/>
      <x:c r="R1095" s="53"/>
      <x:c r="S1095" s="53"/>
      <x:c r="T1095" s="53"/>
      <x:c r="U1095" s="53"/>
      <x:c r="V1095" s="53"/>
      <x:c r="W1095" s="53"/>
      <x:c r="X1095" s="53"/>
      <x:c r="Y1095" s="53"/>
      <x:c r="Z1095" s="53"/>
      <x:c r="AA1095" s="53"/>
      <x:c r="AB1095" s="53"/>
      <x:c r="AC1095" s="53"/>
      <x:c r="AD1095" s="53"/>
      <x:c r="AE1095" s="53"/>
      <x:c r="AF1095" s="53"/>
    </x:row>
    <x:row r="1096">
      <x:c r="A1096" s="53"/>
      <x:c r="B1096" s="53"/>
      <x:c r="C1096" s="53"/>
      <x:c r="D1096" s="53"/>
      <x:c r="E1096" s="53"/>
      <x:c r="F1096" s="53"/>
      <x:c r="G1096" s="53"/>
      <x:c r="H1096" s="53"/>
      <x:c r="I1096" s="53"/>
      <x:c r="J1096" s="53"/>
      <x:c r="K1096" s="53"/>
      <x:c r="L1096" s="53"/>
      <x:c r="M1096" s="53"/>
      <x:c r="N1096" s="53"/>
      <x:c r="O1096" s="53"/>
      <x:c r="P1096" s="53"/>
      <x:c r="Q1096" s="53"/>
      <x:c r="R1096" s="53"/>
      <x:c r="S1096" s="53"/>
      <x:c r="T1096" s="53"/>
      <x:c r="U1096" s="53"/>
      <x:c r="V1096" s="53"/>
      <x:c r="W1096" s="53"/>
      <x:c r="X1096" s="53"/>
      <x:c r="Y1096" s="53"/>
      <x:c r="Z1096" s="53"/>
      <x:c r="AA1096" s="53"/>
      <x:c r="AB1096" s="53"/>
      <x:c r="AC1096" s="53"/>
      <x:c r="AD1096" s="53"/>
      <x:c r="AE1096" s="53"/>
      <x:c r="AF1096" s="53"/>
    </x:row>
    <x:row r="1097">
      <x:c r="A1097" s="53"/>
      <x:c r="B1097" s="53"/>
      <x:c r="C1097" s="53"/>
      <x:c r="D1097" s="53"/>
      <x:c r="E1097" s="53"/>
      <x:c r="F1097" s="53"/>
      <x:c r="G1097" s="53"/>
      <x:c r="H1097" s="53"/>
      <x:c r="I1097" s="53"/>
      <x:c r="J1097" s="53"/>
      <x:c r="K1097" s="53"/>
      <x:c r="L1097" s="53"/>
      <x:c r="M1097" s="53"/>
      <x:c r="N1097" s="53"/>
      <x:c r="O1097" s="53"/>
      <x:c r="P1097" s="53"/>
      <x:c r="Q1097" s="53"/>
      <x:c r="R1097" s="53"/>
      <x:c r="S1097" s="53"/>
      <x:c r="T1097" s="53"/>
      <x:c r="U1097" s="53"/>
      <x:c r="V1097" s="53"/>
      <x:c r="W1097" s="53"/>
      <x:c r="X1097" s="53"/>
      <x:c r="Y1097" s="53"/>
      <x:c r="Z1097" s="53"/>
      <x:c r="AA1097" s="53"/>
      <x:c r="AB1097" s="53"/>
      <x:c r="AC1097" s="53"/>
      <x:c r="AD1097" s="53"/>
      <x:c r="AE1097" s="53"/>
      <x:c r="AF1097" s="53"/>
    </x:row>
    <x:row r="1098">
      <x:c r="A1098" s="53"/>
      <x:c r="B1098" s="53"/>
      <x:c r="C1098" s="53"/>
      <x:c r="D1098" s="53"/>
      <x:c r="E1098" s="53"/>
      <x:c r="F1098" s="53"/>
      <x:c r="G1098" s="53"/>
      <x:c r="H1098" s="53"/>
      <x:c r="I1098" s="53"/>
      <x:c r="J1098" s="53"/>
      <x:c r="K1098" s="53"/>
      <x:c r="L1098" s="53"/>
      <x:c r="M1098" s="53"/>
      <x:c r="N1098" s="53"/>
      <x:c r="O1098" s="53"/>
      <x:c r="P1098" s="53"/>
      <x:c r="Q1098" s="53"/>
      <x:c r="R1098" s="53"/>
      <x:c r="S1098" s="53"/>
      <x:c r="T1098" s="53"/>
      <x:c r="U1098" s="53"/>
      <x:c r="V1098" s="53"/>
      <x:c r="W1098" s="53"/>
      <x:c r="X1098" s="53"/>
      <x:c r="Y1098" s="53"/>
      <x:c r="Z1098" s="53"/>
      <x:c r="AA1098" s="53"/>
      <x:c r="AB1098" s="53"/>
      <x:c r="AC1098" s="53"/>
      <x:c r="AD1098" s="53"/>
      <x:c r="AE1098" s="53"/>
      <x:c r="AF1098" s="53"/>
    </x:row>
    <x:row r="1099">
      <x:c r="A1099" s="53"/>
      <x:c r="B1099" s="53"/>
      <x:c r="C1099" s="53"/>
      <x:c r="D1099" s="53"/>
      <x:c r="E1099" s="53"/>
      <x:c r="F1099" s="53"/>
      <x:c r="G1099" s="53"/>
      <x:c r="H1099" s="53"/>
      <x:c r="I1099" s="53"/>
      <x:c r="J1099" s="53"/>
      <x:c r="K1099" s="53"/>
      <x:c r="L1099" s="53"/>
      <x:c r="M1099" s="53"/>
      <x:c r="N1099" s="53"/>
      <x:c r="O1099" s="53"/>
      <x:c r="P1099" s="53"/>
      <x:c r="Q1099" s="53"/>
      <x:c r="R1099" s="53"/>
      <x:c r="S1099" s="53"/>
      <x:c r="T1099" s="53"/>
      <x:c r="U1099" s="53"/>
      <x:c r="V1099" s="53"/>
      <x:c r="W1099" s="53"/>
      <x:c r="X1099" s="53"/>
      <x:c r="Y1099" s="53"/>
      <x:c r="Z1099" s="53"/>
      <x:c r="AA1099" s="53"/>
      <x:c r="AB1099" s="53"/>
      <x:c r="AC1099" s="53"/>
      <x:c r="AD1099" s="53"/>
      <x:c r="AE1099" s="53"/>
      <x:c r="AF1099" s="53"/>
    </x:row>
    <x:row r="1100">
      <x:c r="A1100" s="53"/>
      <x:c r="B1100" s="53"/>
      <x:c r="C1100" s="53"/>
      <x:c r="D1100" s="53"/>
      <x:c r="E1100" s="53"/>
      <x:c r="F1100" s="53"/>
      <x:c r="G1100" s="53"/>
      <x:c r="H1100" s="53"/>
      <x:c r="I1100" s="53"/>
      <x:c r="J1100" s="53"/>
      <x:c r="K1100" s="53"/>
      <x:c r="L1100" s="53"/>
      <x:c r="M1100" s="53"/>
      <x:c r="N1100" s="53"/>
      <x:c r="O1100" s="53"/>
      <x:c r="P1100" s="53"/>
      <x:c r="Q1100" s="53"/>
      <x:c r="R1100" s="53"/>
      <x:c r="S1100" s="53"/>
      <x:c r="T1100" s="53"/>
      <x:c r="U1100" s="53"/>
      <x:c r="V1100" s="53"/>
      <x:c r="W1100" s="53"/>
      <x:c r="X1100" s="53"/>
      <x:c r="Y1100" s="53"/>
      <x:c r="Z1100" s="53"/>
      <x:c r="AA1100" s="53"/>
      <x:c r="AB1100" s="53"/>
      <x:c r="AC1100" s="53"/>
      <x:c r="AD1100" s="53"/>
      <x:c r="AE1100" s="53"/>
      <x:c r="AF1100" s="53"/>
    </x:row>
    <x:row r="1101">
      <x:c r="A1101" s="53"/>
      <x:c r="B1101" s="53"/>
      <x:c r="C1101" s="53"/>
      <x:c r="D1101" s="53"/>
      <x:c r="E1101" s="53"/>
      <x:c r="F1101" s="53"/>
      <x:c r="G1101" s="53"/>
      <x:c r="H1101" s="53"/>
      <x:c r="I1101" s="53"/>
      <x:c r="J1101" s="53"/>
      <x:c r="K1101" s="53"/>
      <x:c r="L1101" s="53"/>
      <x:c r="M1101" s="53"/>
      <x:c r="N1101" s="53"/>
      <x:c r="O1101" s="53"/>
      <x:c r="P1101" s="53"/>
      <x:c r="Q1101" s="53"/>
      <x:c r="R1101" s="53"/>
      <x:c r="S1101" s="53"/>
      <x:c r="T1101" s="53"/>
      <x:c r="U1101" s="53"/>
      <x:c r="V1101" s="53"/>
      <x:c r="W1101" s="53"/>
      <x:c r="X1101" s="53"/>
      <x:c r="Y1101" s="53"/>
      <x:c r="Z1101" s="53"/>
      <x:c r="AA1101" s="53"/>
      <x:c r="AB1101" s="53"/>
      <x:c r="AC1101" s="53"/>
      <x:c r="AD1101" s="53"/>
      <x:c r="AE1101" s="53"/>
      <x:c r="AF1101" s="53"/>
    </x:row>
    <x:row r="1102">
      <x:c r="A1102" s="53"/>
      <x:c r="B1102" s="53"/>
      <x:c r="C1102" s="53"/>
      <x:c r="D1102" s="53"/>
      <x:c r="E1102" s="53"/>
      <x:c r="F1102" s="53"/>
      <x:c r="G1102" s="53"/>
      <x:c r="H1102" s="53"/>
      <x:c r="I1102" s="53"/>
      <x:c r="J1102" s="53"/>
      <x:c r="K1102" s="53"/>
      <x:c r="L1102" s="53"/>
      <x:c r="M1102" s="53"/>
      <x:c r="N1102" s="53"/>
      <x:c r="O1102" s="53"/>
      <x:c r="P1102" s="53"/>
      <x:c r="Q1102" s="53"/>
      <x:c r="R1102" s="53"/>
      <x:c r="S1102" s="53"/>
      <x:c r="T1102" s="53"/>
      <x:c r="U1102" s="53"/>
      <x:c r="V1102" s="53"/>
      <x:c r="W1102" s="53"/>
      <x:c r="X1102" s="53"/>
      <x:c r="Y1102" s="53"/>
      <x:c r="Z1102" s="53"/>
      <x:c r="AA1102" s="53"/>
      <x:c r="AB1102" s="53"/>
      <x:c r="AC1102" s="53"/>
      <x:c r="AD1102" s="53"/>
      <x:c r="AE1102" s="53"/>
      <x:c r="AF1102" s="53"/>
    </x:row>
    <x:row r="1103">
      <x:c r="A1103" s="53"/>
      <x:c r="B1103" s="53"/>
      <x:c r="C1103" s="53"/>
      <x:c r="D1103" s="53"/>
      <x:c r="E1103" s="53"/>
      <x:c r="F1103" s="53"/>
      <x:c r="G1103" s="53"/>
      <x:c r="H1103" s="53"/>
      <x:c r="I1103" s="53"/>
      <x:c r="J1103" s="53"/>
      <x:c r="K1103" s="53"/>
      <x:c r="L1103" s="53"/>
      <x:c r="M1103" s="53"/>
      <x:c r="N1103" s="53"/>
      <x:c r="O1103" s="53"/>
      <x:c r="P1103" s="53"/>
      <x:c r="Q1103" s="53"/>
      <x:c r="R1103" s="53"/>
      <x:c r="S1103" s="53"/>
      <x:c r="T1103" s="53"/>
      <x:c r="U1103" s="53"/>
      <x:c r="V1103" s="53"/>
      <x:c r="W1103" s="53"/>
      <x:c r="X1103" s="53"/>
      <x:c r="Y1103" s="53"/>
      <x:c r="Z1103" s="53"/>
      <x:c r="AA1103" s="53"/>
      <x:c r="AB1103" s="53"/>
      <x:c r="AC1103" s="53"/>
      <x:c r="AD1103" s="53"/>
      <x:c r="AE1103" s="53"/>
      <x:c r="AF1103" s="53"/>
    </x:row>
    <x:row r="1104">
      <x:c r="A1104" s="53"/>
      <x:c r="B1104" s="53"/>
      <x:c r="C1104" s="53"/>
      <x:c r="D1104" s="53"/>
      <x:c r="E1104" s="53"/>
      <x:c r="F1104" s="53"/>
      <x:c r="G1104" s="53"/>
      <x:c r="H1104" s="53"/>
      <x:c r="I1104" s="53"/>
      <x:c r="J1104" s="53"/>
      <x:c r="K1104" s="53"/>
      <x:c r="L1104" s="53"/>
      <x:c r="M1104" s="53"/>
      <x:c r="N1104" s="53"/>
      <x:c r="O1104" s="53"/>
      <x:c r="P1104" s="53"/>
      <x:c r="Q1104" s="53"/>
      <x:c r="R1104" s="53"/>
      <x:c r="S1104" s="53"/>
      <x:c r="T1104" s="53"/>
      <x:c r="U1104" s="53"/>
      <x:c r="V1104" s="53"/>
      <x:c r="W1104" s="53"/>
      <x:c r="X1104" s="53"/>
      <x:c r="Y1104" s="53"/>
      <x:c r="Z1104" s="53"/>
      <x:c r="AA1104" s="53"/>
      <x:c r="AB1104" s="53"/>
      <x:c r="AC1104" s="53"/>
      <x:c r="AD1104" s="53"/>
      <x:c r="AE1104" s="53"/>
      <x:c r="AF1104" s="53"/>
    </x:row>
    <x:row r="1105">
      <x:c r="A1105" s="53"/>
      <x:c r="B1105" s="53"/>
      <x:c r="C1105" s="53"/>
      <x:c r="D1105" s="53"/>
      <x:c r="E1105" s="53"/>
      <x:c r="F1105" s="53"/>
      <x:c r="G1105" s="53"/>
      <x:c r="H1105" s="53"/>
      <x:c r="I1105" s="53"/>
      <x:c r="J1105" s="53"/>
      <x:c r="K1105" s="53"/>
      <x:c r="L1105" s="53"/>
      <x:c r="M1105" s="53"/>
      <x:c r="N1105" s="53"/>
      <x:c r="O1105" s="53"/>
      <x:c r="P1105" s="53"/>
      <x:c r="Q1105" s="53"/>
      <x:c r="R1105" s="53"/>
      <x:c r="S1105" s="53"/>
      <x:c r="T1105" s="53"/>
      <x:c r="U1105" s="53"/>
      <x:c r="V1105" s="53"/>
      <x:c r="W1105" s="53"/>
      <x:c r="X1105" s="53"/>
      <x:c r="Y1105" s="53"/>
      <x:c r="Z1105" s="53"/>
      <x:c r="AA1105" s="53"/>
      <x:c r="AB1105" s="53"/>
      <x:c r="AC1105" s="53"/>
      <x:c r="AD1105" s="53"/>
      <x:c r="AE1105" s="53"/>
      <x:c r="AF1105" s="53"/>
    </x:row>
    <x:row r="1106">
      <x:c r="A1106" s="53"/>
      <x:c r="B1106" s="53"/>
      <x:c r="C1106" s="53"/>
      <x:c r="D1106" s="53"/>
      <x:c r="E1106" s="53"/>
      <x:c r="F1106" s="53"/>
      <x:c r="G1106" s="53"/>
      <x:c r="H1106" s="53"/>
      <x:c r="I1106" s="53"/>
      <x:c r="J1106" s="53"/>
      <x:c r="K1106" s="53"/>
      <x:c r="L1106" s="53"/>
      <x:c r="M1106" s="53"/>
      <x:c r="N1106" s="53"/>
      <x:c r="O1106" s="53"/>
      <x:c r="P1106" s="53"/>
      <x:c r="Q1106" s="53"/>
      <x:c r="R1106" s="53"/>
      <x:c r="S1106" s="53"/>
      <x:c r="T1106" s="53"/>
      <x:c r="U1106" s="53"/>
      <x:c r="V1106" s="53"/>
      <x:c r="W1106" s="53"/>
      <x:c r="X1106" s="53"/>
      <x:c r="Y1106" s="53"/>
      <x:c r="Z1106" s="53"/>
      <x:c r="AA1106" s="53"/>
      <x:c r="AB1106" s="53"/>
      <x:c r="AC1106" s="53"/>
      <x:c r="AD1106" s="53"/>
      <x:c r="AE1106" s="53"/>
      <x:c r="AF1106" s="53"/>
    </x:row>
    <x:row r="1107">
      <x:c r="A1107" s="53"/>
      <x:c r="B1107" s="53"/>
      <x:c r="C1107" s="53"/>
      <x:c r="D1107" s="53"/>
      <x:c r="E1107" s="53"/>
      <x:c r="F1107" s="53"/>
      <x:c r="G1107" s="53"/>
      <x:c r="H1107" s="53"/>
      <x:c r="I1107" s="53"/>
      <x:c r="J1107" s="53"/>
      <x:c r="K1107" s="53"/>
      <x:c r="L1107" s="53"/>
      <x:c r="M1107" s="53"/>
      <x:c r="N1107" s="53"/>
      <x:c r="O1107" s="53"/>
      <x:c r="P1107" s="53"/>
      <x:c r="Q1107" s="53"/>
      <x:c r="R1107" s="53"/>
      <x:c r="S1107" s="53"/>
      <x:c r="T1107" s="53"/>
      <x:c r="U1107" s="53"/>
      <x:c r="V1107" s="53"/>
      <x:c r="W1107" s="53"/>
      <x:c r="X1107" s="53"/>
      <x:c r="Y1107" s="53"/>
      <x:c r="Z1107" s="53"/>
      <x:c r="AA1107" s="53"/>
      <x:c r="AB1107" s="53"/>
      <x:c r="AC1107" s="53"/>
      <x:c r="AD1107" s="53"/>
      <x:c r="AE1107" s="53"/>
      <x:c r="AF1107" s="53"/>
    </x:row>
    <x:row r="1108">
      <x:c r="A1108" s="53"/>
      <x:c r="B1108" s="53"/>
      <x:c r="C1108" s="53"/>
      <x:c r="D1108" s="53"/>
      <x:c r="E1108" s="53"/>
      <x:c r="F1108" s="53"/>
      <x:c r="G1108" s="53"/>
      <x:c r="H1108" s="53"/>
      <x:c r="I1108" s="53"/>
      <x:c r="J1108" s="53"/>
      <x:c r="K1108" s="53"/>
      <x:c r="L1108" s="53"/>
      <x:c r="M1108" s="53"/>
      <x:c r="N1108" s="53"/>
      <x:c r="O1108" s="53"/>
      <x:c r="P1108" s="53"/>
      <x:c r="Q1108" s="53"/>
      <x:c r="R1108" s="53"/>
      <x:c r="S1108" s="53"/>
      <x:c r="T1108" s="53"/>
      <x:c r="U1108" s="53"/>
      <x:c r="V1108" s="53"/>
      <x:c r="W1108" s="53"/>
      <x:c r="X1108" s="53"/>
      <x:c r="Y1108" s="53"/>
      <x:c r="Z1108" s="53"/>
      <x:c r="AA1108" s="53"/>
      <x:c r="AB1108" s="53"/>
      <x:c r="AC1108" s="53"/>
      <x:c r="AD1108" s="53"/>
      <x:c r="AE1108" s="53"/>
      <x:c r="AF1108" s="53"/>
    </x:row>
    <x:row r="1109">
      <x:c r="A1109" s="53"/>
      <x:c r="B1109" s="53"/>
      <x:c r="C1109" s="53"/>
      <x:c r="D1109" s="53"/>
      <x:c r="E1109" s="53"/>
      <x:c r="F1109" s="53"/>
      <x:c r="G1109" s="53"/>
      <x:c r="H1109" s="53"/>
      <x:c r="I1109" s="53"/>
      <x:c r="J1109" s="53"/>
      <x:c r="K1109" s="53"/>
      <x:c r="L1109" s="53"/>
      <x:c r="M1109" s="53"/>
      <x:c r="N1109" s="53"/>
      <x:c r="O1109" s="53"/>
      <x:c r="P1109" s="53"/>
      <x:c r="Q1109" s="53"/>
      <x:c r="R1109" s="53"/>
      <x:c r="S1109" s="53"/>
      <x:c r="T1109" s="53"/>
      <x:c r="U1109" s="53"/>
      <x:c r="V1109" s="53"/>
      <x:c r="W1109" s="53"/>
      <x:c r="X1109" s="53"/>
      <x:c r="Y1109" s="53"/>
      <x:c r="Z1109" s="53"/>
      <x:c r="AA1109" s="53"/>
      <x:c r="AB1109" s="53"/>
      <x:c r="AC1109" s="53"/>
      <x:c r="AD1109" s="53"/>
      <x:c r="AE1109" s="53"/>
      <x:c r="AF1109" s="53"/>
    </x:row>
    <x:row r="1110">
      <x:c r="A1110" s="53"/>
      <x:c r="B1110" s="53"/>
      <x:c r="C1110" s="53"/>
      <x:c r="D1110" s="53"/>
      <x:c r="E1110" s="53"/>
      <x:c r="F1110" s="53"/>
      <x:c r="G1110" s="53"/>
      <x:c r="H1110" s="53"/>
      <x:c r="I1110" s="53"/>
      <x:c r="J1110" s="53"/>
      <x:c r="K1110" s="53"/>
      <x:c r="L1110" s="53"/>
      <x:c r="M1110" s="53"/>
      <x:c r="N1110" s="53"/>
      <x:c r="O1110" s="53"/>
      <x:c r="P1110" s="53"/>
      <x:c r="Q1110" s="53"/>
      <x:c r="R1110" s="53"/>
      <x:c r="S1110" s="53"/>
      <x:c r="T1110" s="53"/>
      <x:c r="U1110" s="53"/>
      <x:c r="V1110" s="53"/>
      <x:c r="W1110" s="53"/>
      <x:c r="X1110" s="53"/>
      <x:c r="Y1110" s="53"/>
      <x:c r="Z1110" s="53"/>
      <x:c r="AA1110" s="53"/>
      <x:c r="AB1110" s="53"/>
      <x:c r="AC1110" s="53"/>
      <x:c r="AD1110" s="53"/>
      <x:c r="AE1110" s="53"/>
      <x:c r="AF1110" s="53"/>
    </x:row>
    <x:row r="1111">
      <x:c r="A1111" s="53"/>
      <x:c r="B1111" s="53"/>
      <x:c r="C1111" s="53"/>
      <x:c r="D1111" s="53"/>
      <x:c r="E1111" s="53"/>
      <x:c r="F1111" s="53"/>
      <x:c r="G1111" s="53"/>
      <x:c r="H1111" s="53"/>
      <x:c r="I1111" s="53"/>
      <x:c r="J1111" s="53"/>
      <x:c r="K1111" s="53"/>
      <x:c r="L1111" s="53"/>
      <x:c r="M1111" s="53"/>
      <x:c r="N1111" s="53"/>
      <x:c r="O1111" s="53"/>
      <x:c r="P1111" s="53"/>
      <x:c r="Q1111" s="53"/>
      <x:c r="R1111" s="53"/>
      <x:c r="S1111" s="53"/>
      <x:c r="T1111" s="53"/>
      <x:c r="U1111" s="53"/>
      <x:c r="V1111" s="53"/>
      <x:c r="W1111" s="53"/>
      <x:c r="X1111" s="53"/>
      <x:c r="Y1111" s="53"/>
      <x:c r="Z1111" s="53"/>
      <x:c r="AA1111" s="53"/>
      <x:c r="AB1111" s="53"/>
      <x:c r="AC1111" s="53"/>
      <x:c r="AD1111" s="53"/>
      <x:c r="AE1111" s="53"/>
      <x:c r="AF1111" s="53"/>
    </x:row>
    <x:row r="1112">
      <x:c r="A1112" s="53"/>
      <x:c r="B1112" s="53"/>
      <x:c r="C1112" s="53"/>
      <x:c r="D1112" s="53"/>
      <x:c r="E1112" s="53"/>
      <x:c r="F1112" s="53"/>
      <x:c r="G1112" s="53"/>
      <x:c r="H1112" s="53"/>
      <x:c r="I1112" s="53"/>
      <x:c r="J1112" s="53"/>
      <x:c r="K1112" s="53"/>
      <x:c r="L1112" s="53"/>
      <x:c r="M1112" s="53"/>
      <x:c r="N1112" s="53"/>
      <x:c r="O1112" s="53"/>
      <x:c r="P1112" s="53"/>
      <x:c r="Q1112" s="53"/>
      <x:c r="R1112" s="53"/>
      <x:c r="S1112" s="53"/>
      <x:c r="T1112" s="53"/>
      <x:c r="U1112" s="53"/>
      <x:c r="V1112" s="53"/>
      <x:c r="W1112" s="53"/>
      <x:c r="X1112" s="53"/>
      <x:c r="Y1112" s="53"/>
      <x:c r="Z1112" s="53"/>
      <x:c r="AA1112" s="53"/>
      <x:c r="AB1112" s="53"/>
      <x:c r="AC1112" s="53"/>
      <x:c r="AD1112" s="53"/>
      <x:c r="AE1112" s="53"/>
      <x:c r="AF1112" s="53"/>
    </x:row>
    <x:row r="1113">
      <x:c r="A1113" s="53"/>
      <x:c r="B1113" s="53"/>
      <x:c r="C1113" s="53"/>
      <x:c r="D1113" s="53"/>
      <x:c r="E1113" s="53"/>
      <x:c r="F1113" s="53"/>
      <x:c r="G1113" s="53"/>
      <x:c r="H1113" s="53"/>
      <x:c r="I1113" s="53"/>
      <x:c r="J1113" s="53"/>
      <x:c r="K1113" s="53"/>
      <x:c r="L1113" s="53"/>
      <x:c r="M1113" s="53"/>
      <x:c r="N1113" s="53"/>
      <x:c r="O1113" s="53"/>
      <x:c r="P1113" s="53"/>
      <x:c r="Q1113" s="53"/>
      <x:c r="R1113" s="53"/>
      <x:c r="S1113" s="53"/>
      <x:c r="T1113" s="53"/>
      <x:c r="U1113" s="53"/>
      <x:c r="V1113" s="53"/>
      <x:c r="W1113" s="53"/>
      <x:c r="X1113" s="53"/>
      <x:c r="Y1113" s="53"/>
      <x:c r="Z1113" s="53"/>
      <x:c r="AA1113" s="53"/>
      <x:c r="AB1113" s="53"/>
      <x:c r="AC1113" s="53"/>
      <x:c r="AD1113" s="53"/>
      <x:c r="AE1113" s="53"/>
      <x:c r="AF1113" s="53"/>
    </x:row>
    <x:row r="1114">
      <x:c r="A1114" s="53"/>
      <x:c r="B1114" s="53"/>
      <x:c r="C1114" s="53"/>
      <x:c r="D1114" s="53"/>
      <x:c r="E1114" s="53"/>
      <x:c r="F1114" s="53"/>
      <x:c r="G1114" s="53"/>
      <x:c r="H1114" s="53"/>
      <x:c r="I1114" s="53"/>
      <x:c r="J1114" s="53"/>
      <x:c r="K1114" s="53"/>
      <x:c r="L1114" s="53"/>
      <x:c r="M1114" s="53"/>
      <x:c r="N1114" s="53"/>
      <x:c r="O1114" s="53"/>
      <x:c r="P1114" s="53"/>
      <x:c r="Q1114" s="53"/>
      <x:c r="R1114" s="53"/>
      <x:c r="S1114" s="53"/>
      <x:c r="T1114" s="53"/>
      <x:c r="U1114" s="53"/>
      <x:c r="V1114" s="53"/>
      <x:c r="W1114" s="53"/>
      <x:c r="X1114" s="53"/>
      <x:c r="Y1114" s="53"/>
      <x:c r="Z1114" s="53"/>
      <x:c r="AA1114" s="53"/>
      <x:c r="AB1114" s="53"/>
      <x:c r="AC1114" s="53"/>
      <x:c r="AD1114" s="53"/>
      <x:c r="AE1114" s="53"/>
      <x:c r="AF1114" s="53"/>
    </x:row>
    <x:row r="1115">
      <x:c r="A1115" s="53"/>
      <x:c r="B1115" s="53"/>
      <x:c r="C1115" s="53"/>
      <x:c r="D1115" s="53"/>
      <x:c r="E1115" s="53"/>
      <x:c r="F1115" s="53"/>
      <x:c r="G1115" s="53"/>
      <x:c r="H1115" s="53"/>
      <x:c r="I1115" s="53"/>
      <x:c r="J1115" s="53"/>
      <x:c r="K1115" s="53"/>
      <x:c r="L1115" s="53"/>
      <x:c r="M1115" s="53"/>
      <x:c r="N1115" s="53"/>
      <x:c r="O1115" s="53"/>
      <x:c r="P1115" s="53"/>
      <x:c r="Q1115" s="53"/>
      <x:c r="R1115" s="53"/>
      <x:c r="S1115" s="53"/>
      <x:c r="T1115" s="53"/>
      <x:c r="U1115" s="53"/>
      <x:c r="V1115" s="53"/>
      <x:c r="W1115" s="53"/>
      <x:c r="X1115" s="53"/>
      <x:c r="Y1115" s="53"/>
      <x:c r="Z1115" s="53"/>
      <x:c r="AA1115" s="53"/>
      <x:c r="AB1115" s="53"/>
      <x:c r="AC1115" s="53"/>
      <x:c r="AD1115" s="53"/>
      <x:c r="AE1115" s="53"/>
      <x:c r="AF1115" s="53"/>
    </x:row>
    <x:row r="1116">
      <x:c r="A1116" s="53"/>
      <x:c r="B1116" s="53"/>
      <x:c r="C1116" s="53"/>
      <x:c r="D1116" s="53"/>
      <x:c r="E1116" s="53"/>
      <x:c r="F1116" s="53"/>
      <x:c r="G1116" s="53"/>
      <x:c r="H1116" s="53"/>
      <x:c r="I1116" s="53"/>
      <x:c r="J1116" s="53"/>
      <x:c r="K1116" s="53"/>
      <x:c r="L1116" s="53"/>
      <x:c r="M1116" s="53"/>
      <x:c r="N1116" s="53"/>
      <x:c r="O1116" s="53"/>
      <x:c r="P1116" s="53"/>
      <x:c r="Q1116" s="53"/>
      <x:c r="R1116" s="53"/>
      <x:c r="S1116" s="53"/>
      <x:c r="T1116" s="53"/>
      <x:c r="U1116" s="53"/>
      <x:c r="V1116" s="53"/>
      <x:c r="W1116" s="53"/>
      <x:c r="X1116" s="53"/>
      <x:c r="Y1116" s="53"/>
      <x:c r="Z1116" s="53"/>
      <x:c r="AA1116" s="53"/>
      <x:c r="AB1116" s="53"/>
      <x:c r="AC1116" s="53"/>
      <x:c r="AD1116" s="53"/>
      <x:c r="AE1116" s="53"/>
      <x:c r="AF1116" s="53"/>
    </x:row>
    <x:row r="1117">
      <x:c r="A1117" s="53"/>
      <x:c r="B1117" s="53"/>
      <x:c r="C1117" s="53"/>
      <x:c r="D1117" s="53"/>
      <x:c r="E1117" s="53"/>
      <x:c r="F1117" s="53"/>
      <x:c r="G1117" s="53"/>
      <x:c r="H1117" s="53"/>
      <x:c r="I1117" s="53"/>
      <x:c r="J1117" s="53"/>
      <x:c r="K1117" s="53"/>
      <x:c r="L1117" s="53"/>
      <x:c r="M1117" s="53"/>
      <x:c r="N1117" s="53"/>
      <x:c r="O1117" s="53"/>
      <x:c r="P1117" s="53"/>
      <x:c r="Q1117" s="53"/>
      <x:c r="R1117" s="53"/>
      <x:c r="S1117" s="53"/>
      <x:c r="T1117" s="53"/>
      <x:c r="U1117" s="53"/>
      <x:c r="V1117" s="53"/>
      <x:c r="W1117" s="53"/>
      <x:c r="X1117" s="53"/>
      <x:c r="Y1117" s="53"/>
      <x:c r="Z1117" s="53"/>
      <x:c r="AA1117" s="53"/>
      <x:c r="AB1117" s="53"/>
      <x:c r="AC1117" s="53"/>
      <x:c r="AD1117" s="53"/>
      <x:c r="AE1117" s="53"/>
      <x:c r="AF1117" s="53"/>
    </x:row>
    <x:row r="1118">
      <x:c r="A1118" s="53"/>
      <x:c r="B1118" s="53"/>
      <x:c r="C1118" s="53"/>
      <x:c r="D1118" s="53"/>
      <x:c r="E1118" s="53"/>
      <x:c r="F1118" s="53"/>
      <x:c r="G1118" s="53"/>
      <x:c r="H1118" s="53"/>
      <x:c r="I1118" s="53"/>
      <x:c r="J1118" s="53"/>
      <x:c r="K1118" s="53"/>
      <x:c r="L1118" s="53"/>
      <x:c r="M1118" s="53"/>
      <x:c r="N1118" s="53"/>
      <x:c r="O1118" s="53"/>
      <x:c r="P1118" s="53"/>
      <x:c r="Q1118" s="53"/>
      <x:c r="R1118" s="53"/>
      <x:c r="S1118" s="53"/>
      <x:c r="T1118" s="53"/>
      <x:c r="U1118" s="53"/>
      <x:c r="V1118" s="53"/>
      <x:c r="W1118" s="53"/>
      <x:c r="X1118" s="53"/>
      <x:c r="Y1118" s="53"/>
      <x:c r="Z1118" s="53"/>
      <x:c r="AA1118" s="53"/>
      <x:c r="AB1118" s="53"/>
      <x:c r="AC1118" s="53"/>
      <x:c r="AD1118" s="53"/>
      <x:c r="AE1118" s="53"/>
      <x:c r="AF1118" s="53"/>
    </x:row>
    <x:row r="1119">
      <x:c r="A1119" s="53"/>
      <x:c r="B1119" s="53"/>
      <x:c r="C1119" s="53"/>
      <x:c r="D1119" s="53"/>
      <x:c r="E1119" s="53"/>
      <x:c r="F1119" s="53"/>
      <x:c r="G1119" s="53"/>
      <x:c r="H1119" s="53"/>
      <x:c r="I1119" s="53"/>
      <x:c r="J1119" s="53"/>
      <x:c r="K1119" s="53"/>
      <x:c r="L1119" s="53"/>
      <x:c r="M1119" s="53"/>
      <x:c r="N1119" s="53"/>
      <x:c r="O1119" s="53"/>
      <x:c r="P1119" s="53"/>
      <x:c r="Q1119" s="53"/>
      <x:c r="R1119" s="53"/>
      <x:c r="S1119" s="53"/>
      <x:c r="T1119" s="53"/>
      <x:c r="U1119" s="53"/>
      <x:c r="V1119" s="53"/>
      <x:c r="W1119" s="53"/>
      <x:c r="X1119" s="53"/>
      <x:c r="Y1119" s="53"/>
      <x:c r="Z1119" s="53"/>
      <x:c r="AA1119" s="53"/>
      <x:c r="AB1119" s="53"/>
      <x:c r="AC1119" s="53"/>
      <x:c r="AD1119" s="53"/>
      <x:c r="AE1119" s="53"/>
      <x:c r="AF1119" s="53"/>
    </x:row>
    <x:row r="1120">
      <x:c r="A1120" s="53"/>
      <x:c r="B1120" s="53"/>
      <x:c r="C1120" s="53"/>
      <x:c r="D1120" s="53"/>
      <x:c r="E1120" s="53"/>
      <x:c r="F1120" s="53"/>
      <x:c r="G1120" s="53"/>
      <x:c r="H1120" s="53"/>
      <x:c r="I1120" s="53"/>
      <x:c r="J1120" s="53"/>
      <x:c r="K1120" s="53"/>
      <x:c r="L1120" s="53"/>
      <x:c r="M1120" s="53"/>
      <x:c r="N1120" s="53"/>
      <x:c r="O1120" s="53"/>
      <x:c r="P1120" s="53"/>
      <x:c r="Q1120" s="53"/>
      <x:c r="R1120" s="53"/>
      <x:c r="S1120" s="53"/>
      <x:c r="T1120" s="53"/>
      <x:c r="U1120" s="53"/>
      <x:c r="V1120" s="53"/>
      <x:c r="W1120" s="53"/>
      <x:c r="X1120" s="53"/>
      <x:c r="Y1120" s="53"/>
      <x:c r="Z1120" s="53"/>
      <x:c r="AA1120" s="53"/>
      <x:c r="AB1120" s="53"/>
      <x:c r="AC1120" s="53"/>
      <x:c r="AD1120" s="53"/>
      <x:c r="AE1120" s="53"/>
      <x:c r="AF1120" s="53"/>
    </x:row>
    <x:row r="1121">
      <x:c r="A1121" s="53"/>
      <x:c r="B1121" s="53"/>
      <x:c r="C1121" s="53"/>
      <x:c r="D1121" s="53"/>
      <x:c r="E1121" s="53"/>
      <x:c r="F1121" s="53"/>
      <x:c r="G1121" s="53"/>
      <x:c r="H1121" s="53"/>
      <x:c r="I1121" s="53"/>
      <x:c r="J1121" s="53"/>
      <x:c r="K1121" s="53"/>
      <x:c r="L1121" s="53"/>
      <x:c r="M1121" s="53"/>
      <x:c r="N1121" s="53"/>
      <x:c r="O1121" s="53"/>
      <x:c r="P1121" s="53"/>
      <x:c r="Q1121" s="53"/>
      <x:c r="R1121" s="53"/>
      <x:c r="S1121" s="53"/>
      <x:c r="T1121" s="53"/>
      <x:c r="U1121" s="53"/>
      <x:c r="V1121" s="53"/>
      <x:c r="W1121" s="53"/>
      <x:c r="X1121" s="53"/>
      <x:c r="Y1121" s="53"/>
      <x:c r="Z1121" s="53"/>
      <x:c r="AA1121" s="53"/>
      <x:c r="AB1121" s="53"/>
      <x:c r="AC1121" s="53"/>
      <x:c r="AD1121" s="53"/>
      <x:c r="AE1121" s="53"/>
      <x:c r="AF1121" s="53"/>
    </x:row>
    <x:row r="1122">
      <x:c r="A1122" s="53"/>
      <x:c r="B1122" s="53"/>
      <x:c r="C1122" s="53"/>
      <x:c r="D1122" s="53"/>
      <x:c r="E1122" s="53"/>
      <x:c r="F1122" s="53"/>
      <x:c r="G1122" s="53"/>
      <x:c r="H1122" s="53"/>
      <x:c r="I1122" s="53"/>
      <x:c r="J1122" s="53"/>
      <x:c r="K1122" s="53"/>
      <x:c r="L1122" s="53"/>
      <x:c r="M1122" s="53"/>
      <x:c r="N1122" s="53"/>
      <x:c r="O1122" s="53"/>
      <x:c r="P1122" s="53"/>
      <x:c r="Q1122" s="53"/>
      <x:c r="R1122" s="53"/>
      <x:c r="S1122" s="53"/>
      <x:c r="T1122" s="53"/>
      <x:c r="U1122" s="53"/>
      <x:c r="V1122" s="53"/>
      <x:c r="W1122" s="53"/>
      <x:c r="X1122" s="53"/>
      <x:c r="Y1122" s="53"/>
      <x:c r="Z1122" s="53"/>
      <x:c r="AA1122" s="53"/>
      <x:c r="AB1122" s="53"/>
      <x:c r="AC1122" s="53"/>
      <x:c r="AD1122" s="53"/>
      <x:c r="AE1122" s="53"/>
      <x:c r="AF1122" s="53"/>
    </x:row>
    <x:row r="1123">
      <x:c r="A1123" s="53"/>
      <x:c r="B1123" s="53"/>
      <x:c r="C1123" s="53"/>
      <x:c r="D1123" s="53"/>
      <x:c r="E1123" s="53"/>
      <x:c r="F1123" s="53"/>
      <x:c r="G1123" s="53"/>
      <x:c r="H1123" s="53"/>
      <x:c r="I1123" s="53"/>
      <x:c r="J1123" s="53"/>
      <x:c r="K1123" s="53"/>
      <x:c r="L1123" s="53"/>
      <x:c r="M1123" s="53"/>
      <x:c r="N1123" s="53"/>
      <x:c r="O1123" s="53"/>
      <x:c r="P1123" s="53"/>
      <x:c r="Q1123" s="53"/>
      <x:c r="R1123" s="53"/>
      <x:c r="S1123" s="53"/>
      <x:c r="T1123" s="53"/>
      <x:c r="U1123" s="53"/>
      <x:c r="V1123" s="53"/>
      <x:c r="W1123" s="53"/>
      <x:c r="X1123" s="53"/>
      <x:c r="Y1123" s="53"/>
      <x:c r="Z1123" s="53"/>
      <x:c r="AA1123" s="53"/>
      <x:c r="AB1123" s="53"/>
      <x:c r="AC1123" s="53"/>
      <x:c r="AD1123" s="53"/>
      <x:c r="AE1123" s="53"/>
      <x:c r="AF1123" s="53"/>
    </x:row>
    <x:row r="1124">
      <x:c r="A1124" s="53"/>
      <x:c r="B1124" s="53"/>
      <x:c r="C1124" s="53"/>
      <x:c r="D1124" s="53"/>
      <x:c r="E1124" s="53"/>
      <x:c r="F1124" s="53"/>
      <x:c r="G1124" s="53"/>
      <x:c r="H1124" s="53"/>
      <x:c r="I1124" s="53"/>
      <x:c r="J1124" s="53"/>
      <x:c r="K1124" s="53"/>
      <x:c r="L1124" s="53"/>
      <x:c r="M1124" s="53"/>
      <x:c r="N1124" s="53"/>
      <x:c r="O1124" s="53"/>
      <x:c r="P1124" s="53"/>
      <x:c r="Q1124" s="53"/>
      <x:c r="R1124" s="53"/>
      <x:c r="S1124" s="53"/>
      <x:c r="T1124" s="53"/>
      <x:c r="U1124" s="53"/>
      <x:c r="V1124" s="53"/>
      <x:c r="W1124" s="53"/>
      <x:c r="X1124" s="53"/>
      <x:c r="Y1124" s="53"/>
      <x:c r="Z1124" s="53"/>
      <x:c r="AA1124" s="53"/>
      <x:c r="AB1124" s="53"/>
      <x:c r="AC1124" s="53"/>
      <x:c r="AD1124" s="53"/>
      <x:c r="AE1124" s="53"/>
      <x:c r="AF1124" s="53"/>
    </x:row>
    <x:row r="1125">
      <x:c r="A1125" s="53"/>
      <x:c r="B1125" s="53"/>
      <x:c r="C1125" s="53"/>
      <x:c r="D1125" s="53"/>
      <x:c r="E1125" s="53"/>
      <x:c r="F1125" s="53"/>
      <x:c r="G1125" s="53"/>
      <x:c r="H1125" s="53"/>
      <x:c r="I1125" s="53"/>
      <x:c r="J1125" s="53"/>
      <x:c r="K1125" s="53"/>
      <x:c r="L1125" s="53"/>
      <x:c r="M1125" s="53"/>
      <x:c r="N1125" s="53"/>
      <x:c r="O1125" s="53"/>
      <x:c r="P1125" s="53"/>
      <x:c r="Q1125" s="53"/>
      <x:c r="R1125" s="53"/>
      <x:c r="S1125" s="53"/>
      <x:c r="T1125" s="53"/>
      <x:c r="U1125" s="53"/>
      <x:c r="V1125" s="53"/>
      <x:c r="W1125" s="53"/>
      <x:c r="X1125" s="53"/>
      <x:c r="Y1125" s="53"/>
      <x:c r="Z1125" s="53"/>
      <x:c r="AA1125" s="53"/>
      <x:c r="AB1125" s="53"/>
      <x:c r="AC1125" s="53"/>
      <x:c r="AD1125" s="53"/>
      <x:c r="AE1125" s="53"/>
      <x:c r="AF1125" s="53"/>
    </x:row>
    <x:row r="1126">
      <x:c r="A1126" s="53"/>
      <x:c r="B1126" s="53"/>
      <x:c r="C1126" s="53"/>
      <x:c r="D1126" s="53"/>
      <x:c r="E1126" s="53"/>
      <x:c r="F1126" s="53"/>
      <x:c r="G1126" s="53"/>
      <x:c r="H1126" s="53"/>
      <x:c r="I1126" s="53"/>
      <x:c r="J1126" s="53"/>
      <x:c r="K1126" s="53"/>
      <x:c r="L1126" s="53"/>
      <x:c r="M1126" s="53"/>
      <x:c r="N1126" s="53"/>
      <x:c r="O1126" s="53"/>
      <x:c r="P1126" s="53"/>
      <x:c r="Q1126" s="53"/>
      <x:c r="R1126" s="53"/>
      <x:c r="S1126" s="53"/>
      <x:c r="T1126" s="53"/>
      <x:c r="U1126" s="53"/>
      <x:c r="V1126" s="53"/>
      <x:c r="W1126" s="53"/>
      <x:c r="X1126" s="53"/>
      <x:c r="Y1126" s="53"/>
      <x:c r="Z1126" s="53"/>
      <x:c r="AA1126" s="53"/>
      <x:c r="AB1126" s="53"/>
      <x:c r="AC1126" s="53"/>
      <x:c r="AD1126" s="53"/>
      <x:c r="AE1126" s="53"/>
      <x:c r="AF1126" s="53"/>
    </x:row>
    <x:row r="1127">
      <x:c r="A1127" s="53"/>
      <x:c r="B1127" s="53"/>
      <x:c r="C1127" s="53"/>
      <x:c r="D1127" s="53"/>
      <x:c r="E1127" s="53"/>
      <x:c r="F1127" s="53"/>
      <x:c r="G1127" s="53"/>
      <x:c r="H1127" s="53"/>
      <x:c r="I1127" s="53"/>
      <x:c r="J1127" s="53"/>
      <x:c r="K1127" s="53"/>
      <x:c r="L1127" s="53"/>
      <x:c r="M1127" s="53"/>
      <x:c r="N1127" s="53"/>
      <x:c r="O1127" s="53"/>
      <x:c r="P1127" s="53"/>
      <x:c r="Q1127" s="53"/>
      <x:c r="R1127" s="53"/>
      <x:c r="S1127" s="53"/>
      <x:c r="T1127" s="53"/>
      <x:c r="U1127" s="53"/>
      <x:c r="V1127" s="53"/>
      <x:c r="W1127" s="53"/>
      <x:c r="X1127" s="53"/>
      <x:c r="Y1127" s="53"/>
      <x:c r="Z1127" s="53"/>
      <x:c r="AA1127" s="53"/>
      <x:c r="AB1127" s="53"/>
      <x:c r="AC1127" s="53"/>
      <x:c r="AD1127" s="53"/>
      <x:c r="AE1127" s="53"/>
      <x:c r="AF1127" s="53"/>
    </x:row>
    <x:row r="1128">
      <x:c r="A1128" s="53"/>
      <x:c r="B1128" s="53"/>
      <x:c r="C1128" s="53"/>
      <x:c r="D1128" s="53"/>
      <x:c r="E1128" s="53"/>
      <x:c r="F1128" s="53"/>
      <x:c r="G1128" s="53"/>
      <x:c r="H1128" s="53"/>
      <x:c r="I1128" s="53"/>
      <x:c r="J1128" s="53"/>
      <x:c r="K1128" s="53"/>
      <x:c r="L1128" s="53"/>
      <x:c r="M1128" s="53"/>
      <x:c r="N1128" s="53"/>
      <x:c r="O1128" s="53"/>
      <x:c r="P1128" s="53"/>
      <x:c r="Q1128" s="53"/>
      <x:c r="R1128" s="53"/>
      <x:c r="S1128" s="53"/>
      <x:c r="T1128" s="53"/>
      <x:c r="U1128" s="53"/>
      <x:c r="V1128" s="53"/>
      <x:c r="W1128" s="53"/>
      <x:c r="X1128" s="53"/>
      <x:c r="Y1128" s="53"/>
      <x:c r="Z1128" s="53"/>
      <x:c r="AA1128" s="53"/>
      <x:c r="AB1128" s="53"/>
      <x:c r="AC1128" s="53"/>
      <x:c r="AD1128" s="53"/>
      <x:c r="AE1128" s="53"/>
      <x:c r="AF1128" s="53"/>
    </x:row>
    <x:row r="1129">
      <x:c r="A1129" s="53"/>
      <x:c r="B1129" s="53"/>
      <x:c r="C1129" s="53"/>
      <x:c r="D1129" s="53"/>
      <x:c r="E1129" s="53"/>
      <x:c r="F1129" s="53"/>
      <x:c r="G1129" s="53"/>
      <x:c r="H1129" s="53"/>
      <x:c r="I1129" s="53"/>
      <x:c r="J1129" s="53"/>
      <x:c r="K1129" s="53"/>
      <x:c r="L1129" s="53"/>
      <x:c r="M1129" s="53"/>
      <x:c r="N1129" s="53"/>
      <x:c r="O1129" s="53"/>
      <x:c r="P1129" s="53"/>
      <x:c r="Q1129" s="53"/>
      <x:c r="R1129" s="53"/>
      <x:c r="S1129" s="53"/>
      <x:c r="T1129" s="53"/>
      <x:c r="U1129" s="53"/>
      <x:c r="V1129" s="53"/>
      <x:c r="W1129" s="53"/>
      <x:c r="X1129" s="53"/>
      <x:c r="Y1129" s="53"/>
      <x:c r="Z1129" s="53"/>
      <x:c r="AA1129" s="53"/>
      <x:c r="AB1129" s="53"/>
      <x:c r="AC1129" s="53"/>
      <x:c r="AD1129" s="53"/>
      <x:c r="AE1129" s="53"/>
      <x:c r="AF1129" s="53"/>
    </x:row>
    <x:row r="1130">
      <x:c r="A1130" s="53"/>
      <x:c r="B1130" s="53"/>
      <x:c r="C1130" s="53"/>
      <x:c r="D1130" s="53"/>
      <x:c r="E1130" s="53"/>
      <x:c r="F1130" s="53"/>
      <x:c r="G1130" s="53"/>
      <x:c r="H1130" s="53"/>
      <x:c r="I1130" s="53"/>
      <x:c r="J1130" s="53"/>
      <x:c r="K1130" s="53"/>
      <x:c r="L1130" s="53"/>
      <x:c r="M1130" s="53"/>
      <x:c r="N1130" s="53"/>
      <x:c r="O1130" s="53"/>
      <x:c r="P1130" s="53"/>
      <x:c r="Q1130" s="53"/>
      <x:c r="R1130" s="53"/>
      <x:c r="S1130" s="53"/>
      <x:c r="T1130" s="53"/>
      <x:c r="U1130" s="53"/>
      <x:c r="V1130" s="53"/>
      <x:c r="W1130" s="53"/>
      <x:c r="X1130" s="53"/>
      <x:c r="Y1130" s="53"/>
      <x:c r="Z1130" s="53"/>
      <x:c r="AA1130" s="53"/>
      <x:c r="AB1130" s="53"/>
      <x:c r="AC1130" s="53"/>
      <x:c r="AD1130" s="53"/>
      <x:c r="AE1130" s="53"/>
      <x:c r="AF1130" s="53"/>
    </x:row>
    <x:row r="1131">
      <x:c r="A1131" s="53"/>
      <x:c r="B1131" s="53"/>
      <x:c r="C1131" s="53"/>
      <x:c r="D1131" s="53"/>
      <x:c r="E1131" s="53"/>
      <x:c r="F1131" s="53"/>
      <x:c r="G1131" s="53"/>
      <x:c r="H1131" s="53"/>
      <x:c r="I1131" s="53"/>
      <x:c r="J1131" s="53"/>
      <x:c r="K1131" s="53"/>
      <x:c r="L1131" s="53"/>
      <x:c r="M1131" s="53"/>
      <x:c r="N1131" s="53"/>
      <x:c r="O1131" s="53"/>
      <x:c r="P1131" s="53"/>
      <x:c r="Q1131" s="53"/>
      <x:c r="R1131" s="53"/>
      <x:c r="S1131" s="53"/>
      <x:c r="T1131" s="53"/>
      <x:c r="U1131" s="53"/>
      <x:c r="V1131" s="53"/>
      <x:c r="W1131" s="53"/>
      <x:c r="X1131" s="53"/>
      <x:c r="Y1131" s="53"/>
      <x:c r="Z1131" s="53"/>
      <x:c r="AA1131" s="53"/>
      <x:c r="AB1131" s="53"/>
      <x:c r="AC1131" s="53"/>
      <x:c r="AD1131" s="53"/>
      <x:c r="AE1131" s="53"/>
      <x:c r="AF1131" s="53"/>
    </x:row>
    <x:row r="1132">
      <x:c r="A1132" s="53"/>
      <x:c r="B1132" s="53"/>
      <x:c r="C1132" s="53"/>
      <x:c r="D1132" s="53"/>
      <x:c r="E1132" s="53"/>
      <x:c r="F1132" s="53"/>
      <x:c r="G1132" s="53"/>
      <x:c r="H1132" s="53"/>
      <x:c r="I1132" s="53"/>
      <x:c r="J1132" s="53"/>
      <x:c r="K1132" s="53"/>
      <x:c r="L1132" s="53"/>
      <x:c r="M1132" s="53"/>
      <x:c r="N1132" s="53"/>
      <x:c r="O1132" s="53"/>
      <x:c r="P1132" s="53"/>
      <x:c r="Q1132" s="53"/>
      <x:c r="R1132" s="53"/>
      <x:c r="S1132" s="53"/>
      <x:c r="T1132" s="53"/>
      <x:c r="U1132" s="53"/>
      <x:c r="V1132" s="53"/>
      <x:c r="W1132" s="53"/>
      <x:c r="X1132" s="53"/>
      <x:c r="Y1132" s="53"/>
      <x:c r="Z1132" s="53"/>
      <x:c r="AA1132" s="53"/>
      <x:c r="AB1132" s="53"/>
      <x:c r="AC1132" s="53"/>
      <x:c r="AD1132" s="53"/>
      <x:c r="AE1132" s="53"/>
      <x:c r="AF1132" s="53"/>
    </x:row>
    <x:row r="1133">
      <x:c r="A1133" s="53"/>
      <x:c r="B1133" s="53"/>
      <x:c r="C1133" s="53"/>
      <x:c r="D1133" s="53"/>
      <x:c r="E1133" s="53"/>
      <x:c r="F1133" s="53"/>
      <x:c r="G1133" s="53"/>
      <x:c r="H1133" s="53"/>
      <x:c r="I1133" s="53"/>
      <x:c r="J1133" s="53"/>
      <x:c r="K1133" s="53"/>
      <x:c r="L1133" s="53"/>
      <x:c r="M1133" s="53"/>
      <x:c r="N1133" s="53"/>
      <x:c r="O1133" s="53"/>
      <x:c r="P1133" s="53"/>
      <x:c r="Q1133" s="53"/>
      <x:c r="R1133" s="53"/>
      <x:c r="S1133" s="53"/>
      <x:c r="T1133" s="53"/>
      <x:c r="U1133" s="53"/>
      <x:c r="V1133" s="53"/>
      <x:c r="W1133" s="53"/>
      <x:c r="X1133" s="53"/>
      <x:c r="Y1133" s="53"/>
      <x:c r="Z1133" s="53"/>
      <x:c r="AA1133" s="53"/>
      <x:c r="AB1133" s="53"/>
      <x:c r="AC1133" s="53"/>
      <x:c r="AD1133" s="53"/>
      <x:c r="AE1133" s="53"/>
      <x:c r="AF1133" s="53"/>
    </x:row>
    <x:row r="1134">
      <x:c r="A1134" s="53"/>
      <x:c r="B1134" s="53"/>
      <x:c r="C1134" s="53"/>
      <x:c r="D1134" s="53"/>
      <x:c r="E1134" s="53"/>
      <x:c r="F1134" s="53"/>
      <x:c r="G1134" s="53"/>
      <x:c r="H1134" s="53"/>
      <x:c r="I1134" s="53"/>
      <x:c r="J1134" s="53"/>
      <x:c r="K1134" s="53"/>
      <x:c r="L1134" s="53"/>
      <x:c r="M1134" s="53"/>
      <x:c r="N1134" s="53"/>
      <x:c r="O1134" s="53"/>
      <x:c r="P1134" s="53"/>
      <x:c r="Q1134" s="53"/>
      <x:c r="R1134" s="53"/>
      <x:c r="S1134" s="53"/>
      <x:c r="T1134" s="53"/>
      <x:c r="U1134" s="53"/>
      <x:c r="V1134" s="53"/>
      <x:c r="W1134" s="53"/>
      <x:c r="X1134" s="53"/>
      <x:c r="Y1134" s="53"/>
      <x:c r="Z1134" s="53"/>
      <x:c r="AA1134" s="53"/>
      <x:c r="AB1134" s="53"/>
      <x:c r="AC1134" s="53"/>
      <x:c r="AD1134" s="53"/>
      <x:c r="AE1134" s="53"/>
      <x:c r="AF1134" s="53"/>
    </x:row>
    <x:row r="1135">
      <x:c r="A1135" s="53"/>
      <x:c r="B1135" s="53"/>
      <x:c r="C1135" s="53"/>
      <x:c r="D1135" s="53"/>
      <x:c r="E1135" s="53"/>
      <x:c r="F1135" s="53"/>
      <x:c r="G1135" s="53"/>
      <x:c r="H1135" s="53"/>
      <x:c r="I1135" s="53"/>
      <x:c r="J1135" s="53"/>
      <x:c r="K1135" s="53"/>
      <x:c r="L1135" s="53"/>
      <x:c r="M1135" s="53"/>
      <x:c r="N1135" s="53"/>
      <x:c r="O1135" s="53"/>
      <x:c r="P1135" s="53"/>
      <x:c r="Q1135" s="53"/>
      <x:c r="R1135" s="53"/>
      <x:c r="S1135" s="53"/>
      <x:c r="T1135" s="53"/>
      <x:c r="U1135" s="53"/>
      <x:c r="V1135" s="53"/>
      <x:c r="W1135" s="53"/>
      <x:c r="X1135" s="53"/>
      <x:c r="Y1135" s="53"/>
      <x:c r="Z1135" s="53"/>
      <x:c r="AA1135" s="53"/>
      <x:c r="AB1135" s="53"/>
      <x:c r="AC1135" s="53"/>
      <x:c r="AD1135" s="53"/>
      <x:c r="AE1135" s="53"/>
      <x:c r="AF1135" s="53"/>
    </x:row>
    <x:row r="1136">
      <x:c r="A1136" s="53"/>
      <x:c r="B1136" s="53"/>
      <x:c r="C1136" s="53"/>
      <x:c r="D1136" s="53"/>
      <x:c r="E1136" s="53"/>
      <x:c r="F1136" s="53"/>
      <x:c r="G1136" s="53"/>
      <x:c r="H1136" s="53"/>
      <x:c r="I1136" s="53"/>
      <x:c r="J1136" s="53"/>
      <x:c r="K1136" s="53"/>
      <x:c r="L1136" s="53"/>
      <x:c r="M1136" s="53"/>
      <x:c r="N1136" s="53"/>
      <x:c r="O1136" s="53"/>
      <x:c r="P1136" s="53"/>
      <x:c r="Q1136" s="53"/>
      <x:c r="R1136" s="53"/>
      <x:c r="S1136" s="53"/>
      <x:c r="T1136" s="53"/>
      <x:c r="U1136" s="53"/>
      <x:c r="V1136" s="53"/>
      <x:c r="W1136" s="53"/>
      <x:c r="X1136" s="53"/>
      <x:c r="Y1136" s="53"/>
      <x:c r="Z1136" s="53"/>
      <x:c r="AA1136" s="53"/>
      <x:c r="AB1136" s="53"/>
      <x:c r="AC1136" s="53"/>
      <x:c r="AD1136" s="53"/>
      <x:c r="AE1136" s="53"/>
      <x:c r="AF1136" s="53"/>
    </x:row>
    <x:row r="1137">
      <x:c r="A1137" s="53"/>
      <x:c r="B1137" s="53"/>
      <x:c r="C1137" s="53"/>
      <x:c r="D1137" s="53"/>
      <x:c r="E1137" s="53"/>
      <x:c r="F1137" s="53"/>
      <x:c r="G1137" s="53"/>
      <x:c r="H1137" s="53"/>
      <x:c r="I1137" s="53"/>
      <x:c r="J1137" s="53"/>
      <x:c r="K1137" s="53"/>
      <x:c r="L1137" s="53"/>
      <x:c r="M1137" s="53"/>
      <x:c r="N1137" s="53"/>
      <x:c r="O1137" s="53"/>
      <x:c r="P1137" s="53"/>
      <x:c r="Q1137" s="53"/>
      <x:c r="R1137" s="53"/>
      <x:c r="S1137" s="53"/>
      <x:c r="T1137" s="53"/>
      <x:c r="U1137" s="53"/>
      <x:c r="V1137" s="53"/>
      <x:c r="W1137" s="53"/>
      <x:c r="X1137" s="53"/>
      <x:c r="Y1137" s="53"/>
      <x:c r="Z1137" s="53"/>
      <x:c r="AA1137" s="53"/>
      <x:c r="AB1137" s="53"/>
      <x:c r="AC1137" s="53"/>
      <x:c r="AD1137" s="53"/>
      <x:c r="AE1137" s="53"/>
      <x:c r="AF1137" s="53"/>
    </x:row>
    <x:row r="1138">
      <x:c r="A1138" s="53"/>
      <x:c r="B1138" s="53"/>
      <x:c r="C1138" s="53"/>
      <x:c r="D1138" s="53"/>
      <x:c r="E1138" s="53"/>
      <x:c r="F1138" s="53"/>
      <x:c r="G1138" s="53"/>
      <x:c r="H1138" s="53"/>
      <x:c r="I1138" s="53"/>
      <x:c r="J1138" s="53"/>
      <x:c r="K1138" s="53"/>
      <x:c r="L1138" s="53"/>
      <x:c r="M1138" s="53"/>
      <x:c r="N1138" s="53"/>
      <x:c r="O1138" s="53"/>
      <x:c r="P1138" s="53"/>
      <x:c r="Q1138" s="53"/>
      <x:c r="R1138" s="53"/>
      <x:c r="S1138" s="53"/>
      <x:c r="T1138" s="53"/>
      <x:c r="U1138" s="53"/>
      <x:c r="V1138" s="53"/>
      <x:c r="W1138" s="53"/>
      <x:c r="X1138" s="53"/>
      <x:c r="Y1138" s="53"/>
      <x:c r="Z1138" s="53"/>
      <x:c r="AA1138" s="53"/>
      <x:c r="AB1138" s="53"/>
      <x:c r="AC1138" s="53"/>
      <x:c r="AD1138" s="53"/>
      <x:c r="AE1138" s="53"/>
      <x:c r="AF1138" s="53"/>
    </x:row>
    <x:row r="1139">
      <x:c r="A1139" s="53"/>
      <x:c r="B1139" s="53"/>
      <x:c r="C1139" s="53"/>
      <x:c r="D1139" s="53"/>
      <x:c r="E1139" s="53"/>
      <x:c r="F1139" s="53"/>
      <x:c r="G1139" s="53"/>
      <x:c r="H1139" s="53"/>
      <x:c r="I1139" s="53"/>
      <x:c r="J1139" s="53"/>
      <x:c r="K1139" s="53"/>
      <x:c r="L1139" s="53"/>
      <x:c r="M1139" s="53"/>
      <x:c r="N1139" s="53"/>
      <x:c r="O1139" s="53"/>
      <x:c r="P1139" s="53"/>
      <x:c r="Q1139" s="53"/>
      <x:c r="R1139" s="53"/>
      <x:c r="S1139" s="53"/>
      <x:c r="T1139" s="53"/>
      <x:c r="U1139" s="53"/>
      <x:c r="V1139" s="53"/>
      <x:c r="W1139" s="53"/>
      <x:c r="X1139" s="53"/>
      <x:c r="Y1139" s="53"/>
      <x:c r="Z1139" s="53"/>
      <x:c r="AA1139" s="53"/>
      <x:c r="AB1139" s="53"/>
      <x:c r="AC1139" s="53"/>
      <x:c r="AD1139" s="53"/>
      <x:c r="AE1139" s="53"/>
      <x:c r="AF1139" s="53"/>
    </x:row>
    <x:row r="1140">
      <x:c r="A1140" s="53"/>
      <x:c r="B1140" s="53"/>
      <x:c r="C1140" s="53"/>
      <x:c r="D1140" s="53"/>
      <x:c r="E1140" s="53"/>
      <x:c r="F1140" s="53"/>
      <x:c r="G1140" s="53"/>
      <x:c r="H1140" s="53"/>
      <x:c r="I1140" s="53"/>
      <x:c r="J1140" s="53"/>
      <x:c r="K1140" s="53"/>
      <x:c r="L1140" s="53"/>
      <x:c r="M1140" s="53"/>
      <x:c r="N1140" s="53"/>
      <x:c r="O1140" s="53"/>
      <x:c r="P1140" s="53"/>
      <x:c r="Q1140" s="53"/>
      <x:c r="R1140" s="53"/>
      <x:c r="S1140" s="53"/>
      <x:c r="T1140" s="53"/>
      <x:c r="U1140" s="53"/>
      <x:c r="V1140" s="53"/>
      <x:c r="W1140" s="53"/>
      <x:c r="X1140" s="53"/>
      <x:c r="Y1140" s="53"/>
      <x:c r="Z1140" s="53"/>
      <x:c r="AA1140" s="53"/>
      <x:c r="AB1140" s="53"/>
      <x:c r="AC1140" s="53"/>
      <x:c r="AD1140" s="53"/>
      <x:c r="AE1140" s="53"/>
      <x:c r="AF1140" s="53"/>
    </x:row>
    <x:row r="1141">
      <x:c r="A1141" s="53"/>
      <x:c r="B1141" s="53"/>
      <x:c r="C1141" s="53"/>
      <x:c r="D1141" s="53"/>
      <x:c r="E1141" s="53"/>
      <x:c r="F1141" s="53"/>
      <x:c r="G1141" s="53"/>
      <x:c r="H1141" s="53"/>
      <x:c r="I1141" s="53"/>
      <x:c r="J1141" s="53"/>
      <x:c r="K1141" s="53"/>
      <x:c r="L1141" s="53"/>
      <x:c r="M1141" s="53"/>
      <x:c r="N1141" s="53"/>
      <x:c r="O1141" s="53"/>
      <x:c r="P1141" s="53"/>
      <x:c r="Q1141" s="53"/>
      <x:c r="R1141" s="53"/>
      <x:c r="S1141" s="53"/>
      <x:c r="T1141" s="53"/>
      <x:c r="U1141" s="53"/>
      <x:c r="V1141" s="53"/>
      <x:c r="W1141" s="53"/>
      <x:c r="X1141" s="53"/>
      <x:c r="Y1141" s="53"/>
      <x:c r="Z1141" s="53"/>
      <x:c r="AA1141" s="53"/>
      <x:c r="AB1141" s="53"/>
      <x:c r="AC1141" s="53"/>
      <x:c r="AD1141" s="53"/>
      <x:c r="AE1141" s="53"/>
      <x:c r="AF1141" s="53"/>
    </x:row>
    <x:row r="1142">
      <x:c r="A1142" s="53"/>
      <x:c r="B1142" s="53"/>
      <x:c r="C1142" s="53"/>
      <x:c r="D1142" s="53"/>
      <x:c r="E1142" s="53"/>
      <x:c r="F1142" s="53"/>
      <x:c r="G1142" s="53"/>
      <x:c r="H1142" s="53"/>
      <x:c r="I1142" s="53"/>
      <x:c r="J1142" s="53"/>
      <x:c r="K1142" s="53"/>
      <x:c r="L1142" s="53"/>
      <x:c r="M1142" s="53"/>
      <x:c r="N1142" s="53"/>
      <x:c r="O1142" s="53"/>
      <x:c r="P1142" s="53"/>
      <x:c r="Q1142" s="53"/>
      <x:c r="R1142" s="53"/>
      <x:c r="S1142" s="53"/>
      <x:c r="T1142" s="53"/>
      <x:c r="U1142" s="53"/>
      <x:c r="V1142" s="53"/>
      <x:c r="W1142" s="53"/>
      <x:c r="X1142" s="53"/>
      <x:c r="Y1142" s="53"/>
      <x:c r="Z1142" s="53"/>
      <x:c r="AA1142" s="53"/>
      <x:c r="AB1142" s="53"/>
      <x:c r="AC1142" s="53"/>
      <x:c r="AD1142" s="53"/>
      <x:c r="AE1142" s="53"/>
      <x:c r="AF1142" s="53"/>
    </x:row>
    <x:row r="1143">
      <x:c r="A1143" s="53"/>
      <x:c r="B1143" s="53"/>
      <x:c r="C1143" s="53"/>
      <x:c r="D1143" s="53"/>
      <x:c r="E1143" s="53"/>
      <x:c r="F1143" s="53"/>
      <x:c r="G1143" s="53"/>
      <x:c r="H1143" s="53"/>
      <x:c r="I1143" s="53"/>
      <x:c r="J1143" s="53"/>
      <x:c r="K1143" s="53"/>
      <x:c r="L1143" s="53"/>
      <x:c r="M1143" s="53"/>
      <x:c r="N1143" s="53"/>
      <x:c r="O1143" s="53"/>
      <x:c r="P1143" s="53"/>
      <x:c r="Q1143" s="53"/>
      <x:c r="R1143" s="53"/>
      <x:c r="S1143" s="53"/>
      <x:c r="T1143" s="53"/>
      <x:c r="U1143" s="53"/>
      <x:c r="V1143" s="53"/>
      <x:c r="W1143" s="53"/>
      <x:c r="X1143" s="53"/>
      <x:c r="Y1143" s="53"/>
      <x:c r="Z1143" s="53"/>
      <x:c r="AA1143" s="53"/>
      <x:c r="AB1143" s="53"/>
      <x:c r="AC1143" s="53"/>
      <x:c r="AD1143" s="53"/>
      <x:c r="AE1143" s="53"/>
      <x:c r="AF1143" s="53"/>
    </x:row>
    <x:row r="1144">
      <x:c r="A1144" s="53"/>
      <x:c r="B1144" s="53"/>
      <x:c r="C1144" s="53"/>
      <x:c r="D1144" s="53"/>
      <x:c r="E1144" s="53"/>
      <x:c r="F1144" s="53"/>
      <x:c r="G1144" s="53"/>
      <x:c r="H1144" s="53"/>
      <x:c r="I1144" s="53"/>
      <x:c r="J1144" s="53"/>
      <x:c r="K1144" s="53"/>
      <x:c r="L1144" s="53"/>
      <x:c r="M1144" s="53"/>
      <x:c r="N1144" s="53"/>
      <x:c r="O1144" s="53"/>
      <x:c r="P1144" s="53"/>
      <x:c r="Q1144" s="53"/>
      <x:c r="R1144" s="53"/>
      <x:c r="S1144" s="53"/>
      <x:c r="T1144" s="53"/>
      <x:c r="U1144" s="53"/>
      <x:c r="V1144" s="53"/>
      <x:c r="W1144" s="53"/>
      <x:c r="X1144" s="53"/>
      <x:c r="Y1144" s="53"/>
      <x:c r="Z1144" s="53"/>
      <x:c r="AA1144" s="53"/>
      <x:c r="AB1144" s="53"/>
      <x:c r="AC1144" s="53"/>
      <x:c r="AD1144" s="53"/>
      <x:c r="AE1144" s="53"/>
      <x:c r="AF1144" s="53"/>
    </x:row>
    <x:row r="1145">
      <x:c r="A1145" s="53"/>
      <x:c r="B1145" s="53"/>
      <x:c r="C1145" s="53"/>
      <x:c r="D1145" s="53"/>
      <x:c r="E1145" s="53"/>
      <x:c r="F1145" s="53"/>
      <x:c r="G1145" s="53"/>
      <x:c r="H1145" s="53"/>
      <x:c r="I1145" s="53"/>
      <x:c r="J1145" s="53"/>
      <x:c r="K1145" s="53"/>
      <x:c r="L1145" s="53"/>
      <x:c r="M1145" s="53"/>
      <x:c r="N1145" s="53"/>
      <x:c r="O1145" s="53"/>
      <x:c r="P1145" s="53"/>
      <x:c r="Q1145" s="53"/>
      <x:c r="R1145" s="53"/>
      <x:c r="S1145" s="53"/>
      <x:c r="T1145" s="53"/>
      <x:c r="U1145" s="53"/>
      <x:c r="V1145" s="53"/>
      <x:c r="W1145" s="53"/>
      <x:c r="X1145" s="53"/>
      <x:c r="Y1145" s="53"/>
      <x:c r="Z1145" s="53"/>
      <x:c r="AA1145" s="53"/>
      <x:c r="AB1145" s="53"/>
      <x:c r="AC1145" s="53"/>
      <x:c r="AD1145" s="53"/>
      <x:c r="AE1145" s="53"/>
      <x:c r="AF1145" s="53"/>
    </x:row>
    <x:row r="1146">
      <x:c r="A1146" s="53"/>
      <x:c r="B1146" s="53"/>
      <x:c r="C1146" s="53"/>
      <x:c r="D1146" s="53"/>
      <x:c r="E1146" s="53"/>
      <x:c r="F1146" s="53"/>
      <x:c r="G1146" s="53"/>
      <x:c r="H1146" s="53"/>
      <x:c r="I1146" s="53"/>
      <x:c r="J1146" s="53"/>
      <x:c r="K1146" s="53"/>
      <x:c r="L1146" s="53"/>
      <x:c r="M1146" s="53"/>
      <x:c r="N1146" s="53"/>
      <x:c r="O1146" s="53"/>
      <x:c r="P1146" s="53"/>
      <x:c r="Q1146" s="53"/>
      <x:c r="R1146" s="53"/>
      <x:c r="S1146" s="53"/>
      <x:c r="T1146" s="53"/>
      <x:c r="U1146" s="53"/>
      <x:c r="V1146" s="53"/>
      <x:c r="W1146" s="53"/>
      <x:c r="X1146" s="53"/>
      <x:c r="Y1146" s="53"/>
      <x:c r="Z1146" s="53"/>
      <x:c r="AA1146" s="53"/>
      <x:c r="AB1146" s="53"/>
      <x:c r="AC1146" s="53"/>
      <x:c r="AD1146" s="53"/>
      <x:c r="AE1146" s="53"/>
      <x:c r="AF1146" s="53"/>
    </x:row>
    <x:row r="1147">
      <x:c r="A1147" s="53"/>
      <x:c r="B1147" s="53"/>
      <x:c r="C1147" s="53"/>
      <x:c r="D1147" s="53"/>
      <x:c r="E1147" s="53"/>
      <x:c r="F1147" s="53"/>
      <x:c r="G1147" s="53"/>
      <x:c r="H1147" s="53"/>
      <x:c r="I1147" s="53"/>
      <x:c r="J1147" s="53"/>
      <x:c r="K1147" s="53"/>
      <x:c r="L1147" s="53"/>
      <x:c r="M1147" s="53"/>
      <x:c r="N1147" s="53"/>
      <x:c r="O1147" s="53"/>
      <x:c r="P1147" s="53"/>
      <x:c r="Q1147" s="53"/>
      <x:c r="R1147" s="53"/>
      <x:c r="S1147" s="53"/>
      <x:c r="T1147" s="53"/>
      <x:c r="U1147" s="53"/>
      <x:c r="V1147" s="53"/>
      <x:c r="W1147" s="53"/>
      <x:c r="X1147" s="53"/>
      <x:c r="Y1147" s="53"/>
      <x:c r="Z1147" s="53"/>
      <x:c r="AA1147" s="53"/>
      <x:c r="AB1147" s="53"/>
      <x:c r="AC1147" s="53"/>
      <x:c r="AD1147" s="53"/>
      <x:c r="AE1147" s="53"/>
      <x:c r="AF1147" s="53"/>
    </x:row>
    <x:row r="1148">
      <x:c r="A1148" s="53"/>
      <x:c r="B1148" s="53"/>
      <x:c r="C1148" s="53"/>
      <x:c r="D1148" s="53"/>
      <x:c r="E1148" s="53"/>
      <x:c r="F1148" s="53"/>
      <x:c r="G1148" s="53"/>
      <x:c r="H1148" s="53"/>
      <x:c r="I1148" s="53"/>
      <x:c r="J1148" s="53"/>
      <x:c r="K1148" s="53"/>
      <x:c r="L1148" s="53"/>
      <x:c r="M1148" s="53"/>
      <x:c r="N1148" s="53"/>
      <x:c r="O1148" s="53"/>
      <x:c r="P1148" s="53"/>
      <x:c r="Q1148" s="53"/>
      <x:c r="R1148" s="53"/>
      <x:c r="S1148" s="53"/>
      <x:c r="T1148" s="53"/>
      <x:c r="U1148" s="53"/>
      <x:c r="V1148" s="53"/>
      <x:c r="W1148" s="53"/>
      <x:c r="X1148" s="53"/>
      <x:c r="Y1148" s="53"/>
      <x:c r="Z1148" s="53"/>
      <x:c r="AA1148" s="53"/>
      <x:c r="AB1148" s="53"/>
      <x:c r="AC1148" s="53"/>
      <x:c r="AD1148" s="53"/>
      <x:c r="AE1148" s="53"/>
      <x:c r="AF1148" s="53"/>
    </x:row>
    <x:row r="1149">
      <x:c r="A1149" s="53"/>
      <x:c r="B1149" s="53"/>
      <x:c r="C1149" s="53"/>
      <x:c r="D1149" s="53"/>
      <x:c r="E1149" s="53"/>
      <x:c r="F1149" s="53"/>
      <x:c r="G1149" s="53"/>
      <x:c r="H1149" s="53"/>
      <x:c r="I1149" s="53"/>
      <x:c r="J1149" s="53"/>
      <x:c r="K1149" s="53"/>
      <x:c r="L1149" s="53"/>
      <x:c r="M1149" s="53"/>
      <x:c r="N1149" s="53"/>
      <x:c r="O1149" s="53"/>
      <x:c r="P1149" s="53"/>
      <x:c r="Q1149" s="53"/>
      <x:c r="R1149" s="53"/>
      <x:c r="S1149" s="53"/>
      <x:c r="T1149" s="53"/>
      <x:c r="U1149" s="53"/>
      <x:c r="V1149" s="53"/>
      <x:c r="W1149" s="53"/>
      <x:c r="X1149" s="53"/>
      <x:c r="Y1149" s="53"/>
      <x:c r="Z1149" s="53"/>
      <x:c r="AA1149" s="53"/>
      <x:c r="AB1149" s="53"/>
      <x:c r="AC1149" s="53"/>
      <x:c r="AD1149" s="53"/>
      <x:c r="AE1149" s="53"/>
      <x:c r="AF1149" s="53"/>
    </x:row>
    <x:row r="1150">
      <x:c r="A1150" s="53"/>
      <x:c r="B1150" s="53"/>
      <x:c r="C1150" s="53"/>
      <x:c r="D1150" s="53"/>
      <x:c r="E1150" s="53"/>
      <x:c r="F1150" s="53"/>
      <x:c r="G1150" s="53"/>
      <x:c r="H1150" s="53"/>
      <x:c r="I1150" s="53"/>
      <x:c r="J1150" s="53"/>
      <x:c r="K1150" s="53"/>
      <x:c r="L1150" s="53"/>
      <x:c r="M1150" s="53"/>
      <x:c r="N1150" s="53"/>
      <x:c r="O1150" s="53"/>
      <x:c r="P1150" s="53"/>
      <x:c r="Q1150" s="53"/>
      <x:c r="R1150" s="53"/>
      <x:c r="S1150" s="53"/>
      <x:c r="T1150" s="53"/>
      <x:c r="U1150" s="53"/>
      <x:c r="V1150" s="53"/>
      <x:c r="W1150" s="53"/>
      <x:c r="X1150" s="53"/>
      <x:c r="Y1150" s="53"/>
      <x:c r="Z1150" s="53"/>
      <x:c r="AA1150" s="53"/>
      <x:c r="AB1150" s="53"/>
      <x:c r="AC1150" s="53"/>
      <x:c r="AD1150" s="53"/>
      <x:c r="AE1150" s="53"/>
      <x:c r="AF1150" s="53"/>
    </x:row>
    <x:row r="1151">
      <x:c r="A1151" s="53"/>
      <x:c r="B1151" s="53"/>
      <x:c r="C1151" s="53"/>
      <x:c r="D1151" s="53"/>
      <x:c r="E1151" s="53"/>
      <x:c r="F1151" s="53"/>
      <x:c r="G1151" s="53"/>
      <x:c r="H1151" s="53"/>
      <x:c r="I1151" s="53"/>
      <x:c r="J1151" s="53"/>
      <x:c r="K1151" s="53"/>
      <x:c r="L1151" s="53"/>
      <x:c r="M1151" s="53"/>
      <x:c r="N1151" s="53"/>
      <x:c r="O1151" s="53"/>
      <x:c r="P1151" s="53"/>
      <x:c r="Q1151" s="53"/>
      <x:c r="R1151" s="53"/>
      <x:c r="S1151" s="53"/>
      <x:c r="T1151" s="53"/>
      <x:c r="U1151" s="53"/>
      <x:c r="V1151" s="53"/>
      <x:c r="W1151" s="53"/>
      <x:c r="X1151" s="53"/>
      <x:c r="Y1151" s="53"/>
      <x:c r="Z1151" s="53"/>
      <x:c r="AA1151" s="53"/>
      <x:c r="AB1151" s="53"/>
      <x:c r="AC1151" s="53"/>
      <x:c r="AD1151" s="53"/>
      <x:c r="AE1151" s="53"/>
      <x:c r="AF1151" s="53"/>
    </x:row>
    <x:row r="1152">
      <x:c r="A1152" s="53"/>
      <x:c r="B1152" s="53"/>
      <x:c r="C1152" s="53"/>
      <x:c r="D1152" s="53"/>
      <x:c r="E1152" s="53"/>
      <x:c r="F1152" s="53"/>
      <x:c r="G1152" s="53"/>
      <x:c r="H1152" s="53"/>
      <x:c r="I1152" s="53"/>
      <x:c r="J1152" s="53"/>
      <x:c r="K1152" s="53"/>
      <x:c r="L1152" s="53"/>
      <x:c r="M1152" s="53"/>
      <x:c r="N1152" s="53"/>
      <x:c r="O1152" s="53"/>
      <x:c r="P1152" s="53"/>
      <x:c r="Q1152" s="53"/>
      <x:c r="R1152" s="53"/>
      <x:c r="S1152" s="53"/>
      <x:c r="T1152" s="53"/>
      <x:c r="U1152" s="53"/>
      <x:c r="V1152" s="53"/>
      <x:c r="W1152" s="53"/>
      <x:c r="X1152" s="53"/>
      <x:c r="Y1152" s="53"/>
      <x:c r="Z1152" s="53"/>
      <x:c r="AA1152" s="53"/>
      <x:c r="AB1152" s="53"/>
      <x:c r="AC1152" s="53"/>
      <x:c r="AD1152" s="53"/>
      <x:c r="AE1152" s="53"/>
      <x:c r="AF1152" s="53"/>
    </x:row>
    <x:row r="1153">
      <x:c r="A1153" s="53"/>
      <x:c r="B1153" s="53"/>
      <x:c r="C1153" s="53"/>
      <x:c r="D1153" s="53"/>
      <x:c r="E1153" s="53"/>
      <x:c r="F1153" s="53"/>
      <x:c r="G1153" s="53"/>
      <x:c r="H1153" s="53"/>
      <x:c r="I1153" s="53"/>
      <x:c r="J1153" s="53"/>
      <x:c r="K1153" s="53"/>
      <x:c r="L1153" s="53"/>
      <x:c r="M1153" s="53"/>
      <x:c r="N1153" s="53"/>
      <x:c r="O1153" s="53"/>
      <x:c r="P1153" s="53"/>
      <x:c r="Q1153" s="53"/>
      <x:c r="R1153" s="53"/>
      <x:c r="S1153" s="53"/>
      <x:c r="T1153" s="53"/>
      <x:c r="U1153" s="53"/>
      <x:c r="V1153" s="53"/>
      <x:c r="W1153" s="53"/>
      <x:c r="X1153" s="53"/>
      <x:c r="Y1153" s="53"/>
      <x:c r="Z1153" s="53"/>
      <x:c r="AA1153" s="53"/>
      <x:c r="AB1153" s="53"/>
      <x:c r="AC1153" s="53"/>
      <x:c r="AD1153" s="53"/>
      <x:c r="AE1153" s="53"/>
      <x:c r="AF1153" s="53"/>
    </x:row>
    <x:row r="1154">
      <x:c r="A1154" s="53"/>
      <x:c r="B1154" s="53"/>
      <x:c r="C1154" s="53"/>
      <x:c r="D1154" s="53"/>
      <x:c r="E1154" s="53"/>
      <x:c r="F1154" s="53"/>
      <x:c r="G1154" s="53"/>
      <x:c r="H1154" s="53"/>
      <x:c r="I1154" s="53"/>
      <x:c r="J1154" s="53"/>
      <x:c r="K1154" s="53"/>
      <x:c r="L1154" s="53"/>
      <x:c r="M1154" s="53"/>
      <x:c r="N1154" s="53"/>
      <x:c r="O1154" s="53"/>
      <x:c r="P1154" s="53"/>
      <x:c r="Q1154" s="53"/>
      <x:c r="R1154" s="53"/>
      <x:c r="S1154" s="53"/>
      <x:c r="T1154" s="53"/>
      <x:c r="U1154" s="53"/>
      <x:c r="V1154" s="53"/>
      <x:c r="W1154" s="53"/>
      <x:c r="X1154" s="53"/>
      <x:c r="Y1154" s="53"/>
      <x:c r="Z1154" s="53"/>
      <x:c r="AA1154" s="53"/>
      <x:c r="AB1154" s="53"/>
      <x:c r="AC1154" s="53"/>
      <x:c r="AD1154" s="53"/>
      <x:c r="AE1154" s="53"/>
      <x:c r="AF1154" s="53"/>
    </x:row>
    <x:row r="1155">
      <x:c r="A1155" s="53"/>
      <x:c r="B1155" s="53"/>
      <x:c r="C1155" s="53"/>
      <x:c r="D1155" s="53"/>
      <x:c r="E1155" s="53"/>
      <x:c r="F1155" s="53"/>
      <x:c r="G1155" s="53"/>
      <x:c r="H1155" s="53"/>
      <x:c r="I1155" s="53"/>
      <x:c r="J1155" s="53"/>
      <x:c r="K1155" s="53"/>
      <x:c r="L1155" s="53"/>
      <x:c r="M1155" s="53"/>
      <x:c r="N1155" s="53"/>
      <x:c r="O1155" s="53"/>
      <x:c r="P1155" s="53"/>
      <x:c r="Q1155" s="53"/>
      <x:c r="R1155" s="53"/>
      <x:c r="S1155" s="53"/>
      <x:c r="T1155" s="53"/>
      <x:c r="U1155" s="53"/>
      <x:c r="V1155" s="53"/>
      <x:c r="W1155" s="53"/>
      <x:c r="X1155" s="53"/>
      <x:c r="Y1155" s="53"/>
      <x:c r="Z1155" s="53"/>
      <x:c r="AA1155" s="53"/>
      <x:c r="AB1155" s="53"/>
      <x:c r="AC1155" s="53"/>
      <x:c r="AD1155" s="53"/>
      <x:c r="AE1155" s="53"/>
      <x:c r="AF1155" s="53"/>
    </x:row>
    <x:row r="1156">
      <x:c r="A1156" s="53"/>
      <x:c r="B1156" s="53"/>
      <x:c r="C1156" s="53"/>
      <x:c r="D1156" s="53"/>
      <x:c r="E1156" s="53"/>
      <x:c r="F1156" s="53"/>
      <x:c r="G1156" s="53"/>
      <x:c r="H1156" s="53"/>
      <x:c r="I1156" s="53"/>
      <x:c r="J1156" s="53"/>
      <x:c r="K1156" s="53"/>
      <x:c r="L1156" s="53"/>
      <x:c r="M1156" s="53"/>
      <x:c r="N1156" s="53"/>
      <x:c r="O1156" s="53"/>
      <x:c r="P1156" s="53"/>
      <x:c r="Q1156" s="53"/>
      <x:c r="R1156" s="53"/>
      <x:c r="S1156" s="53"/>
      <x:c r="T1156" s="53"/>
      <x:c r="U1156" s="53"/>
      <x:c r="V1156" s="53"/>
      <x:c r="W1156" s="53"/>
      <x:c r="X1156" s="53"/>
      <x:c r="Y1156" s="53"/>
      <x:c r="Z1156" s="53"/>
      <x:c r="AA1156" s="53"/>
      <x:c r="AB1156" s="53"/>
      <x:c r="AC1156" s="53"/>
      <x:c r="AD1156" s="53"/>
      <x:c r="AE1156" s="53"/>
      <x:c r="AF1156" s="53"/>
    </x:row>
    <x:row r="1157">
      <x:c r="A1157" s="53"/>
      <x:c r="B1157" s="53"/>
      <x:c r="C1157" s="53"/>
      <x:c r="D1157" s="53"/>
      <x:c r="E1157" s="53"/>
      <x:c r="F1157" s="53"/>
      <x:c r="G1157" s="53"/>
      <x:c r="H1157" s="53"/>
      <x:c r="I1157" s="53"/>
      <x:c r="J1157" s="53"/>
      <x:c r="K1157" s="53"/>
      <x:c r="L1157" s="53"/>
      <x:c r="M1157" s="53"/>
      <x:c r="N1157" s="53"/>
      <x:c r="O1157" s="53"/>
      <x:c r="P1157" s="53"/>
      <x:c r="Q1157" s="53"/>
      <x:c r="R1157" s="53"/>
      <x:c r="S1157" s="53"/>
      <x:c r="T1157" s="53"/>
      <x:c r="U1157" s="53"/>
      <x:c r="V1157" s="53"/>
      <x:c r="W1157" s="53"/>
      <x:c r="X1157" s="53"/>
      <x:c r="Y1157" s="53"/>
      <x:c r="Z1157" s="53"/>
      <x:c r="AA1157" s="53"/>
      <x:c r="AB1157" s="53"/>
      <x:c r="AC1157" s="53"/>
      <x:c r="AD1157" s="53"/>
      <x:c r="AE1157" s="53"/>
      <x:c r="AF1157" s="53"/>
    </x:row>
    <x:row r="1158">
      <x:c r="A1158" s="53"/>
      <x:c r="B1158" s="53"/>
      <x:c r="C1158" s="53"/>
      <x:c r="D1158" s="53"/>
      <x:c r="E1158" s="53"/>
      <x:c r="F1158" s="53"/>
      <x:c r="G1158" s="53"/>
      <x:c r="H1158" s="53"/>
      <x:c r="I1158" s="53"/>
      <x:c r="J1158" s="53"/>
      <x:c r="K1158" s="53"/>
      <x:c r="L1158" s="53"/>
      <x:c r="M1158" s="53"/>
      <x:c r="N1158" s="53"/>
      <x:c r="O1158" s="53"/>
      <x:c r="P1158" s="53"/>
      <x:c r="Q1158" s="53"/>
      <x:c r="R1158" s="53"/>
      <x:c r="S1158" s="53"/>
      <x:c r="T1158" s="53"/>
      <x:c r="U1158" s="53"/>
      <x:c r="V1158" s="53"/>
      <x:c r="W1158" s="53"/>
      <x:c r="X1158" s="53"/>
      <x:c r="Y1158" s="53"/>
      <x:c r="Z1158" s="53"/>
      <x:c r="AA1158" s="53"/>
      <x:c r="AB1158" s="53"/>
      <x:c r="AC1158" s="53"/>
      <x:c r="AD1158" s="53"/>
      <x:c r="AE1158" s="53"/>
      <x:c r="AF1158" s="53"/>
    </x:row>
    <x:row r="1159">
      <x:c r="A1159" s="53"/>
      <x:c r="B1159" s="53"/>
      <x:c r="C1159" s="53"/>
      <x:c r="D1159" s="53"/>
      <x:c r="E1159" s="53"/>
      <x:c r="F1159" s="53"/>
      <x:c r="G1159" s="53"/>
      <x:c r="H1159" s="53"/>
      <x:c r="I1159" s="53"/>
      <x:c r="J1159" s="53"/>
      <x:c r="K1159" s="53"/>
      <x:c r="L1159" s="53"/>
      <x:c r="M1159" s="53"/>
      <x:c r="N1159" s="53"/>
      <x:c r="O1159" s="53"/>
      <x:c r="P1159" s="53"/>
      <x:c r="Q1159" s="53"/>
      <x:c r="R1159" s="53"/>
      <x:c r="S1159" s="53"/>
      <x:c r="T1159" s="53"/>
      <x:c r="U1159" s="53"/>
      <x:c r="V1159" s="53"/>
      <x:c r="W1159" s="53"/>
      <x:c r="X1159" s="53"/>
      <x:c r="Y1159" s="53"/>
      <x:c r="Z1159" s="53"/>
      <x:c r="AA1159" s="53"/>
      <x:c r="AB1159" s="53"/>
      <x:c r="AC1159" s="53"/>
      <x:c r="AD1159" s="53"/>
      <x:c r="AE1159" s="53"/>
      <x:c r="AF1159" s="53"/>
    </x:row>
    <x:row r="1160">
      <x:c r="A1160" s="53"/>
      <x:c r="B1160" s="53"/>
      <x:c r="C1160" s="53"/>
      <x:c r="D1160" s="53"/>
      <x:c r="E1160" s="53"/>
      <x:c r="F1160" s="53"/>
      <x:c r="G1160" s="53"/>
      <x:c r="H1160" s="53"/>
      <x:c r="I1160" s="53"/>
      <x:c r="J1160" s="53"/>
      <x:c r="K1160" s="53"/>
      <x:c r="L1160" s="53"/>
      <x:c r="M1160" s="53"/>
      <x:c r="N1160" s="53"/>
      <x:c r="O1160" s="53"/>
      <x:c r="P1160" s="53"/>
      <x:c r="Q1160" s="53"/>
      <x:c r="R1160" s="53"/>
      <x:c r="S1160" s="53"/>
      <x:c r="T1160" s="53"/>
      <x:c r="U1160" s="53"/>
      <x:c r="V1160" s="53"/>
      <x:c r="W1160" s="53"/>
      <x:c r="X1160" s="53"/>
      <x:c r="Y1160" s="53"/>
      <x:c r="Z1160" s="53"/>
      <x:c r="AA1160" s="53"/>
      <x:c r="AB1160" s="53"/>
      <x:c r="AC1160" s="53"/>
      <x:c r="AD1160" s="53"/>
      <x:c r="AE1160" s="53"/>
      <x:c r="AF1160" s="53"/>
    </x:row>
    <x:row r="1161">
      <x:c r="A1161" s="53"/>
      <x:c r="B1161" s="53"/>
      <x:c r="C1161" s="53"/>
      <x:c r="D1161" s="53"/>
      <x:c r="E1161" s="53"/>
      <x:c r="F1161" s="53"/>
      <x:c r="G1161" s="53"/>
      <x:c r="H1161" s="53"/>
      <x:c r="I1161" s="53"/>
      <x:c r="J1161" s="53"/>
      <x:c r="K1161" s="53"/>
      <x:c r="L1161" s="53"/>
      <x:c r="M1161" s="53"/>
      <x:c r="N1161" s="53"/>
      <x:c r="O1161" s="53"/>
      <x:c r="P1161" s="53"/>
      <x:c r="Q1161" s="53"/>
      <x:c r="R1161" s="53"/>
      <x:c r="S1161" s="53"/>
      <x:c r="T1161" s="53"/>
      <x:c r="U1161" s="53"/>
      <x:c r="V1161" s="53"/>
      <x:c r="W1161" s="53"/>
      <x:c r="X1161" s="53"/>
      <x:c r="Y1161" s="53"/>
      <x:c r="Z1161" s="53"/>
      <x:c r="AA1161" s="53"/>
      <x:c r="AB1161" s="53"/>
      <x:c r="AC1161" s="53"/>
      <x:c r="AD1161" s="53"/>
      <x:c r="AE1161" s="53"/>
      <x:c r="AF1161" s="53"/>
    </x:row>
    <x:row r="1162">
      <x:c r="A1162" s="53"/>
      <x:c r="B1162" s="53"/>
      <x:c r="C1162" s="53"/>
      <x:c r="D1162" s="53"/>
      <x:c r="E1162" s="53"/>
      <x:c r="F1162" s="53"/>
      <x:c r="G1162" s="53"/>
      <x:c r="H1162" s="53"/>
      <x:c r="I1162" s="53"/>
      <x:c r="J1162" s="53"/>
      <x:c r="K1162" s="53"/>
      <x:c r="L1162" s="53"/>
      <x:c r="M1162" s="53"/>
      <x:c r="N1162" s="53"/>
      <x:c r="O1162" s="53"/>
      <x:c r="P1162" s="53"/>
      <x:c r="Q1162" s="53"/>
      <x:c r="R1162" s="53"/>
      <x:c r="S1162" s="53"/>
      <x:c r="T1162" s="53"/>
      <x:c r="U1162" s="53"/>
      <x:c r="V1162" s="53"/>
      <x:c r="W1162" s="53"/>
      <x:c r="X1162" s="53"/>
      <x:c r="Y1162" s="53"/>
      <x:c r="Z1162" s="53"/>
      <x:c r="AA1162" s="53"/>
      <x:c r="AB1162" s="53"/>
      <x:c r="AC1162" s="53"/>
      <x:c r="AD1162" s="53"/>
      <x:c r="AE1162" s="53"/>
      <x:c r="AF1162" s="53"/>
    </x:row>
    <x:row r="1163">
      <x:c r="A1163" s="53"/>
      <x:c r="B1163" s="53"/>
      <x:c r="C1163" s="53"/>
      <x:c r="D1163" s="53"/>
      <x:c r="E1163" s="53"/>
      <x:c r="F1163" s="53"/>
      <x:c r="G1163" s="53"/>
      <x:c r="H1163" s="53"/>
      <x:c r="I1163" s="53"/>
      <x:c r="J1163" s="53"/>
      <x:c r="K1163" s="53"/>
      <x:c r="L1163" s="53"/>
      <x:c r="M1163" s="53"/>
      <x:c r="N1163" s="53"/>
      <x:c r="O1163" s="53"/>
      <x:c r="P1163" s="53"/>
      <x:c r="Q1163" s="53"/>
      <x:c r="R1163" s="53"/>
      <x:c r="S1163" s="53"/>
      <x:c r="T1163" s="53"/>
      <x:c r="U1163" s="53"/>
      <x:c r="V1163" s="53"/>
      <x:c r="W1163" s="53"/>
      <x:c r="X1163" s="53"/>
      <x:c r="Y1163" s="53"/>
      <x:c r="Z1163" s="53"/>
      <x:c r="AA1163" s="53"/>
      <x:c r="AB1163" s="53"/>
      <x:c r="AC1163" s="53"/>
      <x:c r="AD1163" s="53"/>
      <x:c r="AE1163" s="53"/>
      <x:c r="AF1163" s="53"/>
    </x:row>
    <x:row r="1164">
      <x:c r="A1164" s="53"/>
      <x:c r="B1164" s="53"/>
      <x:c r="C1164" s="53"/>
      <x:c r="D1164" s="53"/>
      <x:c r="E1164" s="53"/>
      <x:c r="F1164" s="53"/>
      <x:c r="G1164" s="53"/>
      <x:c r="H1164" s="53"/>
      <x:c r="I1164" s="53"/>
      <x:c r="J1164" s="53"/>
      <x:c r="K1164" s="53"/>
      <x:c r="L1164" s="53"/>
      <x:c r="M1164" s="53"/>
      <x:c r="N1164" s="53"/>
      <x:c r="O1164" s="53"/>
      <x:c r="P1164" s="53"/>
      <x:c r="Q1164" s="53"/>
      <x:c r="R1164" s="53"/>
      <x:c r="S1164" s="53"/>
      <x:c r="T1164" s="53"/>
      <x:c r="U1164" s="53"/>
      <x:c r="V1164" s="53"/>
      <x:c r="W1164" s="53"/>
      <x:c r="X1164" s="53"/>
      <x:c r="Y1164" s="53"/>
      <x:c r="Z1164" s="53"/>
      <x:c r="AA1164" s="53"/>
      <x:c r="AB1164" s="53"/>
      <x:c r="AC1164" s="53"/>
      <x:c r="AD1164" s="53"/>
      <x:c r="AE1164" s="53"/>
      <x:c r="AF1164" s="53"/>
    </x:row>
    <x:row r="1165">
      <x:c r="A1165" s="53"/>
      <x:c r="B1165" s="53"/>
      <x:c r="C1165" s="53"/>
      <x:c r="D1165" s="53"/>
      <x:c r="E1165" s="53"/>
      <x:c r="F1165" s="53"/>
      <x:c r="G1165" s="53"/>
      <x:c r="H1165" s="53"/>
      <x:c r="I1165" s="53"/>
      <x:c r="J1165" s="53"/>
      <x:c r="K1165" s="53"/>
      <x:c r="L1165" s="53"/>
      <x:c r="M1165" s="53"/>
      <x:c r="N1165" s="53"/>
      <x:c r="O1165" s="53"/>
      <x:c r="P1165" s="53"/>
      <x:c r="Q1165" s="53"/>
      <x:c r="R1165" s="53"/>
      <x:c r="S1165" s="53"/>
      <x:c r="T1165" s="53"/>
      <x:c r="U1165" s="53"/>
      <x:c r="V1165" s="53"/>
      <x:c r="W1165" s="53"/>
      <x:c r="X1165" s="53"/>
      <x:c r="Y1165" s="53"/>
      <x:c r="Z1165" s="53"/>
      <x:c r="AA1165" s="53"/>
      <x:c r="AB1165" s="53"/>
      <x:c r="AC1165" s="53"/>
      <x:c r="AD1165" s="53"/>
      <x:c r="AE1165" s="53"/>
      <x:c r="AF1165" s="53"/>
    </x:row>
    <x:row r="1166">
      <x:c r="A1166" s="53"/>
      <x:c r="B1166" s="53"/>
      <x:c r="C1166" s="53"/>
      <x:c r="D1166" s="53"/>
      <x:c r="E1166" s="53"/>
      <x:c r="F1166" s="53"/>
      <x:c r="G1166" s="53"/>
      <x:c r="H1166" s="53"/>
      <x:c r="I1166" s="53"/>
      <x:c r="J1166" s="53"/>
      <x:c r="K1166" s="53"/>
      <x:c r="L1166" s="53"/>
      <x:c r="M1166" s="53"/>
      <x:c r="N1166" s="53"/>
      <x:c r="O1166" s="53"/>
      <x:c r="P1166" s="53"/>
      <x:c r="Q1166" s="53"/>
      <x:c r="R1166" s="53"/>
      <x:c r="S1166" s="53"/>
      <x:c r="T1166" s="53"/>
      <x:c r="U1166" s="53"/>
      <x:c r="V1166" s="53"/>
      <x:c r="W1166" s="53"/>
      <x:c r="X1166" s="53"/>
      <x:c r="Y1166" s="53"/>
      <x:c r="Z1166" s="53"/>
      <x:c r="AA1166" s="53"/>
      <x:c r="AB1166" s="53"/>
      <x:c r="AC1166" s="53"/>
      <x:c r="AD1166" s="53"/>
      <x:c r="AE1166" s="53"/>
      <x:c r="AF1166" s="53"/>
    </x:row>
    <x:row r="1167">
      <x:c r="A1167" s="53"/>
      <x:c r="B1167" s="53"/>
      <x:c r="C1167" s="53"/>
      <x:c r="D1167" s="53"/>
      <x:c r="E1167" s="53"/>
      <x:c r="F1167" s="53"/>
      <x:c r="G1167" s="53"/>
      <x:c r="H1167" s="53"/>
      <x:c r="I1167" s="53"/>
      <x:c r="J1167" s="53"/>
      <x:c r="K1167" s="53"/>
      <x:c r="L1167" s="53"/>
      <x:c r="M1167" s="53"/>
      <x:c r="N1167" s="53"/>
      <x:c r="O1167" s="53"/>
      <x:c r="P1167" s="53"/>
      <x:c r="Q1167" s="53"/>
      <x:c r="R1167" s="53"/>
      <x:c r="S1167" s="53"/>
      <x:c r="T1167" s="53"/>
      <x:c r="U1167" s="53"/>
      <x:c r="V1167" s="53"/>
      <x:c r="W1167" s="53"/>
      <x:c r="X1167" s="53"/>
      <x:c r="Y1167" s="53"/>
      <x:c r="Z1167" s="53"/>
      <x:c r="AA1167" s="53"/>
      <x:c r="AB1167" s="53"/>
      <x:c r="AC1167" s="53"/>
      <x:c r="AD1167" s="53"/>
      <x:c r="AE1167" s="53"/>
      <x:c r="AF1167" s="53"/>
    </x:row>
    <x:row r="1168">
      <x:c r="A1168" s="53"/>
      <x:c r="B1168" s="53"/>
      <x:c r="C1168" s="53"/>
      <x:c r="D1168" s="53"/>
      <x:c r="E1168" s="53"/>
      <x:c r="F1168" s="53"/>
      <x:c r="G1168" s="53"/>
      <x:c r="H1168" s="53"/>
      <x:c r="I1168" s="53"/>
      <x:c r="J1168" s="53"/>
      <x:c r="K1168" s="53"/>
      <x:c r="L1168" s="53"/>
      <x:c r="M1168" s="53"/>
      <x:c r="N1168" s="53"/>
      <x:c r="O1168" s="53"/>
      <x:c r="P1168" s="53"/>
      <x:c r="Q1168" s="53"/>
      <x:c r="R1168" s="53"/>
      <x:c r="S1168" s="53"/>
      <x:c r="T1168" s="53"/>
      <x:c r="U1168" s="53"/>
      <x:c r="V1168" s="53"/>
      <x:c r="W1168" s="53"/>
      <x:c r="X1168" s="53"/>
      <x:c r="Y1168" s="53"/>
      <x:c r="Z1168" s="53"/>
      <x:c r="AA1168" s="53"/>
      <x:c r="AB1168" s="53"/>
      <x:c r="AC1168" s="53"/>
      <x:c r="AD1168" s="53"/>
      <x:c r="AE1168" s="53"/>
      <x:c r="AF1168" s="53"/>
    </x:row>
    <x:row r="1169">
      <x:c r="A1169" s="53"/>
      <x:c r="B1169" s="53"/>
      <x:c r="C1169" s="53"/>
      <x:c r="D1169" s="53"/>
      <x:c r="E1169" s="53"/>
      <x:c r="F1169" s="53"/>
      <x:c r="G1169" s="53"/>
      <x:c r="H1169" s="53"/>
      <x:c r="I1169" s="53"/>
      <x:c r="J1169" s="53"/>
      <x:c r="K1169" s="53"/>
      <x:c r="L1169" s="53"/>
      <x:c r="M1169" s="53"/>
      <x:c r="N1169" s="53"/>
      <x:c r="O1169" s="53"/>
      <x:c r="P1169" s="53"/>
      <x:c r="Q1169" s="53"/>
      <x:c r="R1169" s="53"/>
      <x:c r="S1169" s="53"/>
      <x:c r="T1169" s="53"/>
      <x:c r="U1169" s="53"/>
      <x:c r="V1169" s="53"/>
      <x:c r="W1169" s="53"/>
      <x:c r="X1169" s="53"/>
      <x:c r="Y1169" s="53"/>
      <x:c r="Z1169" s="53"/>
      <x:c r="AA1169" s="53"/>
      <x:c r="AB1169" s="53"/>
      <x:c r="AC1169" s="53"/>
      <x:c r="AD1169" s="53"/>
      <x:c r="AE1169" s="53"/>
      <x:c r="AF1169" s="53"/>
    </x:row>
    <x:row r="1170">
      <x:c r="A1170" s="53"/>
      <x:c r="B1170" s="53"/>
      <x:c r="C1170" s="53"/>
      <x:c r="D1170" s="53"/>
      <x:c r="E1170" s="53"/>
      <x:c r="F1170" s="53"/>
      <x:c r="G1170" s="53"/>
      <x:c r="H1170" s="53"/>
      <x:c r="I1170" s="53"/>
      <x:c r="J1170" s="53"/>
      <x:c r="K1170" s="53"/>
      <x:c r="L1170" s="53"/>
      <x:c r="M1170" s="53"/>
      <x:c r="N1170" s="53"/>
      <x:c r="O1170" s="53"/>
      <x:c r="P1170" s="53"/>
      <x:c r="Q1170" s="53"/>
      <x:c r="R1170" s="53"/>
      <x:c r="S1170" s="53"/>
      <x:c r="T1170" s="53"/>
      <x:c r="U1170" s="53"/>
      <x:c r="V1170" s="53"/>
      <x:c r="W1170" s="53"/>
      <x:c r="X1170" s="53"/>
      <x:c r="Y1170" s="53"/>
      <x:c r="Z1170" s="53"/>
      <x:c r="AA1170" s="53"/>
      <x:c r="AB1170" s="53"/>
      <x:c r="AC1170" s="53"/>
      <x:c r="AD1170" s="53"/>
      <x:c r="AE1170" s="53"/>
      <x:c r="AF1170" s="53"/>
    </x:row>
    <x:row r="1171">
      <x:c r="A1171" s="53"/>
      <x:c r="B1171" s="53"/>
      <x:c r="C1171" s="53"/>
      <x:c r="D1171" s="53"/>
      <x:c r="E1171" s="53"/>
      <x:c r="F1171" s="53"/>
      <x:c r="G1171" s="53"/>
      <x:c r="H1171" s="53"/>
      <x:c r="I1171" s="53"/>
      <x:c r="J1171" s="53"/>
      <x:c r="K1171" s="53"/>
      <x:c r="L1171" s="53"/>
      <x:c r="M1171" s="53"/>
      <x:c r="N1171" s="53"/>
      <x:c r="O1171" s="53"/>
      <x:c r="P1171" s="53"/>
      <x:c r="Q1171" s="53"/>
      <x:c r="R1171" s="53"/>
      <x:c r="S1171" s="53"/>
      <x:c r="T1171" s="53"/>
      <x:c r="U1171" s="53"/>
      <x:c r="V1171" s="53"/>
      <x:c r="W1171" s="53"/>
      <x:c r="X1171" s="53"/>
      <x:c r="Y1171" s="53"/>
      <x:c r="Z1171" s="53"/>
      <x:c r="AA1171" s="53"/>
      <x:c r="AB1171" s="53"/>
      <x:c r="AC1171" s="53"/>
      <x:c r="AD1171" s="53"/>
      <x:c r="AE1171" s="53"/>
      <x:c r="AF1171" s="53"/>
    </x:row>
    <x:row r="1172">
      <x:c r="A1172" s="53"/>
      <x:c r="B1172" s="53"/>
      <x:c r="C1172" s="53"/>
      <x:c r="D1172" s="53"/>
      <x:c r="E1172" s="53"/>
      <x:c r="F1172" s="53"/>
      <x:c r="G1172" s="53"/>
      <x:c r="H1172" s="53"/>
      <x:c r="I1172" s="53"/>
      <x:c r="J1172" s="53"/>
      <x:c r="K1172" s="53"/>
      <x:c r="L1172" s="53"/>
      <x:c r="M1172" s="53"/>
      <x:c r="N1172" s="53"/>
      <x:c r="O1172" s="53"/>
      <x:c r="P1172" s="53"/>
      <x:c r="Q1172" s="53"/>
      <x:c r="R1172" s="53"/>
      <x:c r="S1172" s="53"/>
      <x:c r="T1172" s="53"/>
      <x:c r="U1172" s="53"/>
      <x:c r="V1172" s="53"/>
      <x:c r="W1172" s="53"/>
      <x:c r="X1172" s="53"/>
      <x:c r="Y1172" s="53"/>
      <x:c r="Z1172" s="53"/>
      <x:c r="AA1172" s="53"/>
      <x:c r="AB1172" s="53"/>
      <x:c r="AC1172" s="53"/>
      <x:c r="AD1172" s="53"/>
      <x:c r="AE1172" s="53"/>
      <x:c r="AF1172" s="53"/>
    </x:row>
    <x:row r="1173">
      <x:c r="A1173" s="53"/>
      <x:c r="B1173" s="53"/>
      <x:c r="C1173" s="53"/>
      <x:c r="D1173" s="53"/>
      <x:c r="E1173" s="53"/>
      <x:c r="F1173" s="53"/>
      <x:c r="G1173" s="53"/>
      <x:c r="H1173" s="53"/>
      <x:c r="I1173" s="53"/>
      <x:c r="J1173" s="53"/>
      <x:c r="K1173" s="53"/>
      <x:c r="L1173" s="53"/>
      <x:c r="M1173" s="53"/>
      <x:c r="N1173" s="53"/>
      <x:c r="O1173" s="53"/>
      <x:c r="P1173" s="53"/>
      <x:c r="Q1173" s="53"/>
      <x:c r="R1173" s="53"/>
      <x:c r="S1173" s="53"/>
      <x:c r="T1173" s="53"/>
      <x:c r="U1173" s="53"/>
      <x:c r="V1173" s="53"/>
      <x:c r="W1173" s="53"/>
      <x:c r="X1173" s="53"/>
      <x:c r="Y1173" s="53"/>
      <x:c r="Z1173" s="53"/>
      <x:c r="AA1173" s="53"/>
      <x:c r="AB1173" s="53"/>
      <x:c r="AC1173" s="53"/>
      <x:c r="AD1173" s="53"/>
      <x:c r="AE1173" s="53"/>
      <x:c r="AF1173" s="53"/>
    </x:row>
    <x:row r="1174">
      <x:c r="A1174" s="53"/>
      <x:c r="B1174" s="53"/>
      <x:c r="C1174" s="53"/>
      <x:c r="D1174" s="53"/>
      <x:c r="E1174" s="53"/>
      <x:c r="F1174" s="53"/>
      <x:c r="G1174" s="53"/>
      <x:c r="H1174" s="53"/>
      <x:c r="I1174" s="53"/>
      <x:c r="J1174" s="53"/>
      <x:c r="K1174" s="53"/>
      <x:c r="L1174" s="53"/>
      <x:c r="M1174" s="53"/>
      <x:c r="N1174" s="53"/>
      <x:c r="O1174" s="53"/>
      <x:c r="P1174" s="53"/>
      <x:c r="Q1174" s="53"/>
      <x:c r="R1174" s="53"/>
      <x:c r="S1174" s="53"/>
      <x:c r="T1174" s="53"/>
      <x:c r="U1174" s="53"/>
      <x:c r="V1174" s="53"/>
      <x:c r="W1174" s="53"/>
      <x:c r="X1174" s="53"/>
      <x:c r="Y1174" s="53"/>
      <x:c r="Z1174" s="53"/>
      <x:c r="AA1174" s="53"/>
      <x:c r="AB1174" s="53"/>
      <x:c r="AC1174" s="53"/>
      <x:c r="AD1174" s="53"/>
      <x:c r="AE1174" s="53"/>
      <x:c r="AF1174" s="53"/>
    </x:row>
    <x:row r="1175">
      <x:c r="A1175" s="53"/>
      <x:c r="B1175" s="53"/>
      <x:c r="C1175" s="53"/>
      <x:c r="D1175" s="53"/>
      <x:c r="E1175" s="53"/>
      <x:c r="F1175" s="53"/>
      <x:c r="G1175" s="53"/>
      <x:c r="H1175" s="53"/>
      <x:c r="I1175" s="53"/>
      <x:c r="J1175" s="53"/>
      <x:c r="K1175" s="53"/>
      <x:c r="L1175" s="53"/>
      <x:c r="M1175" s="53"/>
      <x:c r="N1175" s="53"/>
      <x:c r="O1175" s="53"/>
      <x:c r="P1175" s="53"/>
      <x:c r="Q1175" s="53"/>
      <x:c r="R1175" s="53"/>
      <x:c r="S1175" s="53"/>
      <x:c r="T1175" s="53"/>
      <x:c r="U1175" s="53"/>
      <x:c r="V1175" s="53"/>
      <x:c r="W1175" s="53"/>
      <x:c r="X1175" s="53"/>
      <x:c r="Y1175" s="53"/>
      <x:c r="Z1175" s="53"/>
      <x:c r="AA1175" s="53"/>
      <x:c r="AB1175" s="53"/>
      <x:c r="AC1175" s="53"/>
      <x:c r="AD1175" s="53"/>
      <x:c r="AE1175" s="53"/>
      <x:c r="AF1175" s="53"/>
    </x:row>
    <x:row r="1176">
      <x:c r="A1176" s="53"/>
      <x:c r="B1176" s="53"/>
      <x:c r="C1176" s="53"/>
      <x:c r="D1176" s="53"/>
      <x:c r="E1176" s="53"/>
      <x:c r="F1176" s="53"/>
      <x:c r="G1176" s="53"/>
      <x:c r="H1176" s="53"/>
      <x:c r="I1176" s="53"/>
      <x:c r="J1176" s="53"/>
      <x:c r="K1176" s="53"/>
      <x:c r="L1176" s="53"/>
      <x:c r="M1176" s="53"/>
      <x:c r="N1176" s="53"/>
      <x:c r="O1176" s="53"/>
      <x:c r="P1176" s="53"/>
      <x:c r="Q1176" s="53"/>
      <x:c r="R1176" s="53"/>
      <x:c r="S1176" s="53"/>
      <x:c r="T1176" s="53"/>
      <x:c r="U1176" s="53"/>
      <x:c r="V1176" s="53"/>
      <x:c r="W1176" s="53"/>
      <x:c r="X1176" s="53"/>
      <x:c r="Y1176" s="53"/>
      <x:c r="Z1176" s="53"/>
      <x:c r="AA1176" s="53"/>
      <x:c r="AB1176" s="53"/>
      <x:c r="AC1176" s="53"/>
      <x:c r="AD1176" s="53"/>
      <x:c r="AE1176" s="53"/>
      <x:c r="AF1176" s="53"/>
    </x:row>
    <x:row r="1177">
      <x:c r="A1177" s="53"/>
      <x:c r="B1177" s="53"/>
      <x:c r="C1177" s="53"/>
      <x:c r="D1177" s="53"/>
      <x:c r="E1177" s="53"/>
      <x:c r="F1177" s="53"/>
      <x:c r="G1177" s="53"/>
      <x:c r="H1177" s="53"/>
      <x:c r="I1177" s="53"/>
      <x:c r="J1177" s="53"/>
      <x:c r="K1177" s="53"/>
      <x:c r="L1177" s="53"/>
      <x:c r="M1177" s="53"/>
      <x:c r="N1177" s="53"/>
      <x:c r="O1177" s="53"/>
      <x:c r="P1177" s="53"/>
      <x:c r="Q1177" s="53"/>
      <x:c r="R1177" s="53"/>
      <x:c r="S1177" s="53"/>
      <x:c r="T1177" s="53"/>
      <x:c r="U1177" s="53"/>
      <x:c r="V1177" s="53"/>
      <x:c r="W1177" s="53"/>
      <x:c r="X1177" s="53"/>
      <x:c r="Y1177" s="53"/>
      <x:c r="Z1177" s="53"/>
      <x:c r="AA1177" s="53"/>
      <x:c r="AB1177" s="53"/>
      <x:c r="AC1177" s="53"/>
      <x:c r="AD1177" s="53"/>
      <x:c r="AE1177" s="53"/>
      <x:c r="AF1177" s="53"/>
    </x:row>
    <x:row r="1178">
      <x:c r="A1178" s="53"/>
      <x:c r="B1178" s="53"/>
      <x:c r="C1178" s="53"/>
      <x:c r="D1178" s="53"/>
      <x:c r="E1178" s="53"/>
      <x:c r="F1178" s="53"/>
      <x:c r="G1178" s="53"/>
      <x:c r="H1178" s="53"/>
      <x:c r="I1178" s="53"/>
      <x:c r="J1178" s="53"/>
      <x:c r="K1178" s="53"/>
      <x:c r="L1178" s="53"/>
      <x:c r="M1178" s="53"/>
      <x:c r="N1178" s="53"/>
      <x:c r="O1178" s="53"/>
      <x:c r="P1178" s="53"/>
      <x:c r="Q1178" s="53"/>
      <x:c r="R1178" s="53"/>
      <x:c r="S1178" s="53"/>
      <x:c r="T1178" s="53"/>
      <x:c r="U1178" s="53"/>
      <x:c r="V1178" s="53"/>
      <x:c r="W1178" s="53"/>
      <x:c r="X1178" s="53"/>
      <x:c r="Y1178" s="53"/>
      <x:c r="Z1178" s="53"/>
      <x:c r="AA1178" s="53"/>
      <x:c r="AB1178" s="53"/>
      <x:c r="AC1178" s="53"/>
      <x:c r="AD1178" s="53"/>
      <x:c r="AE1178" s="53"/>
      <x:c r="AF1178" s="53"/>
    </x:row>
    <x:row r="1179">
      <x:c r="A1179" s="53"/>
      <x:c r="B1179" s="53"/>
      <x:c r="C1179" s="53"/>
      <x:c r="D1179" s="53"/>
      <x:c r="E1179" s="53"/>
      <x:c r="F1179" s="53"/>
      <x:c r="G1179" s="53"/>
      <x:c r="H1179" s="53"/>
      <x:c r="I1179" s="53"/>
      <x:c r="J1179" s="53"/>
      <x:c r="K1179" s="53"/>
      <x:c r="L1179" s="53"/>
      <x:c r="M1179" s="53"/>
      <x:c r="N1179" s="53"/>
      <x:c r="O1179" s="53"/>
      <x:c r="P1179" s="53"/>
      <x:c r="Q1179" s="53"/>
      <x:c r="R1179" s="53"/>
      <x:c r="S1179" s="53"/>
      <x:c r="T1179" s="53"/>
      <x:c r="U1179" s="53"/>
      <x:c r="V1179" s="53"/>
      <x:c r="W1179" s="53"/>
      <x:c r="X1179" s="53"/>
      <x:c r="Y1179" s="53"/>
      <x:c r="Z1179" s="53"/>
      <x:c r="AA1179" s="53"/>
      <x:c r="AB1179" s="53"/>
      <x:c r="AC1179" s="53"/>
      <x:c r="AD1179" s="53"/>
      <x:c r="AE1179" s="53"/>
      <x:c r="AF1179" s="53"/>
    </x:row>
    <x:row r="1180">
      <x:c r="A1180" s="53"/>
      <x:c r="B1180" s="53"/>
      <x:c r="C1180" s="53"/>
      <x:c r="D1180" s="53"/>
      <x:c r="E1180" s="53"/>
      <x:c r="F1180" s="53"/>
      <x:c r="G1180" s="53"/>
      <x:c r="H1180" s="53"/>
      <x:c r="I1180" s="53"/>
      <x:c r="J1180" s="53"/>
      <x:c r="K1180" s="53"/>
      <x:c r="L1180" s="53"/>
      <x:c r="M1180" s="53"/>
      <x:c r="N1180" s="53"/>
      <x:c r="O1180" s="53"/>
      <x:c r="P1180" s="53"/>
      <x:c r="Q1180" s="53"/>
      <x:c r="R1180" s="53"/>
      <x:c r="S1180" s="53"/>
      <x:c r="T1180" s="53"/>
      <x:c r="U1180" s="53"/>
      <x:c r="V1180" s="53"/>
      <x:c r="W1180" s="53"/>
      <x:c r="X1180" s="53"/>
      <x:c r="Y1180" s="53"/>
      <x:c r="Z1180" s="53"/>
      <x:c r="AA1180" s="53"/>
      <x:c r="AB1180" s="53"/>
      <x:c r="AC1180" s="53"/>
      <x:c r="AD1180" s="53"/>
      <x:c r="AE1180" s="53"/>
      <x:c r="AF1180" s="53"/>
    </x:row>
    <x:row r="1181">
      <x:c r="A1181" s="53"/>
      <x:c r="B1181" s="53"/>
      <x:c r="C1181" s="53"/>
      <x:c r="D1181" s="53"/>
      <x:c r="E1181" s="53"/>
      <x:c r="F1181" s="53"/>
      <x:c r="G1181" s="53"/>
      <x:c r="H1181" s="53"/>
      <x:c r="I1181" s="53"/>
      <x:c r="J1181" s="53"/>
      <x:c r="K1181" s="53"/>
      <x:c r="L1181" s="53"/>
      <x:c r="M1181" s="53"/>
      <x:c r="N1181" s="53"/>
      <x:c r="O1181" s="53"/>
      <x:c r="P1181" s="53"/>
      <x:c r="Q1181" s="53"/>
      <x:c r="R1181" s="53"/>
      <x:c r="S1181" s="53"/>
      <x:c r="T1181" s="53"/>
      <x:c r="U1181" s="53"/>
      <x:c r="V1181" s="53"/>
      <x:c r="W1181" s="53"/>
      <x:c r="X1181" s="53"/>
      <x:c r="Y1181" s="53"/>
      <x:c r="Z1181" s="53"/>
      <x:c r="AA1181" s="53"/>
      <x:c r="AB1181" s="53"/>
      <x:c r="AC1181" s="53"/>
      <x:c r="AD1181" s="53"/>
      <x:c r="AE1181" s="53"/>
      <x:c r="AF1181" s="53"/>
    </x:row>
    <x:row r="1182">
      <x:c r="A1182" s="53"/>
      <x:c r="B1182" s="53"/>
      <x:c r="C1182" s="53"/>
      <x:c r="D1182" s="53"/>
      <x:c r="E1182" s="53"/>
      <x:c r="F1182" s="53"/>
      <x:c r="G1182" s="53"/>
      <x:c r="H1182" s="53"/>
      <x:c r="I1182" s="53"/>
      <x:c r="J1182" s="53"/>
      <x:c r="K1182" s="53"/>
      <x:c r="L1182" s="53"/>
      <x:c r="M1182" s="53"/>
      <x:c r="N1182" s="53"/>
      <x:c r="O1182" s="53"/>
      <x:c r="P1182" s="53"/>
      <x:c r="Q1182" s="53"/>
      <x:c r="R1182" s="53"/>
      <x:c r="S1182" s="53"/>
      <x:c r="T1182" s="53"/>
      <x:c r="U1182" s="53"/>
      <x:c r="V1182" s="53"/>
      <x:c r="W1182" s="53"/>
      <x:c r="X1182" s="53"/>
      <x:c r="Y1182" s="53"/>
      <x:c r="Z1182" s="53"/>
      <x:c r="AA1182" s="53"/>
      <x:c r="AB1182" s="53"/>
      <x:c r="AC1182" s="53"/>
      <x:c r="AD1182" s="53"/>
      <x:c r="AE1182" s="53"/>
      <x:c r="AF1182" s="53"/>
    </x:row>
    <x:row r="1183">
      <x:c r="A1183" s="53"/>
      <x:c r="B1183" s="53"/>
      <x:c r="C1183" s="53"/>
      <x:c r="D1183" s="53"/>
      <x:c r="E1183" s="53"/>
      <x:c r="F1183" s="53"/>
      <x:c r="G1183" s="53"/>
      <x:c r="H1183" s="53"/>
      <x:c r="I1183" s="53"/>
      <x:c r="J1183" s="53"/>
      <x:c r="K1183" s="53"/>
      <x:c r="L1183" s="53"/>
      <x:c r="M1183" s="53"/>
      <x:c r="N1183" s="53"/>
      <x:c r="O1183" s="53"/>
      <x:c r="P1183" s="53"/>
      <x:c r="Q1183" s="53"/>
      <x:c r="R1183" s="53"/>
      <x:c r="S1183" s="53"/>
      <x:c r="T1183" s="53"/>
      <x:c r="U1183" s="53"/>
      <x:c r="V1183" s="53"/>
      <x:c r="W1183" s="53"/>
      <x:c r="X1183" s="53"/>
      <x:c r="Y1183" s="53"/>
      <x:c r="Z1183" s="53"/>
      <x:c r="AA1183" s="53"/>
      <x:c r="AB1183" s="53"/>
      <x:c r="AC1183" s="53"/>
      <x:c r="AD1183" s="53"/>
      <x:c r="AE1183" s="53"/>
      <x:c r="AF1183" s="53"/>
    </x:row>
    <x:row r="1184">
      <x:c r="A1184" s="53"/>
      <x:c r="B1184" s="53"/>
      <x:c r="C1184" s="53"/>
      <x:c r="D1184" s="53"/>
      <x:c r="E1184" s="53"/>
      <x:c r="F1184" s="53"/>
      <x:c r="G1184" s="53"/>
      <x:c r="H1184" s="53"/>
      <x:c r="I1184" s="53"/>
      <x:c r="J1184" s="53"/>
      <x:c r="K1184" s="53"/>
      <x:c r="L1184" s="53"/>
      <x:c r="M1184" s="53"/>
      <x:c r="N1184" s="53"/>
      <x:c r="O1184" s="53"/>
      <x:c r="P1184" s="53"/>
      <x:c r="Q1184" s="53"/>
      <x:c r="R1184" s="53"/>
      <x:c r="S1184" s="53"/>
      <x:c r="T1184" s="53"/>
      <x:c r="U1184" s="53"/>
      <x:c r="V1184" s="53"/>
      <x:c r="W1184" s="53"/>
      <x:c r="X1184" s="53"/>
      <x:c r="Y1184" s="53"/>
      <x:c r="Z1184" s="53"/>
      <x:c r="AA1184" s="53"/>
      <x:c r="AB1184" s="53"/>
      <x:c r="AC1184" s="53"/>
      <x:c r="AD1184" s="53"/>
      <x:c r="AE1184" s="53"/>
      <x:c r="AF1184" s="53"/>
    </x:row>
    <x:row r="1185">
      <x:c r="A1185" s="53"/>
      <x:c r="B1185" s="53"/>
      <x:c r="C1185" s="53"/>
      <x:c r="D1185" s="53"/>
      <x:c r="E1185" s="53"/>
      <x:c r="F1185" s="53"/>
      <x:c r="G1185" s="53"/>
      <x:c r="H1185" s="53"/>
      <x:c r="I1185" s="53"/>
      <x:c r="J1185" s="53"/>
      <x:c r="K1185" s="53"/>
      <x:c r="L1185" s="53"/>
      <x:c r="M1185" s="53"/>
      <x:c r="N1185" s="53"/>
      <x:c r="O1185" s="53"/>
      <x:c r="P1185" s="53"/>
      <x:c r="Q1185" s="53"/>
      <x:c r="R1185" s="53"/>
      <x:c r="S1185" s="53"/>
      <x:c r="T1185" s="53"/>
      <x:c r="U1185" s="53"/>
      <x:c r="V1185" s="53"/>
      <x:c r="W1185" s="53"/>
      <x:c r="X1185" s="53"/>
      <x:c r="Y1185" s="53"/>
      <x:c r="Z1185" s="53"/>
      <x:c r="AA1185" s="53"/>
      <x:c r="AB1185" s="53"/>
      <x:c r="AC1185" s="53"/>
      <x:c r="AD1185" s="53"/>
      <x:c r="AE1185" s="53"/>
      <x:c r="AF1185" s="53"/>
    </x:row>
    <x:row r="1186">
      <x:c r="A1186" s="53"/>
      <x:c r="B1186" s="53"/>
      <x:c r="C1186" s="53"/>
      <x:c r="D1186" s="53"/>
      <x:c r="E1186" s="53"/>
      <x:c r="F1186" s="53"/>
      <x:c r="G1186" s="53"/>
      <x:c r="H1186" s="53"/>
      <x:c r="I1186" s="53"/>
      <x:c r="J1186" s="53"/>
      <x:c r="K1186" s="53"/>
      <x:c r="L1186" s="53"/>
      <x:c r="M1186" s="53"/>
      <x:c r="N1186" s="53"/>
      <x:c r="O1186" s="53"/>
      <x:c r="P1186" s="53"/>
      <x:c r="Q1186" s="53"/>
      <x:c r="R1186" s="53"/>
      <x:c r="S1186" s="53"/>
      <x:c r="T1186" s="53"/>
      <x:c r="U1186" s="53"/>
      <x:c r="V1186" s="53"/>
      <x:c r="W1186" s="53"/>
      <x:c r="X1186" s="53"/>
      <x:c r="Y1186" s="53"/>
      <x:c r="Z1186" s="53"/>
      <x:c r="AA1186" s="53"/>
      <x:c r="AB1186" s="53"/>
      <x:c r="AC1186" s="53"/>
      <x:c r="AD1186" s="53"/>
      <x:c r="AE1186" s="53"/>
      <x:c r="AF1186" s="53"/>
    </x:row>
    <x:row r="1187">
      <x:c r="A1187" s="53"/>
      <x:c r="B1187" s="53"/>
      <x:c r="C1187" s="53"/>
      <x:c r="D1187" s="53"/>
      <x:c r="E1187" s="53"/>
      <x:c r="F1187" s="53"/>
      <x:c r="G1187" s="53"/>
      <x:c r="H1187" s="53"/>
      <x:c r="I1187" s="53"/>
      <x:c r="J1187" s="53"/>
      <x:c r="K1187" s="53"/>
      <x:c r="L1187" s="53"/>
      <x:c r="M1187" s="53"/>
      <x:c r="N1187" s="53"/>
      <x:c r="O1187" s="53"/>
      <x:c r="P1187" s="53"/>
      <x:c r="Q1187" s="53"/>
      <x:c r="R1187" s="53"/>
      <x:c r="S1187" s="53"/>
      <x:c r="T1187" s="53"/>
      <x:c r="U1187" s="53"/>
      <x:c r="V1187" s="53"/>
      <x:c r="W1187" s="53"/>
      <x:c r="X1187" s="53"/>
      <x:c r="Y1187" s="53"/>
      <x:c r="Z1187" s="53"/>
      <x:c r="AA1187" s="53"/>
      <x:c r="AB1187" s="53"/>
      <x:c r="AC1187" s="53"/>
      <x:c r="AD1187" s="53"/>
      <x:c r="AE1187" s="53"/>
      <x:c r="AF1187" s="53"/>
    </x:row>
    <x:row r="1188">
      <x:c r="A1188" s="53"/>
      <x:c r="B1188" s="53"/>
      <x:c r="C1188" s="53"/>
      <x:c r="D1188" s="53"/>
      <x:c r="E1188" s="53"/>
      <x:c r="F1188" s="53"/>
      <x:c r="G1188" s="53"/>
      <x:c r="H1188" s="53"/>
      <x:c r="I1188" s="53"/>
      <x:c r="J1188" s="53"/>
      <x:c r="K1188" s="53"/>
      <x:c r="L1188" s="53"/>
      <x:c r="M1188" s="53"/>
      <x:c r="N1188" s="53"/>
      <x:c r="O1188" s="53"/>
      <x:c r="P1188" s="53"/>
      <x:c r="Q1188" s="53"/>
      <x:c r="R1188" s="53"/>
      <x:c r="S1188" s="53"/>
      <x:c r="T1188" s="53"/>
      <x:c r="U1188" s="53"/>
      <x:c r="V1188" s="53"/>
      <x:c r="W1188" s="53"/>
      <x:c r="X1188" s="53"/>
      <x:c r="Y1188" s="53"/>
      <x:c r="Z1188" s="53"/>
      <x:c r="AA1188" s="53"/>
      <x:c r="AB1188" s="53"/>
      <x:c r="AC1188" s="53"/>
      <x:c r="AD1188" s="53"/>
      <x:c r="AE1188" s="53"/>
      <x:c r="AF1188" s="53"/>
    </x:row>
    <x:row r="1189">
      <x:c r="A1189" s="53"/>
      <x:c r="B1189" s="53"/>
      <x:c r="C1189" s="53"/>
      <x:c r="D1189" s="53"/>
      <x:c r="E1189" s="53"/>
      <x:c r="F1189" s="53"/>
      <x:c r="G1189" s="53"/>
      <x:c r="H1189" s="53"/>
      <x:c r="I1189" s="53"/>
      <x:c r="J1189" s="53"/>
      <x:c r="K1189" s="53"/>
      <x:c r="L1189" s="53"/>
      <x:c r="M1189" s="53"/>
      <x:c r="N1189" s="53"/>
      <x:c r="O1189" s="53"/>
      <x:c r="P1189" s="53"/>
      <x:c r="Q1189" s="53"/>
      <x:c r="R1189" s="53"/>
      <x:c r="S1189" s="53"/>
      <x:c r="T1189" s="53"/>
      <x:c r="U1189" s="53"/>
      <x:c r="V1189" s="53"/>
      <x:c r="W1189" s="53"/>
      <x:c r="X1189" s="53"/>
      <x:c r="Y1189" s="53"/>
      <x:c r="Z1189" s="53"/>
      <x:c r="AA1189" s="53"/>
      <x:c r="AB1189" s="53"/>
      <x:c r="AC1189" s="53"/>
      <x:c r="AD1189" s="53"/>
      <x:c r="AE1189" s="53"/>
      <x:c r="AF1189" s="53"/>
    </x:row>
    <x:row r="1190">
      <x:c r="A1190" s="53"/>
      <x:c r="B1190" s="53"/>
      <x:c r="C1190" s="53"/>
      <x:c r="D1190" s="53"/>
      <x:c r="E1190" s="53"/>
      <x:c r="F1190" s="53"/>
      <x:c r="G1190" s="53"/>
      <x:c r="H1190" s="53"/>
      <x:c r="I1190" s="53"/>
      <x:c r="J1190" s="53"/>
      <x:c r="K1190" s="53"/>
      <x:c r="L1190" s="53"/>
      <x:c r="M1190" s="53"/>
      <x:c r="N1190" s="53"/>
      <x:c r="O1190" s="53"/>
      <x:c r="P1190" s="53"/>
      <x:c r="Q1190" s="53"/>
      <x:c r="R1190" s="53"/>
      <x:c r="S1190" s="53"/>
      <x:c r="T1190" s="53"/>
      <x:c r="U1190" s="53"/>
      <x:c r="V1190" s="53"/>
      <x:c r="W1190" s="53"/>
      <x:c r="X1190" s="53"/>
      <x:c r="Y1190" s="53"/>
      <x:c r="Z1190" s="53"/>
      <x:c r="AA1190" s="53"/>
      <x:c r="AB1190" s="53"/>
      <x:c r="AC1190" s="53"/>
      <x:c r="AD1190" s="53"/>
      <x:c r="AE1190" s="53"/>
      <x:c r="AF1190" s="53"/>
    </x:row>
    <x:row r="1191">
      <x:c r="A1191" s="53"/>
      <x:c r="B1191" s="53"/>
      <x:c r="C1191" s="53"/>
      <x:c r="D1191" s="53"/>
      <x:c r="E1191" s="53"/>
      <x:c r="F1191" s="53"/>
      <x:c r="G1191" s="53"/>
      <x:c r="H1191" s="53"/>
      <x:c r="I1191" s="53"/>
      <x:c r="J1191" s="53"/>
      <x:c r="K1191" s="53"/>
      <x:c r="L1191" s="53"/>
      <x:c r="M1191" s="53"/>
      <x:c r="N1191" s="53"/>
      <x:c r="O1191" s="53"/>
      <x:c r="P1191" s="53"/>
      <x:c r="Q1191" s="53"/>
      <x:c r="R1191" s="53"/>
      <x:c r="S1191" s="53"/>
      <x:c r="T1191" s="53"/>
      <x:c r="U1191" s="53"/>
      <x:c r="V1191" s="53"/>
      <x:c r="W1191" s="53"/>
      <x:c r="X1191" s="53"/>
      <x:c r="Y1191" s="53"/>
      <x:c r="Z1191" s="53"/>
      <x:c r="AA1191" s="53"/>
      <x:c r="AB1191" s="53"/>
      <x:c r="AC1191" s="53"/>
      <x:c r="AD1191" s="53"/>
      <x:c r="AE1191" s="53"/>
      <x:c r="AF1191" s="53"/>
    </x:row>
    <x:row r="1192">
      <x:c r="A1192" s="53"/>
      <x:c r="B1192" s="53"/>
      <x:c r="C1192" s="53"/>
      <x:c r="D1192" s="53"/>
      <x:c r="E1192" s="53"/>
      <x:c r="F1192" s="53"/>
      <x:c r="G1192" s="53"/>
      <x:c r="H1192" s="53"/>
      <x:c r="I1192" s="53"/>
      <x:c r="J1192" s="53"/>
      <x:c r="K1192" s="53"/>
      <x:c r="L1192" s="53"/>
      <x:c r="M1192" s="53"/>
      <x:c r="N1192" s="53"/>
      <x:c r="O1192" s="53"/>
      <x:c r="P1192" s="53"/>
      <x:c r="Q1192" s="53"/>
      <x:c r="R1192" s="53"/>
      <x:c r="S1192" s="53"/>
      <x:c r="T1192" s="53"/>
      <x:c r="U1192" s="53"/>
      <x:c r="V1192" s="53"/>
      <x:c r="W1192" s="53"/>
      <x:c r="X1192" s="53"/>
      <x:c r="Y1192" s="53"/>
      <x:c r="Z1192" s="53"/>
      <x:c r="AA1192" s="53"/>
      <x:c r="AB1192" s="53"/>
      <x:c r="AC1192" s="53"/>
      <x:c r="AD1192" s="53"/>
      <x:c r="AE1192" s="53"/>
      <x:c r="AF1192" s="53"/>
    </x:row>
    <x:row r="1193">
      <x:c r="A1193" s="53"/>
      <x:c r="B1193" s="53"/>
      <x:c r="C1193" s="53"/>
      <x:c r="D1193" s="53"/>
      <x:c r="E1193" s="53"/>
      <x:c r="F1193" s="53"/>
      <x:c r="G1193" s="53"/>
      <x:c r="H1193" s="53"/>
      <x:c r="I1193" s="53"/>
      <x:c r="J1193" s="53"/>
      <x:c r="K1193" s="53"/>
      <x:c r="L1193" s="53"/>
      <x:c r="M1193" s="53"/>
      <x:c r="N1193" s="53"/>
      <x:c r="O1193" s="53"/>
      <x:c r="P1193" s="53"/>
      <x:c r="Q1193" s="53"/>
      <x:c r="R1193" s="53"/>
      <x:c r="S1193" s="53"/>
      <x:c r="T1193" s="53"/>
      <x:c r="U1193" s="53"/>
      <x:c r="V1193" s="53"/>
      <x:c r="W1193" s="53"/>
      <x:c r="X1193" s="53"/>
      <x:c r="Y1193" s="53"/>
      <x:c r="Z1193" s="53"/>
      <x:c r="AA1193" s="53"/>
      <x:c r="AB1193" s="53"/>
      <x:c r="AC1193" s="53"/>
      <x:c r="AD1193" s="53"/>
      <x:c r="AE1193" s="53"/>
      <x:c r="AF1193" s="53"/>
    </x:row>
    <x:row r="1194">
      <x:c r="A1194" s="53"/>
      <x:c r="B1194" s="53"/>
      <x:c r="C1194" s="53"/>
      <x:c r="D1194" s="53"/>
      <x:c r="E1194" s="53"/>
      <x:c r="F1194" s="53"/>
      <x:c r="G1194" s="53"/>
      <x:c r="H1194" s="53"/>
      <x:c r="I1194" s="53"/>
      <x:c r="J1194" s="53"/>
      <x:c r="K1194" s="53"/>
      <x:c r="L1194" s="53"/>
      <x:c r="M1194" s="53"/>
      <x:c r="N1194" s="53"/>
      <x:c r="O1194" s="53"/>
      <x:c r="P1194" s="53"/>
      <x:c r="Q1194" s="53"/>
      <x:c r="R1194" s="53"/>
      <x:c r="S1194" s="53"/>
      <x:c r="T1194" s="53"/>
      <x:c r="U1194" s="53"/>
      <x:c r="V1194" s="53"/>
      <x:c r="W1194" s="53"/>
      <x:c r="X1194" s="53"/>
      <x:c r="Y1194" s="53"/>
      <x:c r="Z1194" s="53"/>
      <x:c r="AA1194" s="53"/>
      <x:c r="AB1194" s="53"/>
      <x:c r="AC1194" s="53"/>
      <x:c r="AD1194" s="53"/>
      <x:c r="AE1194" s="53"/>
      <x:c r="AF1194" s="53"/>
    </x:row>
    <x:row r="1195">
      <x:c r="A1195" s="53"/>
      <x:c r="B1195" s="53"/>
      <x:c r="C1195" s="53"/>
      <x:c r="D1195" s="53"/>
      <x:c r="E1195" s="53"/>
      <x:c r="F1195" s="53"/>
      <x:c r="G1195" s="53"/>
      <x:c r="H1195" s="53"/>
      <x:c r="I1195" s="53"/>
      <x:c r="J1195" s="53"/>
      <x:c r="K1195" s="53"/>
      <x:c r="L1195" s="53"/>
      <x:c r="M1195" s="53"/>
      <x:c r="N1195" s="53"/>
      <x:c r="O1195" s="53"/>
      <x:c r="P1195" s="53"/>
      <x:c r="Q1195" s="53"/>
      <x:c r="R1195" s="53"/>
      <x:c r="S1195" s="53"/>
      <x:c r="T1195" s="53"/>
      <x:c r="U1195" s="53"/>
      <x:c r="V1195" s="53"/>
      <x:c r="W1195" s="53"/>
      <x:c r="X1195" s="53"/>
      <x:c r="Y1195" s="53"/>
      <x:c r="Z1195" s="53"/>
      <x:c r="AA1195" s="53"/>
      <x:c r="AB1195" s="53"/>
      <x:c r="AC1195" s="53"/>
      <x:c r="AD1195" s="53"/>
      <x:c r="AE1195" s="53"/>
      <x:c r="AF1195" s="53"/>
    </x:row>
    <x:row r="1196">
      <x:c r="A1196" s="53"/>
      <x:c r="B1196" s="53"/>
      <x:c r="C1196" s="53"/>
      <x:c r="D1196" s="53"/>
      <x:c r="E1196" s="53"/>
      <x:c r="F1196" s="53"/>
      <x:c r="G1196" s="53"/>
      <x:c r="H1196" s="53"/>
      <x:c r="I1196" s="53"/>
      <x:c r="J1196" s="53"/>
      <x:c r="K1196" s="53"/>
      <x:c r="L1196" s="53"/>
      <x:c r="M1196" s="53"/>
      <x:c r="N1196" s="53"/>
      <x:c r="O1196" s="53"/>
      <x:c r="P1196" s="53"/>
      <x:c r="Q1196" s="53"/>
      <x:c r="R1196" s="53"/>
      <x:c r="S1196" s="53"/>
      <x:c r="T1196" s="53"/>
      <x:c r="U1196" s="53"/>
      <x:c r="V1196" s="53"/>
      <x:c r="W1196" s="53"/>
      <x:c r="X1196" s="53"/>
      <x:c r="Y1196" s="53"/>
      <x:c r="Z1196" s="53"/>
      <x:c r="AA1196" s="53"/>
      <x:c r="AB1196" s="53"/>
      <x:c r="AC1196" s="53"/>
      <x:c r="AD1196" s="53"/>
      <x:c r="AE1196" s="53"/>
      <x:c r="AF1196" s="53"/>
    </x:row>
    <x:row r="1197">
      <x:c r="A1197" s="53"/>
      <x:c r="B1197" s="53"/>
      <x:c r="C1197" s="53"/>
      <x:c r="D1197" s="53"/>
      <x:c r="E1197" s="53"/>
      <x:c r="F1197" s="53"/>
      <x:c r="G1197" s="53"/>
      <x:c r="H1197" s="53"/>
      <x:c r="I1197" s="53"/>
      <x:c r="J1197" s="53"/>
      <x:c r="K1197" s="53"/>
      <x:c r="L1197" s="53"/>
      <x:c r="M1197" s="53"/>
      <x:c r="N1197" s="53"/>
      <x:c r="O1197" s="53"/>
      <x:c r="P1197" s="53"/>
      <x:c r="Q1197" s="53"/>
      <x:c r="R1197" s="53"/>
      <x:c r="S1197" s="53"/>
      <x:c r="T1197" s="53"/>
      <x:c r="U1197" s="53"/>
      <x:c r="V1197" s="53"/>
      <x:c r="W1197" s="53"/>
      <x:c r="X1197" s="53"/>
      <x:c r="Y1197" s="53"/>
      <x:c r="Z1197" s="53"/>
      <x:c r="AA1197" s="53"/>
      <x:c r="AB1197" s="53"/>
      <x:c r="AC1197" s="53"/>
      <x:c r="AD1197" s="53"/>
      <x:c r="AE1197" s="53"/>
      <x:c r="AF1197" s="53"/>
    </x:row>
    <x:row r="1198">
      <x:c r="A1198" s="53"/>
      <x:c r="B1198" s="53"/>
      <x:c r="C1198" s="53"/>
      <x:c r="D1198" s="53"/>
      <x:c r="E1198" s="53"/>
      <x:c r="F1198" s="53"/>
      <x:c r="G1198" s="53"/>
      <x:c r="H1198" s="53"/>
      <x:c r="I1198" s="53"/>
      <x:c r="J1198" s="53"/>
      <x:c r="K1198" s="53"/>
      <x:c r="L1198" s="53"/>
      <x:c r="M1198" s="53"/>
      <x:c r="N1198" s="53"/>
      <x:c r="O1198" s="53"/>
      <x:c r="P1198" s="53"/>
      <x:c r="Q1198" s="53"/>
      <x:c r="R1198" s="53"/>
      <x:c r="S1198" s="53"/>
      <x:c r="T1198" s="53"/>
      <x:c r="U1198" s="53"/>
      <x:c r="V1198" s="53"/>
      <x:c r="W1198" s="53"/>
      <x:c r="X1198" s="53"/>
      <x:c r="Y1198" s="53"/>
      <x:c r="Z1198" s="53"/>
      <x:c r="AA1198" s="53"/>
      <x:c r="AB1198" s="53"/>
      <x:c r="AC1198" s="53"/>
      <x:c r="AD1198" s="53"/>
      <x:c r="AE1198" s="53"/>
      <x:c r="AF1198" s="53"/>
    </x:row>
    <x:row r="1199">
      <x:c r="A1199" s="53"/>
      <x:c r="B1199" s="53"/>
      <x:c r="C1199" s="53"/>
      <x:c r="D1199" s="53"/>
      <x:c r="E1199" s="53"/>
      <x:c r="F1199" s="53"/>
      <x:c r="G1199" s="53"/>
      <x:c r="H1199" s="53"/>
      <x:c r="I1199" s="53"/>
      <x:c r="J1199" s="53"/>
      <x:c r="K1199" s="53"/>
      <x:c r="L1199" s="53"/>
      <x:c r="M1199" s="53"/>
      <x:c r="N1199" s="53"/>
      <x:c r="O1199" s="53"/>
      <x:c r="P1199" s="53"/>
      <x:c r="Q1199" s="53"/>
      <x:c r="R1199" s="53"/>
      <x:c r="S1199" s="53"/>
      <x:c r="T1199" s="53"/>
      <x:c r="U1199" s="53"/>
      <x:c r="V1199" s="53"/>
      <x:c r="W1199" s="53"/>
      <x:c r="X1199" s="53"/>
      <x:c r="Y1199" s="53"/>
      <x:c r="Z1199" s="53"/>
      <x:c r="AA1199" s="53"/>
      <x:c r="AB1199" s="53"/>
      <x:c r="AC1199" s="53"/>
      <x:c r="AD1199" s="53"/>
      <x:c r="AE1199" s="53"/>
      <x:c r="AF1199" s="53"/>
    </x:row>
    <x:row r="1200">
      <x:c r="A1200" s="53"/>
      <x:c r="B1200" s="53"/>
      <x:c r="C1200" s="53"/>
      <x:c r="D1200" s="53"/>
      <x:c r="E1200" s="53"/>
      <x:c r="F1200" s="53"/>
      <x:c r="G1200" s="53"/>
      <x:c r="H1200" s="53"/>
      <x:c r="I1200" s="53"/>
      <x:c r="J1200" s="53"/>
      <x:c r="K1200" s="53"/>
      <x:c r="L1200" s="53"/>
      <x:c r="M1200" s="53"/>
      <x:c r="N1200" s="53"/>
      <x:c r="O1200" s="53"/>
      <x:c r="P1200" s="53"/>
      <x:c r="Q1200" s="53"/>
      <x:c r="R1200" s="53"/>
      <x:c r="S1200" s="53"/>
      <x:c r="T1200" s="53"/>
      <x:c r="U1200" s="53"/>
      <x:c r="V1200" s="53"/>
      <x:c r="W1200" s="53"/>
      <x:c r="X1200" s="53"/>
      <x:c r="Y1200" s="53"/>
      <x:c r="Z1200" s="53"/>
      <x:c r="AA1200" s="53"/>
      <x:c r="AB1200" s="53"/>
      <x:c r="AC1200" s="53"/>
      <x:c r="AD1200" s="53"/>
      <x:c r="AE1200" s="53"/>
      <x:c r="AF1200" s="53"/>
    </x:row>
    <x:row r="1201">
      <x:c r="A1201" s="53"/>
      <x:c r="B1201" s="53"/>
      <x:c r="C1201" s="53"/>
      <x:c r="D1201" s="53"/>
      <x:c r="E1201" s="53"/>
      <x:c r="F1201" s="53"/>
      <x:c r="G1201" s="53"/>
      <x:c r="H1201" s="53"/>
      <x:c r="I1201" s="53"/>
      <x:c r="J1201" s="53"/>
      <x:c r="K1201" s="53"/>
      <x:c r="L1201" s="53"/>
      <x:c r="M1201" s="53"/>
      <x:c r="N1201" s="53"/>
      <x:c r="O1201" s="53"/>
      <x:c r="P1201" s="53"/>
      <x:c r="Q1201" s="53"/>
      <x:c r="R1201" s="53"/>
      <x:c r="S1201" s="53"/>
      <x:c r="T1201" s="53"/>
      <x:c r="U1201" s="53"/>
      <x:c r="V1201" s="53"/>
      <x:c r="W1201" s="53"/>
      <x:c r="X1201" s="53"/>
      <x:c r="Y1201" s="53"/>
      <x:c r="Z1201" s="53"/>
      <x:c r="AA1201" s="53"/>
      <x:c r="AB1201" s="53"/>
      <x:c r="AC1201" s="53"/>
      <x:c r="AD1201" s="53"/>
      <x:c r="AE1201" s="53"/>
      <x:c r="AF1201" s="53"/>
    </x:row>
    <x:row r="1202">
      <x:c r="A1202" s="53"/>
      <x:c r="B1202" s="53"/>
      <x:c r="C1202" s="53"/>
      <x:c r="D1202" s="53"/>
      <x:c r="E1202" s="53"/>
      <x:c r="F1202" s="53"/>
      <x:c r="G1202" s="53"/>
      <x:c r="H1202" s="53"/>
      <x:c r="I1202" s="53"/>
      <x:c r="J1202" s="53"/>
      <x:c r="K1202" s="53"/>
      <x:c r="L1202" s="53"/>
      <x:c r="M1202" s="53"/>
      <x:c r="N1202" s="53"/>
      <x:c r="O1202" s="53"/>
      <x:c r="P1202" s="53"/>
      <x:c r="Q1202" s="53"/>
      <x:c r="R1202" s="53"/>
      <x:c r="S1202" s="53"/>
      <x:c r="T1202" s="53"/>
      <x:c r="U1202" s="53"/>
      <x:c r="V1202" s="53"/>
      <x:c r="W1202" s="53"/>
      <x:c r="X1202" s="53"/>
      <x:c r="Y1202" s="53"/>
      <x:c r="Z1202" s="53"/>
      <x:c r="AA1202" s="53"/>
      <x:c r="AB1202" s="53"/>
      <x:c r="AC1202" s="53"/>
      <x:c r="AD1202" s="53"/>
      <x:c r="AE1202" s="53"/>
      <x:c r="AF1202" s="53"/>
    </x:row>
    <x:row r="1203">
      <x:c r="A1203" s="53"/>
      <x:c r="B1203" s="53"/>
      <x:c r="C1203" s="53"/>
      <x:c r="D1203" s="53"/>
      <x:c r="E1203" s="53"/>
      <x:c r="F1203" s="53"/>
      <x:c r="G1203" s="53"/>
      <x:c r="H1203" s="53"/>
      <x:c r="I1203" s="53"/>
      <x:c r="J1203" s="53"/>
      <x:c r="K1203" s="53"/>
      <x:c r="L1203" s="53"/>
      <x:c r="M1203" s="53"/>
      <x:c r="N1203" s="53"/>
      <x:c r="O1203" s="53"/>
      <x:c r="P1203" s="53"/>
      <x:c r="Q1203" s="53"/>
      <x:c r="R1203" s="53"/>
      <x:c r="S1203" s="53"/>
      <x:c r="T1203" s="53"/>
      <x:c r="U1203" s="53"/>
      <x:c r="V1203" s="53"/>
      <x:c r="W1203" s="53"/>
      <x:c r="X1203" s="53"/>
      <x:c r="Y1203" s="53"/>
      <x:c r="Z1203" s="53"/>
      <x:c r="AA1203" s="53"/>
      <x:c r="AB1203" s="53"/>
      <x:c r="AC1203" s="53"/>
      <x:c r="AD1203" s="53"/>
      <x:c r="AE1203" s="53"/>
      <x:c r="AF1203" s="53"/>
    </x:row>
    <x:row r="1204">
      <x:c r="A1204" s="53"/>
      <x:c r="B1204" s="53"/>
      <x:c r="C1204" s="53"/>
      <x:c r="D1204" s="53"/>
      <x:c r="E1204" s="53"/>
      <x:c r="F1204" s="53"/>
      <x:c r="G1204" s="53"/>
      <x:c r="H1204" s="53"/>
      <x:c r="I1204" s="53"/>
      <x:c r="J1204" s="53"/>
      <x:c r="K1204" s="53"/>
      <x:c r="L1204" s="53"/>
      <x:c r="M1204" s="53"/>
      <x:c r="N1204" s="53"/>
      <x:c r="O1204" s="53"/>
      <x:c r="P1204" s="53"/>
      <x:c r="Q1204" s="53"/>
      <x:c r="R1204" s="53"/>
      <x:c r="S1204" s="53"/>
      <x:c r="T1204" s="53"/>
      <x:c r="U1204" s="53"/>
      <x:c r="V1204" s="53"/>
      <x:c r="W1204" s="53"/>
      <x:c r="X1204" s="53"/>
      <x:c r="Y1204" s="53"/>
      <x:c r="Z1204" s="53"/>
      <x:c r="AA1204" s="53"/>
      <x:c r="AB1204" s="53"/>
      <x:c r="AC1204" s="53"/>
      <x:c r="AD1204" s="53"/>
      <x:c r="AE1204" s="53"/>
      <x:c r="AF1204" s="53"/>
    </x:row>
    <x:row r="1205">
      <x:c r="A1205" s="53"/>
      <x:c r="B1205" s="53"/>
      <x:c r="C1205" s="53"/>
      <x:c r="D1205" s="53"/>
      <x:c r="E1205" s="53"/>
      <x:c r="F1205" s="53"/>
      <x:c r="G1205" s="53"/>
      <x:c r="H1205" s="53"/>
      <x:c r="I1205" s="53"/>
      <x:c r="J1205" s="53"/>
      <x:c r="K1205" s="53"/>
      <x:c r="L1205" s="53"/>
      <x:c r="M1205" s="53"/>
      <x:c r="N1205" s="53"/>
      <x:c r="O1205" s="53"/>
      <x:c r="P1205" s="53"/>
      <x:c r="Q1205" s="53"/>
      <x:c r="R1205" s="53"/>
      <x:c r="S1205" s="53"/>
      <x:c r="T1205" s="53"/>
      <x:c r="U1205" s="53"/>
      <x:c r="V1205" s="53"/>
      <x:c r="W1205" s="53"/>
      <x:c r="X1205" s="53"/>
      <x:c r="Y1205" s="53"/>
      <x:c r="Z1205" s="53"/>
      <x:c r="AA1205" s="53"/>
      <x:c r="AB1205" s="53"/>
      <x:c r="AC1205" s="53"/>
      <x:c r="AD1205" s="53"/>
      <x:c r="AE1205" s="53"/>
      <x:c r="AF1205" s="53"/>
    </x:row>
    <x:row r="1206">
      <x:c r="A1206" s="53"/>
      <x:c r="B1206" s="53"/>
      <x:c r="C1206" s="53"/>
      <x:c r="D1206" s="53"/>
      <x:c r="E1206" s="53"/>
      <x:c r="F1206" s="53"/>
      <x:c r="G1206" s="53"/>
      <x:c r="H1206" s="53"/>
      <x:c r="I1206" s="53"/>
      <x:c r="J1206" s="53"/>
      <x:c r="K1206" s="53"/>
      <x:c r="L1206" s="53"/>
      <x:c r="M1206" s="53"/>
      <x:c r="N1206" s="53"/>
      <x:c r="O1206" s="53"/>
      <x:c r="P1206" s="53"/>
      <x:c r="Q1206" s="53"/>
      <x:c r="R1206" s="53"/>
      <x:c r="S1206" s="53"/>
      <x:c r="T1206" s="53"/>
      <x:c r="U1206" s="53"/>
      <x:c r="V1206" s="53"/>
      <x:c r="W1206" s="53"/>
      <x:c r="X1206" s="53"/>
      <x:c r="Y1206" s="53"/>
      <x:c r="Z1206" s="53"/>
      <x:c r="AA1206" s="53"/>
      <x:c r="AB1206" s="53"/>
      <x:c r="AC1206" s="53"/>
      <x:c r="AD1206" s="53"/>
      <x:c r="AE1206" s="53"/>
      <x:c r="AF1206" s="53"/>
    </x:row>
    <x:row r="1207">
      <x:c r="A1207" s="53"/>
      <x:c r="B1207" s="53"/>
      <x:c r="C1207" s="53"/>
      <x:c r="D1207" s="53"/>
      <x:c r="E1207" s="53"/>
      <x:c r="F1207" s="53"/>
      <x:c r="G1207" s="53"/>
      <x:c r="H1207" s="53"/>
      <x:c r="I1207" s="53"/>
      <x:c r="J1207" s="53"/>
      <x:c r="K1207" s="53"/>
      <x:c r="L1207" s="53"/>
      <x:c r="M1207" s="53"/>
      <x:c r="N1207" s="53"/>
      <x:c r="O1207" s="53"/>
      <x:c r="P1207" s="53"/>
      <x:c r="Q1207" s="53"/>
      <x:c r="R1207" s="53"/>
      <x:c r="S1207" s="53"/>
      <x:c r="T1207" s="53"/>
      <x:c r="U1207" s="53"/>
      <x:c r="V1207" s="53"/>
      <x:c r="W1207" s="53"/>
      <x:c r="X1207" s="53"/>
      <x:c r="Y1207" s="53"/>
      <x:c r="Z1207" s="53"/>
      <x:c r="AA1207" s="53"/>
      <x:c r="AB1207" s="53"/>
      <x:c r="AC1207" s="53"/>
      <x:c r="AD1207" s="53"/>
      <x:c r="AE1207" s="53"/>
      <x:c r="AF1207" s="53"/>
    </x:row>
    <x:row r="1208">
      <x:c r="A1208" s="53"/>
      <x:c r="B1208" s="53"/>
      <x:c r="C1208" s="53"/>
      <x:c r="D1208" s="53"/>
      <x:c r="E1208" s="53"/>
      <x:c r="F1208" s="53"/>
      <x:c r="G1208" s="53"/>
      <x:c r="H1208" s="53"/>
      <x:c r="I1208" s="53"/>
      <x:c r="J1208" s="53"/>
      <x:c r="K1208" s="53"/>
      <x:c r="L1208" s="53"/>
      <x:c r="M1208" s="53"/>
      <x:c r="N1208" s="53"/>
      <x:c r="O1208" s="53"/>
      <x:c r="P1208" s="53"/>
      <x:c r="Q1208" s="53"/>
      <x:c r="R1208" s="53"/>
      <x:c r="S1208" s="53"/>
      <x:c r="T1208" s="53"/>
      <x:c r="U1208" s="53"/>
      <x:c r="V1208" s="53"/>
      <x:c r="W1208" s="53"/>
      <x:c r="X1208" s="53"/>
      <x:c r="Y1208" s="53"/>
      <x:c r="Z1208" s="53"/>
      <x:c r="AA1208" s="53"/>
      <x:c r="AB1208" s="53"/>
      <x:c r="AC1208" s="53"/>
      <x:c r="AD1208" s="53"/>
      <x:c r="AE1208" s="53"/>
      <x:c r="AF1208" s="53"/>
    </x:row>
    <x:row r="1209">
      <x:c r="A1209" s="53"/>
      <x:c r="B1209" s="53"/>
      <x:c r="C1209" s="53"/>
      <x:c r="D1209" s="53"/>
      <x:c r="E1209" s="53"/>
      <x:c r="F1209" s="53"/>
      <x:c r="G1209" s="53"/>
      <x:c r="H1209" s="53"/>
      <x:c r="I1209" s="53"/>
      <x:c r="J1209" s="53"/>
      <x:c r="K1209" s="53"/>
      <x:c r="L1209" s="53"/>
      <x:c r="M1209" s="53"/>
      <x:c r="N1209" s="53"/>
      <x:c r="O1209" s="53"/>
      <x:c r="P1209" s="53"/>
      <x:c r="Q1209" s="53"/>
      <x:c r="R1209" s="53"/>
      <x:c r="S1209" s="53"/>
      <x:c r="T1209" s="53"/>
      <x:c r="U1209" s="53"/>
      <x:c r="V1209" s="53"/>
      <x:c r="W1209" s="53"/>
      <x:c r="X1209" s="53"/>
      <x:c r="Y1209" s="53"/>
      <x:c r="Z1209" s="53"/>
      <x:c r="AA1209" s="53"/>
      <x:c r="AB1209" s="53"/>
      <x:c r="AC1209" s="53"/>
      <x:c r="AD1209" s="53"/>
      <x:c r="AE1209" s="53"/>
      <x:c r="AF1209" s="53"/>
    </x:row>
    <x:row r="1210">
      <x:c r="A1210" s="53"/>
      <x:c r="B1210" s="53"/>
      <x:c r="C1210" s="53"/>
      <x:c r="D1210" s="53"/>
      <x:c r="E1210" s="53"/>
      <x:c r="F1210" s="53"/>
      <x:c r="G1210" s="53"/>
      <x:c r="H1210" s="53"/>
      <x:c r="I1210" s="53"/>
      <x:c r="J1210" s="53"/>
      <x:c r="K1210" s="53"/>
      <x:c r="L1210" s="53"/>
      <x:c r="M1210" s="53"/>
      <x:c r="N1210" s="53"/>
      <x:c r="O1210" s="53"/>
      <x:c r="P1210" s="53"/>
      <x:c r="Q1210" s="53"/>
      <x:c r="R1210" s="53"/>
      <x:c r="S1210" s="53"/>
      <x:c r="T1210" s="53"/>
      <x:c r="U1210" s="53"/>
      <x:c r="V1210" s="53"/>
      <x:c r="W1210" s="53"/>
      <x:c r="X1210" s="53"/>
      <x:c r="Y1210" s="53"/>
      <x:c r="Z1210" s="53"/>
      <x:c r="AA1210" s="53"/>
      <x:c r="AB1210" s="53"/>
      <x:c r="AC1210" s="53"/>
      <x:c r="AD1210" s="53"/>
      <x:c r="AE1210" s="53"/>
      <x:c r="AF1210" s="53"/>
    </x:row>
    <x:row r="1211">
      <x:c r="A1211" s="53"/>
      <x:c r="B1211" s="53"/>
      <x:c r="C1211" s="53"/>
      <x:c r="D1211" s="53"/>
      <x:c r="E1211" s="53"/>
      <x:c r="F1211" s="53"/>
      <x:c r="G1211" s="53"/>
      <x:c r="H1211" s="53"/>
      <x:c r="I1211" s="53"/>
      <x:c r="J1211" s="53"/>
      <x:c r="K1211" s="53"/>
      <x:c r="L1211" s="53"/>
      <x:c r="M1211" s="53"/>
      <x:c r="N1211" s="53"/>
      <x:c r="O1211" s="53"/>
      <x:c r="P1211" s="53"/>
      <x:c r="Q1211" s="53"/>
      <x:c r="R1211" s="53"/>
      <x:c r="S1211" s="53"/>
      <x:c r="T1211" s="53"/>
      <x:c r="U1211" s="53"/>
      <x:c r="V1211" s="53"/>
      <x:c r="W1211" s="53"/>
      <x:c r="X1211" s="53"/>
      <x:c r="Y1211" s="53"/>
      <x:c r="Z1211" s="53"/>
      <x:c r="AA1211" s="53"/>
      <x:c r="AB1211" s="53"/>
      <x:c r="AC1211" s="53"/>
      <x:c r="AD1211" s="53"/>
      <x:c r="AE1211" s="53"/>
      <x:c r="AF1211" s="53"/>
    </x:row>
    <x:row r="1212">
      <x:c r="A1212" s="53"/>
      <x:c r="B1212" s="53"/>
      <x:c r="C1212" s="53"/>
      <x:c r="D1212" s="53"/>
      <x:c r="E1212" s="53"/>
      <x:c r="F1212" s="53"/>
      <x:c r="G1212" s="53"/>
      <x:c r="H1212" s="53"/>
      <x:c r="I1212" s="53"/>
      <x:c r="J1212" s="53"/>
      <x:c r="K1212" s="53"/>
      <x:c r="L1212" s="53"/>
      <x:c r="M1212" s="53"/>
      <x:c r="N1212" s="53"/>
      <x:c r="O1212" s="53"/>
      <x:c r="P1212" s="53"/>
      <x:c r="Q1212" s="53"/>
      <x:c r="R1212" s="53"/>
      <x:c r="S1212" s="53"/>
      <x:c r="T1212" s="53"/>
      <x:c r="U1212" s="53"/>
      <x:c r="V1212" s="53"/>
      <x:c r="W1212" s="53"/>
      <x:c r="X1212" s="53"/>
      <x:c r="Y1212" s="53"/>
      <x:c r="Z1212" s="53"/>
      <x:c r="AA1212" s="53"/>
      <x:c r="AB1212" s="53"/>
      <x:c r="AC1212" s="53"/>
      <x:c r="AD1212" s="53"/>
      <x:c r="AE1212" s="53"/>
      <x:c r="AF1212" s="53"/>
    </x:row>
    <x:row r="1213">
      <x:c r="A1213" s="53"/>
      <x:c r="B1213" s="53"/>
      <x:c r="C1213" s="53"/>
      <x:c r="D1213" s="53"/>
      <x:c r="E1213" s="53"/>
      <x:c r="F1213" s="53"/>
      <x:c r="G1213" s="53"/>
      <x:c r="H1213" s="53"/>
      <x:c r="I1213" s="53"/>
      <x:c r="J1213" s="53"/>
      <x:c r="K1213" s="53"/>
      <x:c r="L1213" s="53"/>
      <x:c r="M1213" s="53"/>
      <x:c r="N1213" s="53"/>
      <x:c r="O1213" s="53"/>
      <x:c r="P1213" s="53"/>
      <x:c r="Q1213" s="53"/>
      <x:c r="R1213" s="53"/>
      <x:c r="S1213" s="53"/>
      <x:c r="T1213" s="53"/>
      <x:c r="U1213" s="53"/>
      <x:c r="V1213" s="53"/>
      <x:c r="W1213" s="53"/>
      <x:c r="X1213" s="53"/>
      <x:c r="Y1213" s="53"/>
      <x:c r="Z1213" s="53"/>
      <x:c r="AA1213" s="53"/>
      <x:c r="AB1213" s="53"/>
      <x:c r="AC1213" s="53"/>
      <x:c r="AD1213" s="53"/>
      <x:c r="AE1213" s="53"/>
      <x:c r="AF1213" s="53"/>
    </x:row>
    <x:row r="1214">
      <x:c r="A1214" s="53"/>
      <x:c r="B1214" s="53"/>
      <x:c r="C1214" s="53"/>
      <x:c r="D1214" s="53"/>
      <x:c r="E1214" s="53"/>
      <x:c r="F1214" s="53"/>
      <x:c r="G1214" s="53"/>
      <x:c r="H1214" s="53"/>
      <x:c r="I1214" s="53"/>
      <x:c r="J1214" s="53"/>
      <x:c r="K1214" s="53"/>
      <x:c r="L1214" s="53"/>
      <x:c r="M1214" s="53"/>
      <x:c r="N1214" s="53"/>
      <x:c r="O1214" s="53"/>
      <x:c r="P1214" s="53"/>
      <x:c r="Q1214" s="53"/>
      <x:c r="R1214" s="53"/>
      <x:c r="S1214" s="53"/>
      <x:c r="T1214" s="53"/>
      <x:c r="U1214" s="53"/>
      <x:c r="V1214" s="53"/>
      <x:c r="W1214" s="53"/>
      <x:c r="X1214" s="53"/>
      <x:c r="Y1214" s="53"/>
      <x:c r="Z1214" s="53"/>
      <x:c r="AA1214" s="53"/>
      <x:c r="AB1214" s="53"/>
      <x:c r="AC1214" s="53"/>
      <x:c r="AD1214" s="53"/>
      <x:c r="AE1214" s="53"/>
      <x:c r="AF1214" s="53"/>
    </x:row>
    <x:row r="1215">
      <x:c r="A1215" s="53"/>
      <x:c r="B1215" s="53"/>
      <x:c r="C1215" s="53"/>
      <x:c r="D1215" s="53"/>
      <x:c r="E1215" s="53"/>
      <x:c r="F1215" s="53"/>
      <x:c r="G1215" s="53"/>
      <x:c r="H1215" s="53"/>
      <x:c r="I1215" s="53"/>
      <x:c r="J1215" s="53"/>
      <x:c r="K1215" s="53"/>
      <x:c r="L1215" s="53"/>
      <x:c r="M1215" s="53"/>
      <x:c r="N1215" s="53"/>
      <x:c r="O1215" s="53"/>
      <x:c r="P1215" s="53"/>
      <x:c r="Q1215" s="53"/>
      <x:c r="R1215" s="53"/>
      <x:c r="S1215" s="53"/>
      <x:c r="T1215" s="53"/>
      <x:c r="U1215" s="53"/>
      <x:c r="V1215" s="53"/>
      <x:c r="W1215" s="53"/>
      <x:c r="X1215" s="53"/>
      <x:c r="Y1215" s="53"/>
      <x:c r="Z1215" s="53"/>
      <x:c r="AA1215" s="53"/>
      <x:c r="AB1215" s="53"/>
      <x:c r="AC1215" s="53"/>
      <x:c r="AD1215" s="53"/>
      <x:c r="AE1215" s="53"/>
      <x:c r="AF1215" s="53"/>
    </x:row>
    <x:row r="1216">
      <x:c r="A1216" s="53"/>
      <x:c r="B1216" s="53"/>
      <x:c r="C1216" s="53"/>
      <x:c r="D1216" s="53"/>
      <x:c r="E1216" s="53"/>
      <x:c r="F1216" s="53"/>
      <x:c r="G1216" s="53"/>
      <x:c r="H1216" s="53"/>
      <x:c r="I1216" s="53"/>
      <x:c r="J1216" s="53"/>
      <x:c r="K1216" s="53"/>
      <x:c r="L1216" s="53"/>
      <x:c r="M1216" s="53"/>
      <x:c r="N1216" s="53"/>
      <x:c r="O1216" s="53"/>
      <x:c r="P1216" s="53"/>
      <x:c r="Q1216" s="53"/>
      <x:c r="R1216" s="53"/>
      <x:c r="S1216" s="53"/>
      <x:c r="T1216" s="53"/>
      <x:c r="U1216" s="53"/>
      <x:c r="V1216" s="53"/>
      <x:c r="W1216" s="53"/>
      <x:c r="X1216" s="53"/>
      <x:c r="Y1216" s="53"/>
      <x:c r="Z1216" s="53"/>
      <x:c r="AA1216" s="53"/>
      <x:c r="AB1216" s="53"/>
      <x:c r="AC1216" s="53"/>
      <x:c r="AD1216" s="53"/>
      <x:c r="AE1216" s="53"/>
      <x:c r="AF1216" s="53"/>
    </x:row>
    <x:row r="1217">
      <x:c r="A1217" s="53"/>
      <x:c r="B1217" s="53"/>
      <x:c r="C1217" s="53"/>
      <x:c r="D1217" s="53"/>
      <x:c r="E1217" s="53"/>
      <x:c r="F1217" s="53"/>
      <x:c r="G1217" s="53"/>
      <x:c r="H1217" s="53"/>
      <x:c r="I1217" s="53"/>
      <x:c r="J1217" s="53"/>
      <x:c r="K1217" s="53"/>
      <x:c r="L1217" s="53"/>
      <x:c r="M1217" s="53"/>
      <x:c r="N1217" s="53"/>
      <x:c r="O1217" s="53"/>
      <x:c r="P1217" s="53"/>
      <x:c r="Q1217" s="53"/>
      <x:c r="R1217" s="53"/>
      <x:c r="S1217" s="53"/>
      <x:c r="T1217" s="53"/>
      <x:c r="U1217" s="53"/>
      <x:c r="V1217" s="53"/>
      <x:c r="W1217" s="53"/>
      <x:c r="X1217" s="53"/>
      <x:c r="Y1217" s="53"/>
      <x:c r="Z1217" s="53"/>
      <x:c r="AA1217" s="53"/>
      <x:c r="AB1217" s="53"/>
      <x:c r="AC1217" s="53"/>
      <x:c r="AD1217" s="53"/>
      <x:c r="AE1217" s="53"/>
      <x:c r="AF1217" s="53"/>
    </x:row>
    <x:row r="1218">
      <x:c r="A1218" s="53"/>
      <x:c r="B1218" s="53"/>
      <x:c r="C1218" s="53"/>
      <x:c r="D1218" s="53"/>
      <x:c r="E1218" s="53"/>
      <x:c r="F1218" s="53"/>
      <x:c r="G1218" s="53"/>
      <x:c r="H1218" s="53"/>
      <x:c r="I1218" s="53"/>
      <x:c r="J1218" s="53"/>
      <x:c r="K1218" s="53"/>
      <x:c r="L1218" s="53"/>
      <x:c r="M1218" s="53"/>
      <x:c r="N1218" s="53"/>
      <x:c r="O1218" s="53"/>
      <x:c r="P1218" s="53"/>
      <x:c r="Q1218" s="53"/>
      <x:c r="R1218" s="53"/>
      <x:c r="S1218" s="53"/>
      <x:c r="T1218" s="53"/>
      <x:c r="U1218" s="53"/>
      <x:c r="V1218" s="53"/>
      <x:c r="W1218" s="53"/>
      <x:c r="X1218" s="53"/>
      <x:c r="Y1218" s="53"/>
      <x:c r="Z1218" s="53"/>
      <x:c r="AA1218" s="53"/>
      <x:c r="AB1218" s="53"/>
      <x:c r="AC1218" s="53"/>
      <x:c r="AD1218" s="53"/>
      <x:c r="AE1218" s="53"/>
      <x:c r="AF1218" s="53"/>
    </x:row>
    <x:row r="1219">
      <x:c r="A1219" s="53"/>
      <x:c r="B1219" s="53"/>
      <x:c r="C1219" s="53"/>
      <x:c r="D1219" s="53"/>
      <x:c r="E1219" s="53"/>
      <x:c r="F1219" s="53"/>
      <x:c r="G1219" s="53"/>
      <x:c r="H1219" s="53"/>
      <x:c r="I1219" s="53"/>
      <x:c r="J1219" s="53"/>
      <x:c r="K1219" s="53"/>
      <x:c r="L1219" s="53"/>
      <x:c r="M1219" s="53"/>
      <x:c r="N1219" s="53"/>
      <x:c r="O1219" s="53"/>
      <x:c r="P1219" s="53"/>
      <x:c r="Q1219" s="53"/>
      <x:c r="R1219" s="53"/>
      <x:c r="S1219" s="53"/>
      <x:c r="T1219" s="53"/>
      <x:c r="U1219" s="53"/>
      <x:c r="V1219" s="53"/>
      <x:c r="W1219" s="53"/>
      <x:c r="X1219" s="53"/>
      <x:c r="Y1219" s="53"/>
      <x:c r="Z1219" s="53"/>
      <x:c r="AA1219" s="53"/>
      <x:c r="AB1219" s="53"/>
      <x:c r="AC1219" s="53"/>
      <x:c r="AD1219" s="53"/>
      <x:c r="AE1219" s="53"/>
      <x:c r="AF1219" s="53"/>
    </x:row>
    <x:row r="1220">
      <x:c r="A1220" s="53"/>
      <x:c r="B1220" s="53"/>
      <x:c r="C1220" s="53"/>
      <x:c r="D1220" s="53"/>
      <x:c r="E1220" s="53"/>
      <x:c r="F1220" s="53"/>
      <x:c r="G1220" s="53"/>
      <x:c r="H1220" s="53"/>
      <x:c r="I1220" s="53"/>
      <x:c r="J1220" s="53"/>
      <x:c r="K1220" s="53"/>
      <x:c r="L1220" s="53"/>
      <x:c r="M1220" s="53"/>
      <x:c r="N1220" s="53"/>
      <x:c r="O1220" s="53"/>
      <x:c r="P1220" s="53"/>
      <x:c r="Q1220" s="53"/>
      <x:c r="R1220" s="53"/>
      <x:c r="S1220" s="53"/>
      <x:c r="T1220" s="53"/>
      <x:c r="U1220" s="53"/>
      <x:c r="V1220" s="53"/>
      <x:c r="W1220" s="53"/>
      <x:c r="X1220" s="53"/>
      <x:c r="Y1220" s="53"/>
      <x:c r="Z1220" s="53"/>
      <x:c r="AA1220" s="53"/>
      <x:c r="AB1220" s="53"/>
      <x:c r="AC1220" s="53"/>
      <x:c r="AD1220" s="53"/>
      <x:c r="AE1220" s="53"/>
      <x:c r="AF1220" s="53"/>
    </x:row>
    <x:row r="1221">
      <x:c r="A1221" s="53"/>
      <x:c r="B1221" s="53"/>
      <x:c r="C1221" s="53"/>
      <x:c r="D1221" s="53"/>
      <x:c r="E1221" s="53"/>
      <x:c r="F1221" s="53"/>
      <x:c r="G1221" s="53"/>
      <x:c r="H1221" s="53"/>
      <x:c r="I1221" s="53"/>
      <x:c r="J1221" s="53"/>
      <x:c r="K1221" s="53"/>
      <x:c r="L1221" s="53"/>
      <x:c r="M1221" s="53"/>
      <x:c r="N1221" s="53"/>
      <x:c r="O1221" s="53"/>
      <x:c r="P1221" s="53"/>
      <x:c r="Q1221" s="53"/>
      <x:c r="R1221" s="53"/>
      <x:c r="S1221" s="53"/>
      <x:c r="T1221" s="53"/>
      <x:c r="U1221" s="53"/>
      <x:c r="V1221" s="53"/>
      <x:c r="W1221" s="53"/>
      <x:c r="X1221" s="53"/>
      <x:c r="Y1221" s="53"/>
      <x:c r="Z1221" s="53"/>
      <x:c r="AA1221" s="53"/>
      <x:c r="AB1221" s="53"/>
      <x:c r="AC1221" s="53"/>
      <x:c r="AD1221" s="53"/>
      <x:c r="AE1221" s="53"/>
      <x:c r="AF1221" s="53"/>
    </x:row>
    <x:row r="1222">
      <x:c r="A1222" s="53"/>
      <x:c r="B1222" s="53"/>
      <x:c r="C1222" s="53"/>
      <x:c r="D1222" s="53"/>
      <x:c r="E1222" s="53"/>
      <x:c r="F1222" s="53"/>
      <x:c r="G1222" s="53"/>
      <x:c r="H1222" s="53"/>
      <x:c r="I1222" s="53"/>
      <x:c r="J1222" s="53"/>
      <x:c r="K1222" s="53"/>
      <x:c r="L1222" s="53"/>
      <x:c r="M1222" s="53"/>
      <x:c r="N1222" s="53"/>
      <x:c r="O1222" s="53"/>
      <x:c r="P1222" s="53"/>
      <x:c r="Q1222" s="53"/>
      <x:c r="R1222" s="53"/>
      <x:c r="S1222" s="53"/>
      <x:c r="T1222" s="53"/>
      <x:c r="U1222" s="53"/>
      <x:c r="V1222" s="53"/>
      <x:c r="W1222" s="53"/>
      <x:c r="X1222" s="53"/>
      <x:c r="Y1222" s="53"/>
      <x:c r="Z1222" s="53"/>
      <x:c r="AA1222" s="53"/>
      <x:c r="AB1222" s="53"/>
      <x:c r="AC1222" s="53"/>
      <x:c r="AD1222" s="53"/>
      <x:c r="AE1222" s="53"/>
      <x:c r="AF1222" s="53"/>
    </x:row>
    <x:row r="1223">
      <x:c r="A1223" s="53"/>
      <x:c r="B1223" s="53"/>
      <x:c r="C1223" s="53"/>
      <x:c r="D1223" s="53"/>
      <x:c r="E1223" s="53"/>
      <x:c r="F1223" s="53"/>
      <x:c r="G1223" s="53"/>
      <x:c r="H1223" s="53"/>
      <x:c r="I1223" s="53"/>
      <x:c r="J1223" s="53"/>
      <x:c r="K1223" s="53"/>
      <x:c r="L1223" s="53"/>
      <x:c r="M1223" s="53"/>
      <x:c r="N1223" s="53"/>
      <x:c r="O1223" s="53"/>
      <x:c r="P1223" s="53"/>
      <x:c r="Q1223" s="53"/>
      <x:c r="R1223" s="53"/>
      <x:c r="S1223" s="53"/>
      <x:c r="T1223" s="53"/>
      <x:c r="U1223" s="53"/>
      <x:c r="V1223" s="53"/>
      <x:c r="W1223" s="53"/>
      <x:c r="X1223" s="53"/>
      <x:c r="Y1223" s="53"/>
      <x:c r="Z1223" s="53"/>
      <x:c r="AA1223" s="53"/>
      <x:c r="AB1223" s="53"/>
      <x:c r="AC1223" s="53"/>
      <x:c r="AD1223" s="53"/>
      <x:c r="AE1223" s="53"/>
      <x:c r="AF1223" s="53"/>
    </x:row>
    <x:row r="1224">
      <x:c r="A1224" s="53"/>
      <x:c r="B1224" s="53"/>
      <x:c r="C1224" s="53"/>
      <x:c r="D1224" s="53"/>
      <x:c r="E1224" s="53"/>
      <x:c r="F1224" s="53"/>
      <x:c r="G1224" s="53"/>
      <x:c r="H1224" s="53"/>
      <x:c r="I1224" s="53"/>
      <x:c r="J1224" s="53"/>
      <x:c r="K1224" s="53"/>
      <x:c r="L1224" s="53"/>
      <x:c r="M1224" s="53"/>
      <x:c r="N1224" s="53"/>
      <x:c r="O1224" s="53"/>
      <x:c r="P1224" s="53"/>
      <x:c r="Q1224" s="53"/>
      <x:c r="R1224" s="53"/>
      <x:c r="S1224" s="53"/>
      <x:c r="T1224" s="53"/>
      <x:c r="U1224" s="53"/>
      <x:c r="V1224" s="53"/>
      <x:c r="W1224" s="53"/>
      <x:c r="X1224" s="53"/>
      <x:c r="Y1224" s="53"/>
      <x:c r="Z1224" s="53"/>
      <x:c r="AA1224" s="53"/>
      <x:c r="AB1224" s="53"/>
      <x:c r="AC1224" s="53"/>
      <x:c r="AD1224" s="53"/>
      <x:c r="AE1224" s="53"/>
      <x:c r="AF1224" s="53"/>
    </x:row>
    <x:row r="1225">
      <x:c r="A1225" s="53"/>
      <x:c r="B1225" s="53"/>
      <x:c r="C1225" s="53"/>
      <x:c r="D1225" s="53"/>
      <x:c r="E1225" s="53"/>
      <x:c r="F1225" s="53"/>
      <x:c r="G1225" s="53"/>
      <x:c r="H1225" s="53"/>
      <x:c r="I1225" s="53"/>
      <x:c r="J1225" s="53"/>
      <x:c r="K1225" s="53"/>
      <x:c r="L1225" s="53"/>
      <x:c r="M1225" s="53"/>
      <x:c r="N1225" s="53"/>
      <x:c r="O1225" s="53"/>
      <x:c r="P1225" s="53"/>
      <x:c r="Q1225" s="53"/>
      <x:c r="R1225" s="53"/>
      <x:c r="S1225" s="53"/>
      <x:c r="T1225" s="53"/>
      <x:c r="U1225" s="53"/>
      <x:c r="V1225" s="53"/>
      <x:c r="W1225" s="53"/>
      <x:c r="X1225" s="53"/>
      <x:c r="Y1225" s="53"/>
      <x:c r="Z1225" s="53"/>
      <x:c r="AA1225" s="53"/>
      <x:c r="AB1225" s="53"/>
      <x:c r="AC1225" s="53"/>
      <x:c r="AD1225" s="53"/>
      <x:c r="AE1225" s="53"/>
      <x:c r="AF1225" s="53"/>
    </x:row>
    <x:row r="1226">
      <x:c r="A1226" s="53"/>
      <x:c r="B1226" s="53"/>
      <x:c r="C1226" s="53"/>
      <x:c r="D1226" s="53"/>
      <x:c r="E1226" s="53"/>
      <x:c r="F1226" s="53"/>
      <x:c r="G1226" s="53"/>
      <x:c r="H1226" s="53"/>
      <x:c r="I1226" s="53"/>
      <x:c r="J1226" s="53"/>
      <x:c r="K1226" s="53"/>
      <x:c r="L1226" s="53"/>
      <x:c r="M1226" s="53"/>
      <x:c r="N1226" s="53"/>
      <x:c r="O1226" s="53"/>
      <x:c r="P1226" s="53"/>
      <x:c r="Q1226" s="53"/>
      <x:c r="R1226" s="53"/>
      <x:c r="S1226" s="53"/>
      <x:c r="T1226" s="53"/>
      <x:c r="U1226" s="53"/>
      <x:c r="V1226" s="53"/>
      <x:c r="W1226" s="53"/>
      <x:c r="X1226" s="53"/>
      <x:c r="Y1226" s="53"/>
      <x:c r="Z1226" s="53"/>
      <x:c r="AA1226" s="53"/>
      <x:c r="AB1226" s="53"/>
      <x:c r="AC1226" s="53"/>
      <x:c r="AD1226" s="53"/>
      <x:c r="AE1226" s="53"/>
      <x:c r="AF1226" s="53"/>
    </x:row>
    <x:row r="1227">
      <x:c r="A1227" s="53"/>
      <x:c r="B1227" s="53"/>
      <x:c r="C1227" s="53"/>
      <x:c r="D1227" s="53"/>
      <x:c r="E1227" s="53"/>
      <x:c r="F1227" s="53"/>
      <x:c r="G1227" s="53"/>
      <x:c r="H1227" s="53"/>
      <x:c r="I1227" s="53"/>
      <x:c r="J1227" s="53"/>
      <x:c r="K1227" s="53"/>
      <x:c r="L1227" s="53"/>
      <x:c r="M1227" s="53"/>
      <x:c r="N1227" s="53"/>
      <x:c r="O1227" s="53"/>
      <x:c r="P1227" s="53"/>
      <x:c r="Q1227" s="53"/>
      <x:c r="R1227" s="53"/>
      <x:c r="S1227" s="53"/>
      <x:c r="T1227" s="53"/>
      <x:c r="U1227" s="53"/>
      <x:c r="V1227" s="53"/>
      <x:c r="W1227" s="53"/>
      <x:c r="X1227" s="53"/>
      <x:c r="Y1227" s="53"/>
      <x:c r="Z1227" s="53"/>
      <x:c r="AA1227" s="53"/>
      <x:c r="AB1227" s="53"/>
      <x:c r="AC1227" s="53"/>
      <x:c r="AD1227" s="53"/>
      <x:c r="AE1227" s="53"/>
      <x:c r="AF1227" s="53"/>
    </x:row>
    <x:row r="1228">
      <x:c r="A1228" s="53"/>
      <x:c r="B1228" s="53"/>
      <x:c r="C1228" s="53"/>
      <x:c r="D1228" s="53"/>
      <x:c r="E1228" s="53"/>
      <x:c r="F1228" s="53"/>
      <x:c r="G1228" s="53"/>
      <x:c r="H1228" s="53"/>
      <x:c r="I1228" s="53"/>
      <x:c r="J1228" s="53"/>
      <x:c r="K1228" s="53"/>
      <x:c r="L1228" s="53"/>
      <x:c r="M1228" s="53"/>
      <x:c r="N1228" s="53"/>
      <x:c r="O1228" s="53"/>
      <x:c r="P1228" s="53"/>
      <x:c r="Q1228" s="53"/>
      <x:c r="R1228" s="53"/>
      <x:c r="S1228" s="53"/>
      <x:c r="T1228" s="53"/>
      <x:c r="U1228" s="53"/>
      <x:c r="V1228" s="53"/>
      <x:c r="W1228" s="53"/>
      <x:c r="X1228" s="53"/>
      <x:c r="Y1228" s="53"/>
      <x:c r="Z1228" s="53"/>
      <x:c r="AA1228" s="53"/>
      <x:c r="AB1228" s="53"/>
      <x:c r="AC1228" s="53"/>
      <x:c r="AD1228" s="53"/>
      <x:c r="AE1228" s="53"/>
      <x:c r="AF1228" s="53"/>
    </x:row>
    <x:row r="1229">
      <x:c r="A1229" s="53"/>
      <x:c r="B1229" s="53"/>
      <x:c r="C1229" s="53"/>
      <x:c r="D1229" s="53"/>
      <x:c r="E1229" s="53"/>
      <x:c r="F1229" s="53"/>
      <x:c r="G1229" s="53"/>
      <x:c r="H1229" s="53"/>
      <x:c r="I1229" s="53"/>
      <x:c r="J1229" s="53"/>
      <x:c r="K1229" s="53"/>
      <x:c r="L1229" s="53"/>
      <x:c r="M1229" s="53"/>
      <x:c r="N1229" s="53"/>
      <x:c r="O1229" s="53"/>
      <x:c r="P1229" s="53"/>
      <x:c r="Q1229" s="53"/>
      <x:c r="R1229" s="53"/>
      <x:c r="S1229" s="53"/>
      <x:c r="T1229" s="53"/>
      <x:c r="U1229" s="53"/>
      <x:c r="V1229" s="53"/>
      <x:c r="W1229" s="53"/>
      <x:c r="X1229" s="53"/>
      <x:c r="Y1229" s="53"/>
      <x:c r="Z1229" s="53"/>
      <x:c r="AA1229" s="53"/>
      <x:c r="AB1229" s="53"/>
      <x:c r="AC1229" s="53"/>
      <x:c r="AD1229" s="53"/>
      <x:c r="AE1229" s="53"/>
      <x:c r="AF1229" s="53"/>
    </x:row>
    <x:row r="1230">
      <x:c r="A1230" s="53"/>
      <x:c r="B1230" s="53"/>
      <x:c r="C1230" s="53"/>
      <x:c r="D1230" s="53"/>
      <x:c r="E1230" s="53"/>
      <x:c r="F1230" s="53"/>
      <x:c r="G1230" s="53"/>
      <x:c r="H1230" s="53"/>
      <x:c r="I1230" s="53"/>
      <x:c r="J1230" s="53"/>
      <x:c r="K1230" s="53"/>
      <x:c r="L1230" s="53"/>
      <x:c r="M1230" s="53"/>
      <x:c r="N1230" s="53"/>
      <x:c r="O1230" s="53"/>
      <x:c r="P1230" s="53"/>
      <x:c r="Q1230" s="53"/>
      <x:c r="R1230" s="53"/>
      <x:c r="S1230" s="53"/>
      <x:c r="T1230" s="53"/>
      <x:c r="U1230" s="53"/>
      <x:c r="V1230" s="53"/>
      <x:c r="W1230" s="53"/>
      <x:c r="X1230" s="53"/>
      <x:c r="Y1230" s="53"/>
      <x:c r="Z1230" s="53"/>
      <x:c r="AA1230" s="53"/>
      <x:c r="AB1230" s="53"/>
      <x:c r="AC1230" s="53"/>
      <x:c r="AD1230" s="53"/>
      <x:c r="AE1230" s="53"/>
      <x:c r="AF1230" s="53"/>
    </x:row>
    <x:row r="1231">
      <x:c r="A1231" s="53"/>
      <x:c r="B1231" s="53"/>
      <x:c r="C1231" s="53"/>
      <x:c r="D1231" s="53"/>
      <x:c r="E1231" s="53"/>
      <x:c r="F1231" s="53"/>
      <x:c r="G1231" s="53"/>
      <x:c r="H1231" s="53"/>
      <x:c r="I1231" s="53"/>
      <x:c r="J1231" s="53"/>
      <x:c r="K1231" s="53"/>
      <x:c r="L1231" s="53"/>
      <x:c r="M1231" s="53"/>
      <x:c r="N1231" s="53"/>
      <x:c r="O1231" s="53"/>
      <x:c r="P1231" s="53"/>
      <x:c r="Q1231" s="53"/>
      <x:c r="R1231" s="53"/>
      <x:c r="S1231" s="53"/>
      <x:c r="T1231" s="53"/>
      <x:c r="U1231" s="53"/>
      <x:c r="V1231" s="53"/>
      <x:c r="W1231" s="53"/>
      <x:c r="X1231" s="53"/>
      <x:c r="Y1231" s="53"/>
      <x:c r="Z1231" s="53"/>
      <x:c r="AA1231" s="53"/>
      <x:c r="AB1231" s="53"/>
      <x:c r="AC1231" s="53"/>
      <x:c r="AD1231" s="53"/>
      <x:c r="AE1231" s="53"/>
      <x:c r="AF1231" s="53"/>
    </x:row>
    <x:row r="1232">
      <x:c r="A1232" s="53"/>
      <x:c r="B1232" s="53"/>
      <x:c r="C1232" s="53"/>
      <x:c r="D1232" s="53"/>
      <x:c r="E1232" s="53"/>
      <x:c r="F1232" s="53"/>
      <x:c r="G1232" s="53"/>
      <x:c r="H1232" s="53"/>
      <x:c r="I1232" s="53"/>
      <x:c r="J1232" s="53"/>
      <x:c r="K1232" s="53"/>
      <x:c r="L1232" s="53"/>
      <x:c r="M1232" s="53"/>
      <x:c r="N1232" s="53"/>
      <x:c r="O1232" s="53"/>
      <x:c r="P1232" s="53"/>
      <x:c r="Q1232" s="53"/>
      <x:c r="R1232" s="53"/>
      <x:c r="S1232" s="53"/>
      <x:c r="T1232" s="53"/>
      <x:c r="U1232" s="53"/>
      <x:c r="V1232" s="53"/>
      <x:c r="W1232" s="53"/>
      <x:c r="X1232" s="53"/>
      <x:c r="Y1232" s="53"/>
      <x:c r="Z1232" s="53"/>
      <x:c r="AA1232" s="53"/>
      <x:c r="AB1232" s="53"/>
      <x:c r="AC1232" s="53"/>
      <x:c r="AD1232" s="53"/>
      <x:c r="AE1232" s="53"/>
      <x:c r="AF1232" s="53"/>
    </x:row>
    <x:row r="1233">
      <x:c r="A1233" s="53"/>
      <x:c r="B1233" s="53"/>
      <x:c r="C1233" s="53"/>
      <x:c r="D1233" s="53"/>
      <x:c r="E1233" s="53"/>
      <x:c r="F1233" s="53"/>
      <x:c r="G1233" s="53"/>
      <x:c r="H1233" s="53"/>
      <x:c r="I1233" s="53"/>
      <x:c r="J1233" s="53"/>
      <x:c r="K1233" s="53"/>
      <x:c r="L1233" s="53"/>
      <x:c r="M1233" s="53"/>
      <x:c r="N1233" s="53"/>
      <x:c r="O1233" s="53"/>
      <x:c r="P1233" s="53"/>
      <x:c r="Q1233" s="53"/>
      <x:c r="R1233" s="53"/>
      <x:c r="S1233" s="53"/>
      <x:c r="T1233" s="53"/>
      <x:c r="U1233" s="53"/>
      <x:c r="V1233" s="53"/>
      <x:c r="W1233" s="53"/>
      <x:c r="X1233" s="53"/>
      <x:c r="Y1233" s="53"/>
      <x:c r="Z1233" s="53"/>
      <x:c r="AA1233" s="53"/>
      <x:c r="AB1233" s="53"/>
      <x:c r="AC1233" s="53"/>
      <x:c r="AD1233" s="53"/>
      <x:c r="AE1233" s="53"/>
      <x:c r="AF1233" s="53"/>
    </x:row>
    <x:row r="1234">
      <x:c r="A1234" s="53"/>
      <x:c r="B1234" s="53"/>
      <x:c r="C1234" s="53"/>
      <x:c r="D1234" s="53"/>
      <x:c r="E1234" s="53"/>
      <x:c r="F1234" s="53"/>
      <x:c r="G1234" s="53"/>
      <x:c r="H1234" s="53"/>
      <x:c r="I1234" s="53"/>
      <x:c r="J1234" s="53"/>
      <x:c r="K1234" s="53"/>
      <x:c r="L1234" s="53"/>
      <x:c r="M1234" s="53"/>
      <x:c r="N1234" s="53"/>
      <x:c r="O1234" s="53"/>
      <x:c r="P1234" s="53"/>
      <x:c r="Q1234" s="53"/>
      <x:c r="R1234" s="53"/>
      <x:c r="S1234" s="53"/>
      <x:c r="T1234" s="53"/>
      <x:c r="U1234" s="53"/>
      <x:c r="V1234" s="53"/>
      <x:c r="W1234" s="53"/>
      <x:c r="X1234" s="53"/>
      <x:c r="Y1234" s="53"/>
      <x:c r="Z1234" s="53"/>
      <x:c r="AA1234" s="53"/>
      <x:c r="AB1234" s="53"/>
      <x:c r="AC1234" s="53"/>
      <x:c r="AD1234" s="53"/>
      <x:c r="AE1234" s="53"/>
      <x:c r="AF1234" s="53"/>
    </x:row>
    <x:row r="1235">
      <x:c r="A1235" s="53"/>
      <x:c r="B1235" s="53"/>
      <x:c r="C1235" s="53"/>
      <x:c r="D1235" s="53"/>
      <x:c r="E1235" s="53"/>
      <x:c r="F1235" s="53"/>
      <x:c r="G1235" s="53"/>
      <x:c r="H1235" s="53"/>
      <x:c r="I1235" s="53"/>
      <x:c r="J1235" s="53"/>
      <x:c r="K1235" s="53"/>
      <x:c r="L1235" s="53"/>
      <x:c r="M1235" s="53"/>
      <x:c r="N1235" s="53"/>
      <x:c r="O1235" s="53"/>
      <x:c r="P1235" s="53"/>
      <x:c r="Q1235" s="53"/>
      <x:c r="R1235" s="53"/>
      <x:c r="S1235" s="53"/>
      <x:c r="T1235" s="53"/>
      <x:c r="U1235" s="53"/>
      <x:c r="V1235" s="53"/>
      <x:c r="W1235" s="53"/>
      <x:c r="X1235" s="53"/>
      <x:c r="Y1235" s="53"/>
      <x:c r="Z1235" s="53"/>
      <x:c r="AA1235" s="53"/>
      <x:c r="AB1235" s="53"/>
      <x:c r="AC1235" s="53"/>
      <x:c r="AD1235" s="53"/>
      <x:c r="AE1235" s="53"/>
      <x:c r="AF1235" s="53"/>
    </x:row>
    <x:row r="1236">
      <x:c r="A1236" s="53"/>
      <x:c r="B1236" s="53"/>
      <x:c r="C1236" s="53"/>
      <x:c r="D1236" s="53"/>
      <x:c r="E1236" s="53"/>
      <x:c r="F1236" s="53"/>
      <x:c r="G1236" s="53"/>
      <x:c r="H1236" s="53"/>
      <x:c r="I1236" s="53"/>
      <x:c r="J1236" s="53"/>
      <x:c r="K1236" s="53"/>
      <x:c r="L1236" s="53"/>
      <x:c r="M1236" s="53"/>
      <x:c r="N1236" s="53"/>
      <x:c r="O1236" s="53"/>
      <x:c r="P1236" s="53"/>
      <x:c r="Q1236" s="53"/>
      <x:c r="R1236" s="53"/>
      <x:c r="S1236" s="53"/>
      <x:c r="T1236" s="53"/>
      <x:c r="U1236" s="53"/>
      <x:c r="V1236" s="53"/>
      <x:c r="W1236" s="53"/>
      <x:c r="X1236" s="53"/>
      <x:c r="Y1236" s="53"/>
      <x:c r="Z1236" s="53"/>
      <x:c r="AA1236" s="53"/>
      <x:c r="AB1236" s="53"/>
      <x:c r="AC1236" s="53"/>
      <x:c r="AD1236" s="53"/>
      <x:c r="AE1236" s="53"/>
      <x:c r="AF1236" s="53"/>
    </x:row>
    <x:row r="1237">
      <x:c r="A1237" s="53"/>
      <x:c r="B1237" s="53"/>
      <x:c r="C1237" s="53"/>
      <x:c r="D1237" s="53"/>
      <x:c r="E1237" s="53"/>
      <x:c r="F1237" s="53"/>
      <x:c r="G1237" s="53"/>
      <x:c r="H1237" s="53"/>
      <x:c r="I1237" s="53"/>
      <x:c r="J1237" s="53"/>
      <x:c r="K1237" s="53"/>
      <x:c r="L1237" s="53"/>
      <x:c r="M1237" s="53"/>
      <x:c r="N1237" s="53"/>
      <x:c r="O1237" s="53"/>
      <x:c r="P1237" s="53"/>
      <x:c r="Q1237" s="53"/>
      <x:c r="R1237" s="53"/>
      <x:c r="S1237" s="53"/>
      <x:c r="T1237" s="53"/>
      <x:c r="U1237" s="53"/>
      <x:c r="V1237" s="53"/>
      <x:c r="W1237" s="53"/>
      <x:c r="X1237" s="53"/>
      <x:c r="Y1237" s="53"/>
      <x:c r="Z1237" s="53"/>
      <x:c r="AA1237" s="53"/>
      <x:c r="AB1237" s="53"/>
      <x:c r="AC1237" s="53"/>
      <x:c r="AD1237" s="53"/>
      <x:c r="AE1237" s="53"/>
      <x:c r="AF1237" s="53"/>
    </x:row>
    <x:row r="1238">
      <x:c r="A1238" s="53"/>
      <x:c r="B1238" s="53"/>
      <x:c r="C1238" s="53"/>
      <x:c r="D1238" s="53"/>
      <x:c r="E1238" s="53"/>
      <x:c r="F1238" s="53"/>
      <x:c r="G1238" s="53"/>
      <x:c r="H1238" s="53"/>
      <x:c r="I1238" s="53"/>
      <x:c r="J1238" s="53"/>
      <x:c r="K1238" s="53"/>
      <x:c r="L1238" s="53"/>
      <x:c r="M1238" s="53"/>
      <x:c r="N1238" s="53"/>
      <x:c r="O1238" s="53"/>
      <x:c r="P1238" s="53"/>
      <x:c r="Q1238" s="53"/>
      <x:c r="R1238" s="53"/>
      <x:c r="S1238" s="53"/>
      <x:c r="T1238" s="53"/>
      <x:c r="U1238" s="53"/>
      <x:c r="V1238" s="53"/>
      <x:c r="W1238" s="53"/>
      <x:c r="X1238" s="53"/>
      <x:c r="Y1238" s="53"/>
      <x:c r="Z1238" s="53"/>
      <x:c r="AA1238" s="53"/>
      <x:c r="AB1238" s="53"/>
      <x:c r="AC1238" s="53"/>
      <x:c r="AD1238" s="53"/>
      <x:c r="AE1238" s="53"/>
      <x:c r="AF1238" s="53"/>
    </x:row>
    <x:row r="1239">
      <x:c r="A1239" s="53"/>
      <x:c r="B1239" s="53"/>
      <x:c r="C1239" s="53"/>
      <x:c r="D1239" s="53"/>
      <x:c r="E1239" s="53"/>
      <x:c r="F1239" s="53"/>
      <x:c r="G1239" s="53"/>
      <x:c r="H1239" s="53"/>
      <x:c r="I1239" s="53"/>
      <x:c r="J1239" s="53"/>
      <x:c r="K1239" s="53"/>
      <x:c r="L1239" s="53"/>
      <x:c r="M1239" s="53"/>
      <x:c r="N1239" s="53"/>
      <x:c r="O1239" s="53"/>
      <x:c r="P1239" s="53"/>
      <x:c r="Q1239" s="53"/>
      <x:c r="R1239" s="53"/>
      <x:c r="S1239" s="53"/>
      <x:c r="T1239" s="53"/>
      <x:c r="U1239" s="53"/>
      <x:c r="V1239" s="53"/>
      <x:c r="W1239" s="53"/>
      <x:c r="X1239" s="53"/>
      <x:c r="Y1239" s="53"/>
      <x:c r="Z1239" s="53"/>
      <x:c r="AA1239" s="53"/>
      <x:c r="AB1239" s="53"/>
      <x:c r="AC1239" s="53"/>
      <x:c r="AD1239" s="53"/>
      <x:c r="AE1239" s="53"/>
      <x:c r="AF1239" s="53"/>
    </x:row>
    <x:row r="1240">
      <x:c r="A1240" s="53"/>
      <x:c r="B1240" s="53"/>
      <x:c r="C1240" s="53"/>
      <x:c r="D1240" s="53"/>
      <x:c r="E1240" s="53"/>
      <x:c r="F1240" s="53"/>
      <x:c r="G1240" s="53"/>
      <x:c r="H1240" s="53"/>
      <x:c r="I1240" s="53"/>
      <x:c r="J1240" s="53"/>
      <x:c r="K1240" s="53"/>
      <x:c r="L1240" s="53"/>
      <x:c r="M1240" s="53"/>
      <x:c r="N1240" s="53"/>
      <x:c r="O1240" s="53"/>
      <x:c r="P1240" s="53"/>
      <x:c r="Q1240" s="53"/>
      <x:c r="R1240" s="53"/>
      <x:c r="S1240" s="53"/>
      <x:c r="T1240" s="53"/>
      <x:c r="U1240" s="53"/>
      <x:c r="V1240" s="53"/>
      <x:c r="W1240" s="53"/>
      <x:c r="X1240" s="53"/>
      <x:c r="Y1240" s="53"/>
      <x:c r="Z1240" s="53"/>
      <x:c r="AA1240" s="53"/>
      <x:c r="AB1240" s="53"/>
      <x:c r="AC1240" s="53"/>
      <x:c r="AD1240" s="53"/>
      <x:c r="AE1240" s="53"/>
      <x:c r="AF1240" s="53"/>
    </x:row>
    <x:row r="1241">
      <x:c r="A1241" s="53"/>
      <x:c r="B1241" s="53"/>
      <x:c r="C1241" s="53"/>
      <x:c r="D1241" s="53"/>
      <x:c r="E1241" s="53"/>
      <x:c r="F1241" s="53"/>
      <x:c r="G1241" s="53"/>
      <x:c r="H1241" s="53"/>
      <x:c r="I1241" s="53"/>
      <x:c r="J1241" s="53"/>
      <x:c r="K1241" s="53"/>
      <x:c r="L1241" s="53"/>
      <x:c r="M1241" s="53"/>
      <x:c r="N1241" s="53"/>
      <x:c r="O1241" s="53"/>
      <x:c r="P1241" s="53"/>
      <x:c r="Q1241" s="53"/>
      <x:c r="R1241" s="53"/>
      <x:c r="S1241" s="53"/>
      <x:c r="T1241" s="53"/>
      <x:c r="U1241" s="53"/>
      <x:c r="V1241" s="53"/>
      <x:c r="W1241" s="53"/>
      <x:c r="X1241" s="53"/>
      <x:c r="Y1241" s="53"/>
      <x:c r="Z1241" s="53"/>
      <x:c r="AA1241" s="53"/>
      <x:c r="AB1241" s="53"/>
      <x:c r="AC1241" s="53"/>
      <x:c r="AD1241" s="53"/>
      <x:c r="AE1241" s="53"/>
      <x:c r="AF1241" s="53"/>
    </x:row>
    <x:row r="1242">
      <x:c r="A1242" s="53"/>
      <x:c r="B1242" s="53"/>
      <x:c r="C1242" s="53"/>
      <x:c r="D1242" s="53"/>
      <x:c r="E1242" s="53"/>
      <x:c r="F1242" s="53"/>
      <x:c r="G1242" s="53"/>
      <x:c r="H1242" s="53"/>
      <x:c r="I1242" s="53"/>
      <x:c r="J1242" s="53"/>
      <x:c r="K1242" s="53"/>
      <x:c r="L1242" s="53"/>
      <x:c r="M1242" s="53"/>
      <x:c r="N1242" s="53"/>
      <x:c r="O1242" s="53"/>
      <x:c r="P1242" s="53"/>
      <x:c r="Q1242" s="53"/>
      <x:c r="R1242" s="53"/>
      <x:c r="S1242" s="53"/>
      <x:c r="T1242" s="53"/>
      <x:c r="U1242" s="53"/>
      <x:c r="V1242" s="53"/>
      <x:c r="W1242" s="53"/>
      <x:c r="X1242" s="53"/>
      <x:c r="Y1242" s="53"/>
      <x:c r="Z1242" s="53"/>
      <x:c r="AA1242" s="53"/>
      <x:c r="AB1242" s="53"/>
      <x:c r="AC1242" s="53"/>
      <x:c r="AD1242" s="53"/>
      <x:c r="AE1242" s="53"/>
      <x:c r="AF1242" s="53"/>
    </x:row>
    <x:row r="1243">
      <x:c r="A1243" s="53"/>
      <x:c r="B1243" s="53"/>
      <x:c r="C1243" s="53"/>
      <x:c r="D1243" s="53"/>
      <x:c r="E1243" s="53"/>
      <x:c r="F1243" s="53"/>
      <x:c r="G1243" s="53"/>
      <x:c r="H1243" s="53"/>
      <x:c r="I1243" s="53"/>
      <x:c r="J1243" s="53"/>
      <x:c r="K1243" s="53"/>
      <x:c r="L1243" s="53"/>
      <x:c r="M1243" s="53"/>
      <x:c r="N1243" s="53"/>
      <x:c r="O1243" s="53"/>
      <x:c r="P1243" s="53"/>
      <x:c r="Q1243" s="53"/>
      <x:c r="R1243" s="53"/>
      <x:c r="S1243" s="53"/>
      <x:c r="T1243" s="53"/>
      <x:c r="U1243" s="53"/>
      <x:c r="V1243" s="53"/>
      <x:c r="W1243" s="53"/>
      <x:c r="X1243" s="53"/>
      <x:c r="Y1243" s="53"/>
      <x:c r="Z1243" s="53"/>
      <x:c r="AA1243" s="53"/>
      <x:c r="AB1243" s="53"/>
      <x:c r="AC1243" s="53"/>
      <x:c r="AD1243" s="53"/>
      <x:c r="AE1243" s="53"/>
      <x:c r="AF1243" s="53"/>
    </x:row>
    <x:row r="1244">
      <x:c r="A1244" s="53"/>
      <x:c r="B1244" s="53"/>
      <x:c r="C1244" s="53"/>
      <x:c r="D1244" s="53"/>
      <x:c r="E1244" s="53"/>
      <x:c r="F1244" s="53"/>
      <x:c r="G1244" s="53"/>
      <x:c r="H1244" s="53"/>
      <x:c r="I1244" s="53"/>
      <x:c r="J1244" s="53"/>
      <x:c r="K1244" s="53"/>
      <x:c r="L1244" s="53"/>
      <x:c r="M1244" s="53"/>
      <x:c r="N1244" s="53"/>
      <x:c r="O1244" s="53"/>
      <x:c r="P1244" s="53"/>
      <x:c r="Q1244" s="53"/>
      <x:c r="R1244" s="53"/>
      <x:c r="S1244" s="53"/>
      <x:c r="T1244" s="53"/>
      <x:c r="U1244" s="53"/>
      <x:c r="V1244" s="53"/>
      <x:c r="W1244" s="53"/>
      <x:c r="X1244" s="53"/>
      <x:c r="Y1244" s="53"/>
      <x:c r="Z1244" s="53"/>
      <x:c r="AA1244" s="53"/>
      <x:c r="AB1244" s="53"/>
      <x:c r="AC1244" s="53"/>
      <x:c r="AD1244" s="53"/>
      <x:c r="AE1244" s="53"/>
      <x:c r="AF1244" s="53"/>
    </x:row>
    <x:row r="1245">
      <x:c r="A1245" s="53"/>
      <x:c r="B1245" s="53"/>
      <x:c r="C1245" s="53"/>
      <x:c r="D1245" s="53"/>
      <x:c r="E1245" s="53"/>
      <x:c r="F1245" s="53"/>
      <x:c r="G1245" s="53"/>
      <x:c r="H1245" s="53"/>
      <x:c r="I1245" s="53"/>
      <x:c r="J1245" s="53"/>
      <x:c r="K1245" s="53"/>
      <x:c r="L1245" s="53"/>
      <x:c r="M1245" s="53"/>
      <x:c r="N1245" s="53"/>
      <x:c r="O1245" s="53"/>
      <x:c r="P1245" s="53"/>
      <x:c r="Q1245" s="53"/>
      <x:c r="R1245" s="53"/>
      <x:c r="S1245" s="53"/>
      <x:c r="T1245" s="53"/>
      <x:c r="U1245" s="53"/>
      <x:c r="V1245" s="53"/>
      <x:c r="W1245" s="53"/>
      <x:c r="X1245" s="53"/>
      <x:c r="Y1245" s="53"/>
      <x:c r="Z1245" s="53"/>
      <x:c r="AA1245" s="53"/>
      <x:c r="AB1245" s="53"/>
      <x:c r="AC1245" s="53"/>
      <x:c r="AD1245" s="53"/>
      <x:c r="AE1245" s="53"/>
      <x:c r="AF1245" s="53"/>
    </x:row>
    <x:row r="1246">
      <x:c r="A1246" s="53"/>
      <x:c r="B1246" s="53"/>
      <x:c r="C1246" s="53"/>
      <x:c r="D1246" s="53"/>
      <x:c r="E1246" s="53"/>
      <x:c r="F1246" s="53"/>
      <x:c r="G1246" s="53"/>
      <x:c r="H1246" s="53"/>
      <x:c r="I1246" s="53"/>
      <x:c r="J1246" s="53"/>
      <x:c r="K1246" s="53"/>
      <x:c r="L1246" s="53"/>
      <x:c r="M1246" s="53"/>
      <x:c r="N1246" s="53"/>
      <x:c r="O1246" s="53"/>
      <x:c r="P1246" s="53"/>
      <x:c r="Q1246" s="53"/>
      <x:c r="R1246" s="53"/>
      <x:c r="S1246" s="53"/>
      <x:c r="T1246" s="53"/>
      <x:c r="U1246" s="53"/>
      <x:c r="V1246" s="53"/>
      <x:c r="W1246" s="53"/>
      <x:c r="X1246" s="53"/>
      <x:c r="Y1246" s="53"/>
      <x:c r="Z1246" s="53"/>
      <x:c r="AA1246" s="53"/>
      <x:c r="AB1246" s="53"/>
      <x:c r="AC1246" s="53"/>
      <x:c r="AD1246" s="53"/>
      <x:c r="AE1246" s="53"/>
      <x:c r="AF1246" s="53"/>
    </x:row>
    <x:row r="1247">
      <x:c r="A1247" s="53"/>
      <x:c r="B1247" s="53"/>
      <x:c r="C1247" s="53"/>
      <x:c r="D1247" s="53"/>
      <x:c r="E1247" s="53"/>
      <x:c r="F1247" s="53"/>
      <x:c r="G1247" s="53"/>
      <x:c r="H1247" s="53"/>
      <x:c r="I1247" s="53"/>
      <x:c r="J1247" s="53"/>
      <x:c r="K1247" s="53"/>
      <x:c r="L1247" s="53"/>
      <x:c r="M1247" s="53"/>
      <x:c r="N1247" s="53"/>
      <x:c r="O1247" s="53"/>
      <x:c r="P1247" s="53"/>
      <x:c r="Q1247" s="53"/>
      <x:c r="R1247" s="53"/>
      <x:c r="S1247" s="53"/>
      <x:c r="T1247" s="53"/>
      <x:c r="U1247" s="53"/>
      <x:c r="V1247" s="53"/>
      <x:c r="W1247" s="53"/>
      <x:c r="X1247" s="53"/>
      <x:c r="Y1247" s="53"/>
      <x:c r="Z1247" s="53"/>
      <x:c r="AA1247" s="53"/>
      <x:c r="AB1247" s="53"/>
      <x:c r="AC1247" s="53"/>
      <x:c r="AD1247" s="53"/>
      <x:c r="AE1247" s="53"/>
      <x:c r="AF1247" s="53"/>
    </x:row>
    <x:row r="1248">
      <x:c r="A1248" s="53"/>
      <x:c r="B1248" s="53"/>
      <x:c r="C1248" s="53"/>
      <x:c r="D1248" s="53"/>
      <x:c r="E1248" s="53"/>
      <x:c r="F1248" s="53"/>
      <x:c r="G1248" s="53"/>
      <x:c r="H1248" s="53"/>
      <x:c r="I1248" s="53"/>
      <x:c r="J1248" s="53"/>
      <x:c r="K1248" s="53"/>
      <x:c r="L1248" s="53"/>
      <x:c r="M1248" s="53"/>
      <x:c r="N1248" s="53"/>
      <x:c r="O1248" s="53"/>
      <x:c r="P1248" s="53"/>
      <x:c r="Q1248" s="53"/>
      <x:c r="R1248" s="53"/>
      <x:c r="S1248" s="53"/>
      <x:c r="T1248" s="53"/>
      <x:c r="U1248" s="53"/>
      <x:c r="V1248" s="53"/>
      <x:c r="W1248" s="53"/>
      <x:c r="X1248" s="53"/>
      <x:c r="Y1248" s="53"/>
      <x:c r="Z1248" s="53"/>
      <x:c r="AA1248" s="53"/>
      <x:c r="AB1248" s="53"/>
      <x:c r="AC1248" s="53"/>
      <x:c r="AD1248" s="53"/>
      <x:c r="AE1248" s="53"/>
      <x:c r="AF1248" s="53"/>
    </x:row>
    <x:row r="1249">
      <x:c r="A1249" s="53"/>
      <x:c r="B1249" s="53"/>
      <x:c r="C1249" s="53"/>
      <x:c r="D1249" s="53"/>
      <x:c r="E1249" s="53"/>
      <x:c r="F1249" s="53"/>
      <x:c r="G1249" s="53"/>
      <x:c r="H1249" s="53"/>
      <x:c r="I1249" s="53"/>
      <x:c r="J1249" s="53"/>
      <x:c r="K1249" s="53"/>
      <x:c r="L1249" s="53"/>
      <x:c r="M1249" s="53"/>
      <x:c r="N1249" s="53"/>
      <x:c r="O1249" s="53"/>
      <x:c r="P1249" s="53"/>
      <x:c r="Q1249" s="53"/>
      <x:c r="R1249" s="53"/>
      <x:c r="S1249" s="53"/>
      <x:c r="T1249" s="53"/>
      <x:c r="U1249" s="53"/>
      <x:c r="V1249" s="53"/>
      <x:c r="W1249" s="53"/>
      <x:c r="X1249" s="53"/>
      <x:c r="Y1249" s="53"/>
      <x:c r="Z1249" s="53"/>
      <x:c r="AA1249" s="53"/>
      <x:c r="AB1249" s="53"/>
      <x:c r="AC1249" s="53"/>
      <x:c r="AD1249" s="53"/>
      <x:c r="AE1249" s="53"/>
      <x:c r="AF1249" s="53"/>
    </x:row>
    <x:row r="1250">
      <x:c r="A1250" s="53"/>
      <x:c r="B1250" s="53"/>
      <x:c r="C1250" s="53"/>
      <x:c r="D1250" s="53"/>
      <x:c r="E1250" s="53"/>
      <x:c r="F1250" s="53"/>
      <x:c r="G1250" s="53"/>
      <x:c r="H1250" s="53"/>
      <x:c r="I1250" s="53"/>
      <x:c r="J1250" s="53"/>
      <x:c r="K1250" s="53"/>
      <x:c r="L1250" s="53"/>
      <x:c r="M1250" s="53"/>
      <x:c r="N1250" s="53"/>
      <x:c r="O1250" s="53"/>
      <x:c r="P1250" s="53"/>
      <x:c r="Q1250" s="53"/>
      <x:c r="R1250" s="53"/>
      <x:c r="S1250" s="53"/>
      <x:c r="T1250" s="53"/>
      <x:c r="U1250" s="53"/>
      <x:c r="V1250" s="53"/>
      <x:c r="W1250" s="53"/>
      <x:c r="X1250" s="53"/>
      <x:c r="Y1250" s="53"/>
      <x:c r="Z1250" s="53"/>
      <x:c r="AA1250" s="53"/>
      <x:c r="AB1250" s="53"/>
      <x:c r="AC1250" s="53"/>
      <x:c r="AD1250" s="53"/>
      <x:c r="AE1250" s="53"/>
      <x:c r="AF1250" s="53"/>
    </x:row>
    <x:row r="1251">
      <x:c r="A1251" s="53"/>
      <x:c r="B1251" s="53"/>
      <x:c r="C1251" s="53"/>
      <x:c r="D1251" s="53"/>
      <x:c r="E1251" s="53"/>
      <x:c r="F1251" s="53"/>
      <x:c r="G1251" s="53"/>
      <x:c r="H1251" s="53"/>
      <x:c r="I1251" s="53"/>
      <x:c r="J1251" s="53"/>
      <x:c r="K1251" s="53"/>
      <x:c r="L1251" s="53"/>
      <x:c r="M1251" s="53"/>
      <x:c r="N1251" s="53"/>
      <x:c r="O1251" s="53"/>
      <x:c r="P1251" s="53"/>
      <x:c r="Q1251" s="53"/>
      <x:c r="R1251" s="53"/>
      <x:c r="S1251" s="53"/>
      <x:c r="T1251" s="53"/>
      <x:c r="U1251" s="53"/>
      <x:c r="V1251" s="53"/>
      <x:c r="W1251" s="53"/>
      <x:c r="X1251" s="53"/>
      <x:c r="Y1251" s="53"/>
      <x:c r="Z1251" s="53"/>
      <x:c r="AA1251" s="53"/>
      <x:c r="AB1251" s="53"/>
      <x:c r="AC1251" s="53"/>
      <x:c r="AD1251" s="53"/>
      <x:c r="AE1251" s="53"/>
      <x:c r="AF1251" s="53"/>
    </x:row>
    <x:row r="1252">
      <x:c r="A1252" s="53"/>
      <x:c r="B1252" s="53"/>
      <x:c r="C1252" s="53"/>
      <x:c r="D1252" s="53"/>
      <x:c r="E1252" s="53"/>
      <x:c r="F1252" s="53"/>
      <x:c r="G1252" s="53"/>
      <x:c r="H1252" s="53"/>
      <x:c r="I1252" s="53"/>
      <x:c r="J1252" s="53"/>
      <x:c r="K1252" s="53"/>
      <x:c r="L1252" s="53"/>
      <x:c r="M1252" s="53"/>
      <x:c r="N1252" s="53"/>
      <x:c r="O1252" s="53"/>
      <x:c r="P1252" s="53"/>
      <x:c r="Q1252" s="53"/>
      <x:c r="R1252" s="53"/>
      <x:c r="S1252" s="53"/>
      <x:c r="T1252" s="53"/>
      <x:c r="U1252" s="53"/>
      <x:c r="V1252" s="53"/>
      <x:c r="W1252" s="53"/>
      <x:c r="X1252" s="53"/>
      <x:c r="Y1252" s="53"/>
      <x:c r="Z1252" s="53"/>
      <x:c r="AA1252" s="53"/>
      <x:c r="AB1252" s="53"/>
      <x:c r="AC1252" s="53"/>
      <x:c r="AD1252" s="53"/>
      <x:c r="AE1252" s="53"/>
      <x:c r="AF1252" s="53"/>
    </x:row>
    <x:row r="1253">
      <x:c r="A1253" s="53"/>
      <x:c r="B1253" s="53"/>
      <x:c r="C1253" s="53"/>
      <x:c r="D1253" s="53"/>
      <x:c r="E1253" s="53"/>
      <x:c r="F1253" s="53"/>
      <x:c r="G1253" s="53"/>
      <x:c r="H1253" s="53"/>
      <x:c r="I1253" s="53"/>
      <x:c r="J1253" s="53"/>
      <x:c r="K1253" s="53"/>
      <x:c r="L1253" s="53"/>
      <x:c r="M1253" s="53"/>
      <x:c r="N1253" s="53"/>
      <x:c r="O1253" s="53"/>
      <x:c r="P1253" s="53"/>
      <x:c r="Q1253" s="53"/>
      <x:c r="R1253" s="53"/>
      <x:c r="S1253" s="53"/>
      <x:c r="T1253" s="53"/>
      <x:c r="U1253" s="53"/>
      <x:c r="V1253" s="53"/>
      <x:c r="W1253" s="53"/>
      <x:c r="X1253" s="53"/>
      <x:c r="Y1253" s="53"/>
      <x:c r="Z1253" s="53"/>
      <x:c r="AA1253" s="53"/>
      <x:c r="AB1253" s="53"/>
      <x:c r="AC1253" s="53"/>
      <x:c r="AD1253" s="53"/>
      <x:c r="AE1253" s="53"/>
      <x:c r="AF1253" s="53"/>
    </x:row>
    <x:row r="1254">
      <x:c r="A1254" s="53"/>
      <x:c r="B1254" s="53"/>
      <x:c r="C1254" s="53"/>
      <x:c r="D1254" s="53"/>
      <x:c r="E1254" s="53"/>
      <x:c r="F1254" s="53"/>
      <x:c r="G1254" s="53"/>
      <x:c r="H1254" s="53"/>
      <x:c r="I1254" s="53"/>
      <x:c r="J1254" s="53"/>
      <x:c r="K1254" s="53"/>
      <x:c r="L1254" s="53"/>
      <x:c r="M1254" s="53"/>
      <x:c r="N1254" s="53"/>
      <x:c r="O1254" s="53"/>
      <x:c r="P1254" s="53"/>
      <x:c r="Q1254" s="53"/>
      <x:c r="R1254" s="53"/>
      <x:c r="S1254" s="53"/>
      <x:c r="T1254" s="53"/>
      <x:c r="U1254" s="53"/>
      <x:c r="V1254" s="53"/>
      <x:c r="W1254" s="53"/>
      <x:c r="X1254" s="53"/>
      <x:c r="Y1254" s="53"/>
      <x:c r="Z1254" s="53"/>
      <x:c r="AA1254" s="53"/>
      <x:c r="AB1254" s="53"/>
      <x:c r="AC1254" s="53"/>
      <x:c r="AD1254" s="53"/>
      <x:c r="AE1254" s="53"/>
      <x:c r="AF1254" s="53"/>
    </x:row>
    <x:row r="1255">
      <x:c r="A1255" s="53"/>
      <x:c r="B1255" s="53"/>
      <x:c r="C1255" s="53"/>
      <x:c r="D1255" s="53"/>
      <x:c r="E1255" s="53"/>
      <x:c r="F1255" s="53"/>
      <x:c r="G1255" s="53"/>
      <x:c r="H1255" s="53"/>
      <x:c r="I1255" s="53"/>
      <x:c r="J1255" s="53"/>
      <x:c r="K1255" s="53"/>
      <x:c r="L1255" s="53"/>
      <x:c r="M1255" s="53"/>
      <x:c r="N1255" s="53"/>
      <x:c r="O1255" s="53"/>
      <x:c r="P1255" s="53"/>
      <x:c r="Q1255" s="53"/>
      <x:c r="R1255" s="53"/>
      <x:c r="S1255" s="53"/>
      <x:c r="T1255" s="53"/>
      <x:c r="U1255" s="53"/>
      <x:c r="V1255" s="53"/>
      <x:c r="W1255" s="53"/>
      <x:c r="X1255" s="53"/>
      <x:c r="Y1255" s="53"/>
      <x:c r="Z1255" s="53"/>
      <x:c r="AA1255" s="53"/>
      <x:c r="AB1255" s="53"/>
      <x:c r="AC1255" s="53"/>
      <x:c r="AD1255" s="53"/>
      <x:c r="AE1255" s="53"/>
      <x:c r="AF1255" s="53"/>
    </x:row>
    <x:row r="1256">
      <x:c r="A1256" s="53"/>
      <x:c r="B1256" s="53"/>
      <x:c r="C1256" s="53"/>
      <x:c r="D1256" s="53"/>
      <x:c r="E1256" s="53"/>
      <x:c r="F1256" s="53"/>
      <x:c r="G1256" s="53"/>
      <x:c r="H1256" s="53"/>
      <x:c r="I1256" s="53"/>
      <x:c r="J1256" s="53"/>
      <x:c r="K1256" s="53"/>
      <x:c r="L1256" s="53"/>
      <x:c r="M1256" s="53"/>
      <x:c r="N1256" s="53"/>
      <x:c r="O1256" s="53"/>
      <x:c r="P1256" s="53"/>
      <x:c r="Q1256" s="53"/>
      <x:c r="R1256" s="53"/>
      <x:c r="S1256" s="53"/>
      <x:c r="T1256" s="53"/>
      <x:c r="U1256" s="53"/>
      <x:c r="V1256" s="53"/>
      <x:c r="W1256" s="53"/>
      <x:c r="X1256" s="53"/>
      <x:c r="Y1256" s="53"/>
      <x:c r="Z1256" s="53"/>
      <x:c r="AA1256" s="53"/>
      <x:c r="AB1256" s="53"/>
      <x:c r="AC1256" s="53"/>
      <x:c r="AD1256" s="53"/>
      <x:c r="AE1256" s="53"/>
      <x:c r="AF1256" s="53"/>
    </x:row>
    <x:row r="1257">
      <x:c r="A1257" s="53"/>
      <x:c r="B1257" s="53"/>
      <x:c r="C1257" s="53"/>
      <x:c r="D1257" s="53"/>
      <x:c r="E1257" s="53"/>
      <x:c r="F1257" s="53"/>
      <x:c r="G1257" s="53"/>
      <x:c r="H1257" s="53"/>
      <x:c r="I1257" s="53"/>
      <x:c r="J1257" s="53"/>
      <x:c r="K1257" s="53"/>
      <x:c r="L1257" s="53"/>
      <x:c r="M1257" s="53"/>
      <x:c r="N1257" s="53"/>
      <x:c r="O1257" s="53"/>
      <x:c r="P1257" s="53"/>
      <x:c r="Q1257" s="53"/>
      <x:c r="R1257" s="53"/>
      <x:c r="S1257" s="53"/>
      <x:c r="T1257" s="53"/>
      <x:c r="U1257" s="53"/>
      <x:c r="V1257" s="53"/>
      <x:c r="W1257" s="53"/>
      <x:c r="X1257" s="53"/>
      <x:c r="Y1257" s="53"/>
      <x:c r="Z1257" s="53"/>
      <x:c r="AA1257" s="53"/>
      <x:c r="AB1257" s="53"/>
      <x:c r="AC1257" s="53"/>
      <x:c r="AD1257" s="53"/>
      <x:c r="AE1257" s="53"/>
      <x:c r="AF1257" s="53"/>
    </x:row>
    <x:row r="1258">
      <x:c r="A1258" s="53"/>
      <x:c r="B1258" s="53"/>
      <x:c r="C1258" s="53"/>
      <x:c r="D1258" s="53"/>
      <x:c r="E1258" s="53"/>
      <x:c r="F1258" s="53"/>
      <x:c r="G1258" s="53"/>
      <x:c r="H1258" s="53"/>
      <x:c r="I1258" s="53"/>
      <x:c r="J1258" s="53"/>
      <x:c r="K1258" s="53"/>
      <x:c r="L1258" s="53"/>
      <x:c r="M1258" s="53"/>
      <x:c r="N1258" s="53"/>
      <x:c r="O1258" s="53"/>
      <x:c r="P1258" s="53"/>
      <x:c r="Q1258" s="53"/>
      <x:c r="R1258" s="53"/>
      <x:c r="S1258" s="53"/>
      <x:c r="T1258" s="53"/>
      <x:c r="U1258" s="53"/>
      <x:c r="V1258" s="53"/>
      <x:c r="W1258" s="53"/>
      <x:c r="X1258" s="53"/>
      <x:c r="Y1258" s="53"/>
      <x:c r="Z1258" s="53"/>
      <x:c r="AA1258" s="53"/>
      <x:c r="AB1258" s="53"/>
      <x:c r="AC1258" s="53"/>
      <x:c r="AD1258" s="53"/>
      <x:c r="AE1258" s="53"/>
      <x:c r="AF1258" s="53"/>
    </x:row>
    <x:row r="1259">
      <x:c r="A1259" s="53"/>
      <x:c r="B1259" s="53"/>
      <x:c r="C1259" s="53"/>
      <x:c r="D1259" s="53"/>
      <x:c r="E1259" s="53"/>
      <x:c r="F1259" s="53"/>
      <x:c r="G1259" s="53"/>
      <x:c r="H1259" s="53"/>
      <x:c r="I1259" s="53"/>
      <x:c r="J1259" s="53"/>
      <x:c r="K1259" s="53"/>
      <x:c r="L1259" s="53"/>
      <x:c r="M1259" s="53"/>
      <x:c r="N1259" s="53"/>
      <x:c r="O1259" s="53"/>
      <x:c r="P1259" s="53"/>
      <x:c r="Q1259" s="53"/>
      <x:c r="R1259" s="53"/>
      <x:c r="S1259" s="53"/>
      <x:c r="T1259" s="53"/>
      <x:c r="U1259" s="53"/>
      <x:c r="V1259" s="53"/>
      <x:c r="W1259" s="53"/>
      <x:c r="X1259" s="53"/>
      <x:c r="Y1259" s="53"/>
      <x:c r="Z1259" s="53"/>
      <x:c r="AA1259" s="53"/>
      <x:c r="AB1259" s="53"/>
      <x:c r="AC1259" s="53"/>
      <x:c r="AD1259" s="53"/>
      <x:c r="AE1259" s="53"/>
      <x:c r="AF1259" s="53"/>
    </x:row>
    <x:row r="1260">
      <x:c r="A1260" s="53"/>
      <x:c r="B1260" s="53"/>
      <x:c r="C1260" s="53"/>
      <x:c r="D1260" s="53"/>
      <x:c r="E1260" s="53"/>
      <x:c r="F1260" s="53"/>
      <x:c r="G1260" s="53"/>
      <x:c r="H1260" s="53"/>
      <x:c r="I1260" s="53"/>
      <x:c r="J1260" s="53"/>
      <x:c r="K1260" s="53"/>
      <x:c r="L1260" s="53"/>
      <x:c r="M1260" s="53"/>
      <x:c r="N1260" s="53"/>
      <x:c r="O1260" s="53"/>
      <x:c r="P1260" s="53"/>
      <x:c r="Q1260" s="53"/>
      <x:c r="R1260" s="53"/>
      <x:c r="S1260" s="53"/>
      <x:c r="T1260" s="53"/>
      <x:c r="U1260" s="53"/>
      <x:c r="V1260" s="53"/>
      <x:c r="W1260" s="53"/>
      <x:c r="X1260" s="53"/>
      <x:c r="Y1260" s="53"/>
      <x:c r="Z1260" s="53"/>
      <x:c r="AA1260" s="53"/>
      <x:c r="AB1260" s="53"/>
      <x:c r="AC1260" s="53"/>
      <x:c r="AD1260" s="53"/>
      <x:c r="AE1260" s="53"/>
      <x:c r="AF1260" s="53"/>
    </x:row>
    <x:row r="1261">
      <x:c r="A1261" s="53"/>
      <x:c r="B1261" s="53"/>
      <x:c r="C1261" s="53"/>
      <x:c r="D1261" s="53"/>
      <x:c r="E1261" s="53"/>
      <x:c r="F1261" s="53"/>
      <x:c r="G1261" s="53"/>
      <x:c r="H1261" s="53"/>
      <x:c r="I1261" s="53"/>
      <x:c r="J1261" s="53"/>
      <x:c r="K1261" s="53"/>
      <x:c r="L1261" s="53"/>
      <x:c r="M1261" s="53"/>
      <x:c r="N1261" s="53"/>
      <x:c r="O1261" s="53"/>
      <x:c r="P1261" s="53"/>
      <x:c r="Q1261" s="53"/>
      <x:c r="R1261" s="53"/>
      <x:c r="S1261" s="53"/>
      <x:c r="T1261" s="53"/>
      <x:c r="U1261" s="53"/>
      <x:c r="V1261" s="53"/>
      <x:c r="W1261" s="53"/>
      <x:c r="X1261" s="53"/>
      <x:c r="Y1261" s="53"/>
      <x:c r="Z1261" s="53"/>
      <x:c r="AA1261" s="53"/>
      <x:c r="AB1261" s="53"/>
      <x:c r="AC1261" s="53"/>
      <x:c r="AD1261" s="53"/>
      <x:c r="AE1261" s="53"/>
      <x:c r="AF1261" s="53"/>
    </x:row>
    <x:row r="1262">
      <x:c r="A1262" s="53"/>
      <x:c r="B1262" s="53"/>
      <x:c r="C1262" s="53"/>
      <x:c r="D1262" s="53"/>
      <x:c r="E1262" s="53"/>
      <x:c r="F1262" s="53"/>
      <x:c r="G1262" s="53"/>
      <x:c r="H1262" s="53"/>
      <x:c r="I1262" s="53"/>
      <x:c r="J1262" s="53"/>
      <x:c r="K1262" s="53"/>
      <x:c r="L1262" s="53"/>
      <x:c r="M1262" s="53"/>
      <x:c r="N1262" s="53"/>
      <x:c r="O1262" s="53"/>
      <x:c r="P1262" s="53"/>
      <x:c r="Q1262" s="53"/>
      <x:c r="R1262" s="53"/>
      <x:c r="S1262" s="53"/>
      <x:c r="T1262" s="53"/>
      <x:c r="U1262" s="53"/>
      <x:c r="V1262" s="53"/>
      <x:c r="W1262" s="53"/>
      <x:c r="X1262" s="53"/>
      <x:c r="Y1262" s="53"/>
      <x:c r="Z1262" s="53"/>
      <x:c r="AA1262" s="53"/>
      <x:c r="AB1262" s="53"/>
      <x:c r="AC1262" s="53"/>
      <x:c r="AD1262" s="53"/>
      <x:c r="AE1262" s="53"/>
      <x:c r="AF1262" s="53"/>
    </x:row>
    <x:row r="1263">
      <x:c r="A1263" s="53"/>
      <x:c r="B1263" s="53"/>
      <x:c r="C1263" s="53"/>
      <x:c r="D1263" s="53"/>
      <x:c r="E1263" s="53"/>
      <x:c r="F1263" s="53"/>
      <x:c r="G1263" s="53"/>
      <x:c r="H1263" s="53"/>
      <x:c r="I1263" s="53"/>
      <x:c r="J1263" s="53"/>
      <x:c r="K1263" s="53"/>
      <x:c r="L1263" s="53"/>
      <x:c r="M1263" s="53"/>
      <x:c r="N1263" s="53"/>
      <x:c r="O1263" s="53"/>
      <x:c r="P1263" s="53"/>
      <x:c r="Q1263" s="53"/>
      <x:c r="R1263" s="53"/>
      <x:c r="S1263" s="53"/>
      <x:c r="T1263" s="53"/>
      <x:c r="U1263" s="53"/>
      <x:c r="V1263" s="53"/>
      <x:c r="W1263" s="53"/>
      <x:c r="X1263" s="53"/>
      <x:c r="Y1263" s="53"/>
      <x:c r="Z1263" s="53"/>
      <x:c r="AA1263" s="53"/>
      <x:c r="AB1263" s="53"/>
      <x:c r="AC1263" s="53"/>
      <x:c r="AD1263" s="53"/>
      <x:c r="AE1263" s="53"/>
      <x:c r="AF1263" s="53"/>
    </x:row>
    <x:row r="1264">
      <x:c r="A1264" s="53"/>
      <x:c r="B1264" s="53"/>
      <x:c r="C1264" s="53"/>
      <x:c r="D1264" s="53"/>
      <x:c r="E1264" s="53"/>
      <x:c r="F1264" s="53"/>
      <x:c r="G1264" s="53"/>
      <x:c r="H1264" s="53"/>
      <x:c r="I1264" s="53"/>
      <x:c r="J1264" s="53"/>
      <x:c r="K1264" s="53"/>
      <x:c r="L1264" s="53"/>
      <x:c r="M1264" s="53"/>
      <x:c r="N1264" s="53"/>
      <x:c r="O1264" s="53"/>
      <x:c r="P1264" s="53"/>
      <x:c r="Q1264" s="53"/>
      <x:c r="R1264" s="53"/>
      <x:c r="S1264" s="53"/>
      <x:c r="T1264" s="53"/>
      <x:c r="U1264" s="53"/>
      <x:c r="V1264" s="53"/>
      <x:c r="W1264" s="53"/>
      <x:c r="X1264" s="53"/>
      <x:c r="Y1264" s="53"/>
      <x:c r="Z1264" s="53"/>
      <x:c r="AA1264" s="53"/>
      <x:c r="AB1264" s="53"/>
      <x:c r="AC1264" s="53"/>
      <x:c r="AD1264" s="53"/>
      <x:c r="AE1264" s="53"/>
      <x:c r="AF1264" s="53"/>
    </x:row>
    <x:row r="1265">
      <x:c r="A1265" s="53"/>
      <x:c r="B1265" s="53"/>
      <x:c r="C1265" s="53"/>
      <x:c r="D1265" s="53"/>
      <x:c r="E1265" s="53"/>
      <x:c r="F1265" s="53"/>
      <x:c r="G1265" s="53"/>
      <x:c r="H1265" s="53"/>
      <x:c r="I1265" s="53"/>
      <x:c r="J1265" s="53"/>
      <x:c r="K1265" s="53"/>
      <x:c r="L1265" s="53"/>
      <x:c r="M1265" s="53"/>
      <x:c r="N1265" s="53"/>
      <x:c r="O1265" s="53"/>
      <x:c r="P1265" s="53"/>
      <x:c r="Q1265" s="53"/>
      <x:c r="R1265" s="53"/>
      <x:c r="S1265" s="53"/>
      <x:c r="T1265" s="53"/>
      <x:c r="U1265" s="53"/>
      <x:c r="V1265" s="53"/>
      <x:c r="W1265" s="53"/>
      <x:c r="X1265" s="53"/>
      <x:c r="Y1265" s="53"/>
      <x:c r="Z1265" s="53"/>
      <x:c r="AA1265" s="53"/>
      <x:c r="AB1265" s="53"/>
      <x:c r="AC1265" s="53"/>
      <x:c r="AD1265" s="53"/>
      <x:c r="AE1265" s="53"/>
      <x:c r="AF1265" s="53"/>
    </x:row>
    <x:row r="1266">
      <x:c r="A1266" s="53"/>
      <x:c r="B1266" s="53"/>
      <x:c r="C1266" s="53"/>
      <x:c r="D1266" s="53"/>
      <x:c r="E1266" s="53"/>
      <x:c r="F1266" s="53"/>
      <x:c r="G1266" s="53"/>
      <x:c r="H1266" s="53"/>
      <x:c r="I1266" s="53"/>
      <x:c r="J1266" s="53"/>
      <x:c r="K1266" s="53"/>
      <x:c r="L1266" s="53"/>
      <x:c r="M1266" s="53"/>
      <x:c r="N1266" s="53"/>
      <x:c r="O1266" s="53"/>
      <x:c r="P1266" s="53"/>
      <x:c r="Q1266" s="53"/>
      <x:c r="R1266" s="53"/>
      <x:c r="S1266" s="53"/>
      <x:c r="T1266" s="53"/>
      <x:c r="U1266" s="53"/>
      <x:c r="V1266" s="53"/>
      <x:c r="W1266" s="53"/>
      <x:c r="X1266" s="53"/>
      <x:c r="Y1266" s="53"/>
      <x:c r="Z1266" s="53"/>
      <x:c r="AA1266" s="53"/>
      <x:c r="AB1266" s="53"/>
      <x:c r="AC1266" s="53"/>
      <x:c r="AD1266" s="53"/>
      <x:c r="AE1266" s="53"/>
      <x:c r="AF1266" s="53"/>
    </x:row>
    <x:row r="1267">
      <x:c r="A1267" s="53"/>
      <x:c r="B1267" s="53"/>
      <x:c r="C1267" s="53"/>
      <x:c r="D1267" s="53"/>
      <x:c r="E1267" s="53"/>
      <x:c r="F1267" s="53"/>
      <x:c r="G1267" s="53"/>
      <x:c r="H1267" s="53"/>
      <x:c r="I1267" s="53"/>
      <x:c r="J1267" s="53"/>
      <x:c r="K1267" s="53"/>
      <x:c r="L1267" s="53"/>
      <x:c r="M1267" s="53"/>
      <x:c r="N1267" s="53"/>
      <x:c r="O1267" s="53"/>
      <x:c r="P1267" s="53"/>
      <x:c r="Q1267" s="53"/>
      <x:c r="R1267" s="53"/>
      <x:c r="S1267" s="53"/>
      <x:c r="T1267" s="53"/>
      <x:c r="U1267" s="53"/>
      <x:c r="V1267" s="53"/>
      <x:c r="W1267" s="53"/>
      <x:c r="X1267" s="53"/>
      <x:c r="Y1267" s="53"/>
      <x:c r="Z1267" s="53"/>
      <x:c r="AA1267" s="53"/>
      <x:c r="AB1267" s="53"/>
      <x:c r="AC1267" s="53"/>
      <x:c r="AD1267" s="53"/>
      <x:c r="AE1267" s="53"/>
      <x:c r="AF1267" s="53"/>
    </x:row>
    <x:row r="1268">
      <x:c r="A1268" s="53"/>
      <x:c r="B1268" s="53"/>
      <x:c r="C1268" s="53"/>
      <x:c r="D1268" s="53"/>
      <x:c r="E1268" s="53"/>
      <x:c r="F1268" s="53"/>
      <x:c r="G1268" s="53"/>
      <x:c r="H1268" s="53"/>
      <x:c r="I1268" s="53"/>
      <x:c r="J1268" s="53"/>
      <x:c r="K1268" s="53"/>
      <x:c r="L1268" s="53"/>
      <x:c r="M1268" s="53"/>
      <x:c r="N1268" s="53"/>
      <x:c r="O1268" s="53"/>
      <x:c r="P1268" s="53"/>
      <x:c r="Q1268" s="53"/>
      <x:c r="R1268" s="53"/>
      <x:c r="S1268" s="53"/>
      <x:c r="T1268" s="53"/>
      <x:c r="U1268" s="53"/>
      <x:c r="V1268" s="53"/>
      <x:c r="W1268" s="53"/>
      <x:c r="X1268" s="53"/>
      <x:c r="Y1268" s="53"/>
      <x:c r="Z1268" s="53"/>
      <x:c r="AA1268" s="53"/>
      <x:c r="AB1268" s="53"/>
      <x:c r="AC1268" s="53"/>
      <x:c r="AD1268" s="53"/>
      <x:c r="AE1268" s="53"/>
      <x:c r="AF1268" s="53"/>
    </x:row>
    <x:row r="1269">
      <x:c r="A1269" s="53"/>
      <x:c r="B1269" s="53"/>
      <x:c r="C1269" s="53"/>
      <x:c r="D1269" s="53"/>
      <x:c r="E1269" s="53"/>
      <x:c r="F1269" s="53"/>
      <x:c r="G1269" s="53"/>
      <x:c r="H1269" s="53"/>
      <x:c r="I1269" s="53"/>
      <x:c r="J1269" s="53"/>
      <x:c r="K1269" s="53"/>
      <x:c r="L1269" s="53"/>
      <x:c r="M1269" s="53"/>
      <x:c r="N1269" s="53"/>
      <x:c r="O1269" s="53"/>
      <x:c r="P1269" s="53"/>
      <x:c r="Q1269" s="53"/>
      <x:c r="R1269" s="53"/>
      <x:c r="S1269" s="53"/>
      <x:c r="T1269" s="53"/>
      <x:c r="U1269" s="53"/>
      <x:c r="V1269" s="53"/>
      <x:c r="W1269" s="53"/>
      <x:c r="X1269" s="53"/>
      <x:c r="Y1269" s="53"/>
      <x:c r="Z1269" s="53"/>
      <x:c r="AA1269" s="53"/>
      <x:c r="AB1269" s="53"/>
      <x:c r="AC1269" s="53"/>
      <x:c r="AD1269" s="53"/>
      <x:c r="AE1269" s="53"/>
      <x:c r="AF1269" s="53"/>
    </x:row>
    <x:row r="1270">
      <x:c r="A1270" s="53"/>
      <x:c r="B1270" s="53"/>
      <x:c r="C1270" s="53"/>
      <x:c r="D1270" s="53"/>
      <x:c r="E1270" s="53"/>
      <x:c r="F1270" s="53"/>
      <x:c r="G1270" s="53"/>
      <x:c r="H1270" s="53"/>
      <x:c r="I1270" s="53"/>
      <x:c r="J1270" s="53"/>
      <x:c r="K1270" s="53"/>
      <x:c r="L1270" s="53"/>
      <x:c r="M1270" s="53"/>
      <x:c r="N1270" s="53"/>
      <x:c r="O1270" s="53"/>
      <x:c r="P1270" s="53"/>
      <x:c r="Q1270" s="53"/>
      <x:c r="R1270" s="53"/>
      <x:c r="S1270" s="53"/>
      <x:c r="T1270" s="53"/>
      <x:c r="U1270" s="53"/>
      <x:c r="V1270" s="53"/>
      <x:c r="W1270" s="53"/>
      <x:c r="X1270" s="53"/>
      <x:c r="Y1270" s="53"/>
      <x:c r="Z1270" s="53"/>
      <x:c r="AA1270" s="53"/>
      <x:c r="AB1270" s="53"/>
      <x:c r="AC1270" s="53"/>
      <x:c r="AD1270" s="53"/>
      <x:c r="AE1270" s="53"/>
      <x:c r="AF1270" s="53"/>
    </x:row>
    <x:row r="1271">
      <x:c r="A1271" s="53"/>
      <x:c r="B1271" s="53"/>
      <x:c r="C1271" s="53"/>
      <x:c r="D1271" s="53"/>
      <x:c r="E1271" s="53"/>
      <x:c r="F1271" s="53"/>
      <x:c r="G1271" s="53"/>
      <x:c r="H1271" s="53"/>
      <x:c r="I1271" s="53"/>
      <x:c r="J1271" s="53"/>
      <x:c r="K1271" s="53"/>
      <x:c r="L1271" s="53"/>
      <x:c r="M1271" s="53"/>
      <x:c r="N1271" s="53"/>
      <x:c r="O1271" s="53"/>
      <x:c r="P1271" s="53"/>
      <x:c r="Q1271" s="53"/>
      <x:c r="R1271" s="53"/>
      <x:c r="S1271" s="53"/>
      <x:c r="T1271" s="53"/>
      <x:c r="U1271" s="53"/>
      <x:c r="V1271" s="53"/>
      <x:c r="W1271" s="53"/>
      <x:c r="X1271" s="53"/>
      <x:c r="Y1271" s="53"/>
      <x:c r="Z1271" s="53"/>
      <x:c r="AA1271" s="53"/>
      <x:c r="AB1271" s="53"/>
      <x:c r="AC1271" s="53"/>
      <x:c r="AD1271" s="53"/>
      <x:c r="AE1271" s="53"/>
      <x:c r="AF1271" s="53"/>
    </x:row>
    <x:row r="1272">
      <x:c r="A1272" s="53"/>
      <x:c r="B1272" s="53"/>
      <x:c r="C1272" s="53"/>
      <x:c r="D1272" s="53"/>
      <x:c r="E1272" s="53"/>
      <x:c r="F1272" s="53"/>
      <x:c r="G1272" s="53"/>
      <x:c r="H1272" s="53"/>
      <x:c r="I1272" s="53"/>
      <x:c r="J1272" s="53"/>
      <x:c r="K1272" s="53"/>
      <x:c r="L1272" s="53"/>
      <x:c r="M1272" s="53"/>
      <x:c r="N1272" s="53"/>
      <x:c r="O1272" s="53"/>
      <x:c r="P1272" s="53"/>
      <x:c r="Q1272" s="53"/>
      <x:c r="R1272" s="53"/>
      <x:c r="S1272" s="53"/>
      <x:c r="T1272" s="53"/>
      <x:c r="U1272" s="53"/>
      <x:c r="V1272" s="53"/>
      <x:c r="W1272" s="53"/>
      <x:c r="X1272" s="53"/>
      <x:c r="Y1272" s="53"/>
      <x:c r="Z1272" s="53"/>
      <x:c r="AA1272" s="53"/>
      <x:c r="AB1272" s="53"/>
      <x:c r="AC1272" s="53"/>
      <x:c r="AD1272" s="53"/>
      <x:c r="AE1272" s="53"/>
      <x:c r="AF1272" s="53"/>
    </x:row>
    <x:row r="1273">
      <x:c r="A1273" s="53"/>
      <x:c r="B1273" s="53"/>
      <x:c r="C1273" s="53"/>
      <x:c r="D1273" s="53"/>
      <x:c r="E1273" s="53"/>
      <x:c r="F1273" s="53"/>
      <x:c r="G1273" s="53"/>
      <x:c r="H1273" s="53"/>
      <x:c r="I1273" s="53"/>
      <x:c r="J1273" s="53"/>
      <x:c r="K1273" s="53"/>
      <x:c r="L1273" s="53"/>
      <x:c r="M1273" s="53"/>
      <x:c r="N1273" s="53"/>
      <x:c r="O1273" s="53"/>
      <x:c r="P1273" s="53"/>
      <x:c r="Q1273" s="53"/>
      <x:c r="R1273" s="53"/>
      <x:c r="S1273" s="53"/>
      <x:c r="T1273" s="53"/>
      <x:c r="U1273" s="53"/>
      <x:c r="V1273" s="53"/>
      <x:c r="W1273" s="53"/>
      <x:c r="X1273" s="53"/>
      <x:c r="Y1273" s="53"/>
      <x:c r="Z1273" s="53"/>
      <x:c r="AA1273" s="53"/>
      <x:c r="AB1273" s="53"/>
      <x:c r="AC1273" s="53"/>
      <x:c r="AD1273" s="53"/>
      <x:c r="AE1273" s="53"/>
      <x:c r="AF1273" s="53"/>
    </x:row>
    <x:row r="1274">
      <x:c r="A1274" s="53"/>
      <x:c r="B1274" s="53"/>
      <x:c r="C1274" s="53"/>
      <x:c r="D1274" s="53"/>
      <x:c r="E1274" s="53"/>
      <x:c r="F1274" s="53"/>
      <x:c r="G1274" s="53"/>
      <x:c r="H1274" s="53"/>
      <x:c r="I1274" s="53"/>
      <x:c r="J1274" s="53"/>
      <x:c r="K1274" s="53"/>
      <x:c r="L1274" s="53"/>
      <x:c r="M1274" s="53"/>
      <x:c r="N1274" s="53"/>
      <x:c r="O1274" s="53"/>
      <x:c r="P1274" s="53"/>
      <x:c r="Q1274" s="53"/>
      <x:c r="R1274" s="53"/>
      <x:c r="S1274" s="53"/>
      <x:c r="T1274" s="53"/>
      <x:c r="U1274" s="53"/>
      <x:c r="V1274" s="53"/>
      <x:c r="W1274" s="53"/>
      <x:c r="X1274" s="53"/>
      <x:c r="Y1274" s="53"/>
      <x:c r="Z1274" s="53"/>
      <x:c r="AA1274" s="53"/>
      <x:c r="AB1274" s="53"/>
      <x:c r="AC1274" s="53"/>
      <x:c r="AD1274" s="53"/>
      <x:c r="AE1274" s="53"/>
      <x:c r="AF1274" s="53"/>
    </x:row>
    <x:row r="1275">
      <x:c r="A1275" s="53"/>
      <x:c r="B1275" s="53"/>
      <x:c r="C1275" s="53"/>
      <x:c r="D1275" s="53"/>
      <x:c r="E1275" s="53"/>
      <x:c r="F1275" s="53"/>
      <x:c r="G1275" s="53"/>
      <x:c r="H1275" s="53"/>
      <x:c r="I1275" s="53"/>
      <x:c r="J1275" s="53"/>
      <x:c r="K1275" s="53"/>
      <x:c r="L1275" s="53"/>
      <x:c r="M1275" s="53"/>
      <x:c r="N1275" s="53"/>
      <x:c r="O1275" s="53"/>
      <x:c r="P1275" s="53"/>
      <x:c r="Q1275" s="53"/>
      <x:c r="R1275" s="53"/>
      <x:c r="S1275" s="53"/>
      <x:c r="T1275" s="53"/>
      <x:c r="U1275" s="53"/>
      <x:c r="V1275" s="53"/>
      <x:c r="W1275" s="53"/>
      <x:c r="X1275" s="53"/>
      <x:c r="Y1275" s="53"/>
      <x:c r="Z1275" s="53"/>
      <x:c r="AA1275" s="53"/>
      <x:c r="AB1275" s="53"/>
      <x:c r="AC1275" s="53"/>
      <x:c r="AD1275" s="53"/>
      <x:c r="AE1275" s="53"/>
      <x:c r="AF1275" s="53"/>
    </x:row>
    <x:row r="1276">
      <x:c r="A1276" s="53"/>
      <x:c r="B1276" s="53"/>
      <x:c r="C1276" s="53"/>
      <x:c r="D1276" s="53"/>
      <x:c r="E1276" s="53"/>
      <x:c r="F1276" s="53"/>
      <x:c r="G1276" s="53"/>
      <x:c r="H1276" s="53"/>
      <x:c r="I1276" s="53"/>
      <x:c r="J1276" s="53"/>
      <x:c r="K1276" s="53"/>
      <x:c r="L1276" s="53"/>
      <x:c r="M1276" s="53"/>
      <x:c r="N1276" s="53"/>
      <x:c r="O1276" s="53"/>
      <x:c r="P1276" s="53"/>
      <x:c r="Q1276" s="53"/>
      <x:c r="R1276" s="53"/>
      <x:c r="S1276" s="53"/>
      <x:c r="T1276" s="53"/>
      <x:c r="U1276" s="53"/>
      <x:c r="V1276" s="53"/>
      <x:c r="W1276" s="53"/>
      <x:c r="X1276" s="53"/>
      <x:c r="Y1276" s="53"/>
      <x:c r="Z1276" s="53"/>
      <x:c r="AA1276" s="53"/>
      <x:c r="AB1276" s="53"/>
      <x:c r="AC1276" s="53"/>
      <x:c r="AD1276" s="53"/>
      <x:c r="AE1276" s="53"/>
      <x:c r="AF1276" s="53"/>
    </x:row>
    <x:row r="1277">
      <x:c r="A1277" s="53"/>
      <x:c r="B1277" s="53"/>
      <x:c r="C1277" s="53"/>
      <x:c r="D1277" s="53"/>
      <x:c r="E1277" s="53"/>
      <x:c r="F1277" s="53"/>
      <x:c r="G1277" s="53"/>
      <x:c r="H1277" s="53"/>
      <x:c r="I1277" s="53"/>
      <x:c r="J1277" s="53"/>
      <x:c r="K1277" s="53"/>
      <x:c r="L1277" s="53"/>
      <x:c r="M1277" s="53"/>
      <x:c r="N1277" s="53"/>
      <x:c r="O1277" s="53"/>
      <x:c r="P1277" s="53"/>
      <x:c r="Q1277" s="53"/>
      <x:c r="R1277" s="53"/>
      <x:c r="S1277" s="53"/>
      <x:c r="T1277" s="53"/>
      <x:c r="U1277" s="53"/>
      <x:c r="V1277" s="53"/>
      <x:c r="W1277" s="53"/>
      <x:c r="X1277" s="53"/>
      <x:c r="Y1277" s="53"/>
      <x:c r="Z1277" s="53"/>
      <x:c r="AA1277" s="53"/>
      <x:c r="AB1277" s="53"/>
      <x:c r="AC1277" s="53"/>
      <x:c r="AD1277" s="53"/>
      <x:c r="AE1277" s="53"/>
      <x:c r="AF1277" s="53"/>
    </x:row>
    <x:row r="1278">
      <x:c r="A1278" s="53"/>
      <x:c r="B1278" s="53"/>
      <x:c r="C1278" s="53"/>
      <x:c r="D1278" s="53"/>
      <x:c r="E1278" s="53"/>
      <x:c r="F1278" s="53"/>
      <x:c r="G1278" s="53"/>
      <x:c r="H1278" s="53"/>
      <x:c r="I1278" s="53"/>
      <x:c r="J1278" s="53"/>
      <x:c r="K1278" s="53"/>
      <x:c r="L1278" s="53"/>
      <x:c r="M1278" s="53"/>
      <x:c r="N1278" s="53"/>
      <x:c r="O1278" s="53"/>
      <x:c r="P1278" s="53"/>
      <x:c r="Q1278" s="53"/>
      <x:c r="R1278" s="53"/>
      <x:c r="S1278" s="53"/>
      <x:c r="T1278" s="53"/>
      <x:c r="U1278" s="53"/>
      <x:c r="V1278" s="53"/>
      <x:c r="W1278" s="53"/>
      <x:c r="X1278" s="53"/>
      <x:c r="Y1278" s="53"/>
      <x:c r="Z1278" s="53"/>
      <x:c r="AA1278" s="53"/>
      <x:c r="AB1278" s="53"/>
      <x:c r="AC1278" s="53"/>
      <x:c r="AD1278" s="53"/>
      <x:c r="AE1278" s="53"/>
      <x:c r="AF1278" s="53"/>
    </x:row>
    <x:row r="1279">
      <x:c r="A1279" s="53"/>
      <x:c r="B1279" s="53"/>
      <x:c r="C1279" s="53"/>
      <x:c r="D1279" s="53"/>
      <x:c r="E1279" s="53"/>
      <x:c r="F1279" s="53"/>
      <x:c r="G1279" s="53"/>
      <x:c r="H1279" s="53"/>
      <x:c r="I1279" s="53"/>
      <x:c r="J1279" s="53"/>
      <x:c r="K1279" s="53"/>
      <x:c r="L1279" s="53"/>
      <x:c r="M1279" s="53"/>
      <x:c r="N1279" s="53"/>
      <x:c r="O1279" s="53"/>
      <x:c r="P1279" s="53"/>
      <x:c r="Q1279" s="53"/>
      <x:c r="R1279" s="53"/>
      <x:c r="S1279" s="53"/>
      <x:c r="T1279" s="53"/>
      <x:c r="U1279" s="53"/>
      <x:c r="V1279" s="53"/>
      <x:c r="W1279" s="53"/>
      <x:c r="X1279" s="53"/>
      <x:c r="Y1279" s="53"/>
      <x:c r="Z1279" s="53"/>
      <x:c r="AA1279" s="53"/>
      <x:c r="AB1279" s="53"/>
      <x:c r="AC1279" s="53"/>
      <x:c r="AD1279" s="53"/>
      <x:c r="AE1279" s="53"/>
      <x:c r="AF1279" s="53"/>
    </x:row>
    <x:row r="1280">
      <x:c r="A1280" s="53"/>
      <x:c r="B1280" s="53"/>
      <x:c r="C1280" s="53"/>
      <x:c r="D1280" s="53"/>
      <x:c r="E1280" s="53"/>
      <x:c r="F1280" s="53"/>
      <x:c r="G1280" s="53"/>
      <x:c r="H1280" s="53"/>
      <x:c r="I1280" s="53"/>
      <x:c r="J1280" s="53"/>
      <x:c r="K1280" s="53"/>
      <x:c r="L1280" s="53"/>
      <x:c r="M1280" s="53"/>
      <x:c r="N1280" s="53"/>
      <x:c r="O1280" s="53"/>
      <x:c r="P1280" s="53"/>
      <x:c r="Q1280" s="53"/>
      <x:c r="R1280" s="53"/>
      <x:c r="S1280" s="53"/>
      <x:c r="T1280" s="53"/>
      <x:c r="U1280" s="53"/>
      <x:c r="V1280" s="53"/>
      <x:c r="W1280" s="53"/>
      <x:c r="X1280" s="53"/>
      <x:c r="Y1280" s="53"/>
      <x:c r="Z1280" s="53"/>
      <x:c r="AA1280" s="53"/>
      <x:c r="AB1280" s="53"/>
      <x:c r="AC1280" s="53"/>
      <x:c r="AD1280" s="53"/>
      <x:c r="AE1280" s="53"/>
      <x:c r="AF1280" s="53"/>
    </x:row>
    <x:row r="1281">
      <x:c r="A1281" s="53"/>
      <x:c r="B1281" s="53"/>
      <x:c r="C1281" s="53"/>
      <x:c r="D1281" s="53"/>
      <x:c r="E1281" s="53"/>
      <x:c r="F1281" s="53"/>
      <x:c r="G1281" s="53"/>
      <x:c r="H1281" s="53"/>
      <x:c r="I1281" s="53"/>
      <x:c r="J1281" s="53"/>
      <x:c r="K1281" s="53"/>
      <x:c r="L1281" s="53"/>
      <x:c r="M1281" s="53"/>
      <x:c r="N1281" s="53"/>
      <x:c r="O1281" s="53"/>
      <x:c r="P1281" s="53"/>
      <x:c r="Q1281" s="53"/>
      <x:c r="R1281" s="53"/>
      <x:c r="S1281" s="53"/>
      <x:c r="T1281" s="53"/>
      <x:c r="U1281" s="53"/>
      <x:c r="V1281" s="53"/>
      <x:c r="W1281" s="53"/>
      <x:c r="X1281" s="53"/>
      <x:c r="Y1281" s="53"/>
      <x:c r="Z1281" s="53"/>
      <x:c r="AA1281" s="53"/>
      <x:c r="AB1281" s="53"/>
      <x:c r="AC1281" s="53"/>
      <x:c r="AD1281" s="53"/>
      <x:c r="AE1281" s="53"/>
      <x:c r="AF1281" s="53"/>
    </x:row>
    <x:row r="1282">
      <x:c r="A1282" s="53"/>
      <x:c r="B1282" s="53"/>
      <x:c r="C1282" s="53"/>
      <x:c r="D1282" s="53"/>
      <x:c r="E1282" s="53"/>
      <x:c r="F1282" s="53"/>
      <x:c r="G1282" s="53"/>
      <x:c r="H1282" s="53"/>
      <x:c r="I1282" s="53"/>
      <x:c r="J1282" s="53"/>
      <x:c r="K1282" s="53"/>
      <x:c r="L1282" s="53"/>
      <x:c r="M1282" s="53"/>
      <x:c r="N1282" s="53"/>
      <x:c r="O1282" s="53"/>
      <x:c r="P1282" s="53"/>
      <x:c r="Q1282" s="53"/>
      <x:c r="R1282" s="53"/>
      <x:c r="S1282" s="53"/>
      <x:c r="T1282" s="53"/>
      <x:c r="U1282" s="53"/>
      <x:c r="V1282" s="53"/>
      <x:c r="W1282" s="53"/>
      <x:c r="X1282" s="53"/>
      <x:c r="Y1282" s="53"/>
      <x:c r="Z1282" s="53"/>
      <x:c r="AA1282" s="53"/>
      <x:c r="AB1282" s="53"/>
      <x:c r="AC1282" s="53"/>
      <x:c r="AD1282" s="53"/>
      <x:c r="AE1282" s="53"/>
      <x:c r="AF1282" s="53"/>
    </x:row>
    <x:row r="1283">
      <x:c r="A1283" s="53"/>
      <x:c r="B1283" s="53"/>
      <x:c r="C1283" s="53"/>
      <x:c r="D1283" s="53"/>
      <x:c r="E1283" s="53"/>
      <x:c r="F1283" s="53"/>
      <x:c r="G1283" s="53"/>
      <x:c r="H1283" s="53"/>
      <x:c r="I1283" s="53"/>
      <x:c r="J1283" s="53"/>
      <x:c r="K1283" s="53"/>
      <x:c r="L1283" s="53"/>
      <x:c r="M1283" s="53"/>
      <x:c r="N1283" s="53"/>
      <x:c r="O1283" s="53"/>
      <x:c r="P1283" s="53"/>
      <x:c r="Q1283" s="53"/>
      <x:c r="R1283" s="53"/>
      <x:c r="S1283" s="53"/>
      <x:c r="T1283" s="53"/>
      <x:c r="U1283" s="53"/>
      <x:c r="V1283" s="53"/>
      <x:c r="W1283" s="53"/>
      <x:c r="X1283" s="53"/>
      <x:c r="Y1283" s="53"/>
      <x:c r="Z1283" s="53"/>
      <x:c r="AA1283" s="53"/>
      <x:c r="AB1283" s="53"/>
      <x:c r="AC1283" s="53"/>
      <x:c r="AD1283" s="53"/>
      <x:c r="AE1283" s="53"/>
      <x:c r="AF1283" s="53"/>
    </x:row>
    <x:row r="1284">
      <x:c r="A1284" s="53"/>
      <x:c r="B1284" s="53"/>
      <x:c r="C1284" s="53"/>
      <x:c r="D1284" s="53"/>
      <x:c r="E1284" s="53"/>
      <x:c r="F1284" s="53"/>
      <x:c r="G1284" s="53"/>
      <x:c r="H1284" s="53"/>
      <x:c r="I1284" s="53"/>
      <x:c r="J1284" s="53"/>
      <x:c r="K1284" s="53"/>
      <x:c r="L1284" s="53"/>
      <x:c r="M1284" s="53"/>
      <x:c r="N1284" s="53"/>
      <x:c r="O1284" s="53"/>
      <x:c r="P1284" s="53"/>
      <x:c r="Q1284" s="53"/>
      <x:c r="R1284" s="53"/>
      <x:c r="S1284" s="53"/>
      <x:c r="T1284" s="53"/>
      <x:c r="U1284" s="53"/>
      <x:c r="V1284" s="53"/>
      <x:c r="W1284" s="53"/>
      <x:c r="X1284" s="53"/>
      <x:c r="Y1284" s="53"/>
      <x:c r="Z1284" s="53"/>
      <x:c r="AA1284" s="53"/>
      <x:c r="AB1284" s="53"/>
      <x:c r="AC1284" s="53"/>
      <x:c r="AD1284" s="53"/>
      <x:c r="AE1284" s="53"/>
      <x:c r="AF1284" s="53"/>
    </x:row>
    <x:row r="1285">
      <x:c r="A1285" s="53"/>
      <x:c r="B1285" s="53"/>
      <x:c r="C1285" s="53"/>
      <x:c r="D1285" s="53"/>
      <x:c r="E1285" s="53"/>
      <x:c r="F1285" s="53"/>
      <x:c r="G1285" s="53"/>
      <x:c r="H1285" s="53"/>
      <x:c r="I1285" s="53"/>
      <x:c r="J1285" s="53"/>
      <x:c r="K1285" s="53"/>
      <x:c r="L1285" s="53"/>
      <x:c r="M1285" s="53"/>
      <x:c r="N1285" s="53"/>
      <x:c r="O1285" s="53"/>
      <x:c r="P1285" s="53"/>
      <x:c r="Q1285" s="53"/>
      <x:c r="R1285" s="53"/>
      <x:c r="S1285" s="53"/>
      <x:c r="T1285" s="53"/>
      <x:c r="U1285" s="53"/>
      <x:c r="V1285" s="53"/>
      <x:c r="W1285" s="53"/>
      <x:c r="X1285" s="53"/>
      <x:c r="Y1285" s="53"/>
      <x:c r="Z1285" s="53"/>
      <x:c r="AA1285" s="53"/>
      <x:c r="AB1285" s="53"/>
      <x:c r="AC1285" s="53"/>
      <x:c r="AD1285" s="53"/>
      <x:c r="AE1285" s="53"/>
      <x:c r="AF1285" s="53"/>
    </x:row>
    <x:row r="1286">
      <x:c r="A1286" s="53"/>
      <x:c r="B1286" s="53"/>
      <x:c r="C1286" s="53"/>
      <x:c r="D1286" s="53"/>
      <x:c r="E1286" s="53"/>
      <x:c r="F1286" s="53"/>
      <x:c r="G1286" s="53"/>
      <x:c r="H1286" s="53"/>
      <x:c r="I1286" s="53"/>
      <x:c r="J1286" s="53"/>
      <x:c r="K1286" s="53"/>
      <x:c r="L1286" s="53"/>
      <x:c r="M1286" s="53"/>
      <x:c r="N1286" s="53"/>
      <x:c r="O1286" s="53"/>
      <x:c r="P1286" s="53"/>
      <x:c r="Q1286" s="53"/>
      <x:c r="R1286" s="53"/>
      <x:c r="S1286" s="53"/>
      <x:c r="T1286" s="53"/>
      <x:c r="U1286" s="53"/>
      <x:c r="V1286" s="53"/>
      <x:c r="W1286" s="53"/>
      <x:c r="X1286" s="53"/>
      <x:c r="Y1286" s="53"/>
      <x:c r="Z1286" s="53"/>
      <x:c r="AA1286" s="53"/>
      <x:c r="AB1286" s="53"/>
      <x:c r="AC1286" s="53"/>
      <x:c r="AD1286" s="53"/>
      <x:c r="AE1286" s="53"/>
      <x:c r="AF1286" s="53"/>
    </x:row>
    <x:row r="1287">
      <x:c r="A1287" s="53"/>
      <x:c r="B1287" s="53"/>
      <x:c r="C1287" s="53"/>
      <x:c r="D1287" s="53"/>
      <x:c r="E1287" s="53"/>
      <x:c r="F1287" s="53"/>
      <x:c r="G1287" s="53"/>
      <x:c r="H1287" s="53"/>
      <x:c r="I1287" s="53"/>
      <x:c r="J1287" s="53"/>
      <x:c r="K1287" s="53"/>
      <x:c r="L1287" s="53"/>
      <x:c r="M1287" s="53"/>
      <x:c r="N1287" s="53"/>
      <x:c r="O1287" s="53"/>
      <x:c r="P1287" s="53"/>
      <x:c r="Q1287" s="53"/>
      <x:c r="R1287" s="53"/>
      <x:c r="S1287" s="53"/>
      <x:c r="T1287" s="53"/>
      <x:c r="U1287" s="53"/>
      <x:c r="V1287" s="53"/>
      <x:c r="W1287" s="53"/>
      <x:c r="X1287" s="53"/>
      <x:c r="Y1287" s="53"/>
      <x:c r="Z1287" s="53"/>
      <x:c r="AA1287" s="53"/>
      <x:c r="AB1287" s="53"/>
      <x:c r="AC1287" s="53"/>
      <x:c r="AD1287" s="53"/>
      <x:c r="AE1287" s="53"/>
      <x:c r="AF1287" s="53"/>
    </x:row>
    <x:row r="1288">
      <x:c r="A1288" s="53"/>
      <x:c r="B1288" s="53"/>
      <x:c r="C1288" s="53"/>
      <x:c r="D1288" s="53"/>
      <x:c r="E1288" s="53"/>
      <x:c r="F1288" s="53"/>
      <x:c r="G1288" s="53"/>
      <x:c r="H1288" s="53"/>
      <x:c r="I1288" s="53"/>
      <x:c r="J1288" s="53"/>
      <x:c r="K1288" s="53"/>
      <x:c r="L1288" s="53"/>
      <x:c r="M1288" s="53"/>
      <x:c r="N1288" s="53"/>
      <x:c r="O1288" s="53"/>
      <x:c r="P1288" s="53"/>
      <x:c r="Q1288" s="53"/>
      <x:c r="R1288" s="53"/>
      <x:c r="S1288" s="53"/>
      <x:c r="T1288" s="53"/>
      <x:c r="U1288" s="53"/>
      <x:c r="V1288" s="53"/>
      <x:c r="W1288" s="53"/>
      <x:c r="X1288" s="53"/>
      <x:c r="Y1288" s="53"/>
      <x:c r="Z1288" s="53"/>
      <x:c r="AA1288" s="53"/>
      <x:c r="AB1288" s="53"/>
      <x:c r="AC1288" s="53"/>
      <x:c r="AD1288" s="53"/>
      <x:c r="AE1288" s="53"/>
      <x:c r="AF1288" s="53"/>
    </x:row>
    <x:row r="1289">
      <x:c r="A1289" s="53"/>
      <x:c r="B1289" s="53"/>
      <x:c r="C1289" s="53"/>
      <x:c r="D1289" s="53"/>
      <x:c r="E1289" s="53"/>
      <x:c r="F1289" s="53"/>
      <x:c r="G1289" s="53"/>
      <x:c r="H1289" s="53"/>
      <x:c r="I1289" s="53"/>
      <x:c r="J1289" s="53"/>
      <x:c r="K1289" s="53"/>
      <x:c r="L1289" s="53"/>
      <x:c r="M1289" s="53"/>
      <x:c r="N1289" s="53"/>
      <x:c r="O1289" s="53"/>
      <x:c r="P1289" s="53"/>
      <x:c r="Q1289" s="53"/>
      <x:c r="R1289" s="53"/>
      <x:c r="S1289" s="53"/>
      <x:c r="T1289" s="53"/>
      <x:c r="U1289" s="53"/>
      <x:c r="V1289" s="53"/>
      <x:c r="W1289" s="53"/>
      <x:c r="X1289" s="53"/>
      <x:c r="Y1289" s="53"/>
      <x:c r="Z1289" s="53"/>
      <x:c r="AA1289" s="53"/>
      <x:c r="AB1289" s="53"/>
      <x:c r="AC1289" s="53"/>
      <x:c r="AD1289" s="53"/>
      <x:c r="AE1289" s="53"/>
      <x:c r="AF1289" s="53"/>
    </x:row>
    <x:row r="1290">
      <x:c r="A1290" s="53"/>
      <x:c r="B1290" s="53"/>
      <x:c r="C1290" s="53"/>
      <x:c r="D1290" s="53"/>
      <x:c r="E1290" s="53"/>
      <x:c r="F1290" s="53"/>
      <x:c r="G1290" s="53"/>
      <x:c r="H1290" s="53"/>
      <x:c r="I1290" s="53"/>
      <x:c r="J1290" s="53"/>
      <x:c r="K1290" s="53"/>
      <x:c r="L1290" s="53"/>
      <x:c r="M1290" s="53"/>
      <x:c r="N1290" s="53"/>
      <x:c r="O1290" s="53"/>
      <x:c r="P1290" s="53"/>
      <x:c r="Q1290" s="53"/>
      <x:c r="R1290" s="53"/>
      <x:c r="S1290" s="53"/>
      <x:c r="T1290" s="53"/>
      <x:c r="U1290" s="53"/>
      <x:c r="V1290" s="53"/>
      <x:c r="W1290" s="53"/>
      <x:c r="X1290" s="53"/>
      <x:c r="Y1290" s="53"/>
      <x:c r="Z1290" s="53"/>
      <x:c r="AA1290" s="53"/>
      <x:c r="AB1290" s="53"/>
      <x:c r="AC1290" s="53"/>
      <x:c r="AD1290" s="53"/>
      <x:c r="AE1290" s="53"/>
      <x:c r="AF1290" s="53"/>
    </x:row>
    <x:row r="1291">
      <x:c r="A1291" s="53"/>
      <x:c r="B1291" s="53"/>
      <x:c r="C1291" s="53"/>
      <x:c r="D1291" s="53"/>
      <x:c r="E1291" s="53"/>
      <x:c r="F1291" s="53"/>
      <x:c r="G1291" s="53"/>
      <x:c r="H1291" s="53"/>
      <x:c r="I1291" s="53"/>
      <x:c r="J1291" s="53"/>
      <x:c r="K1291" s="53"/>
      <x:c r="L1291" s="53"/>
      <x:c r="M1291" s="53"/>
      <x:c r="N1291" s="53"/>
      <x:c r="O1291" s="53"/>
      <x:c r="P1291" s="53"/>
      <x:c r="Q1291" s="53"/>
      <x:c r="R1291" s="53"/>
      <x:c r="S1291" s="53"/>
      <x:c r="T1291" s="53"/>
      <x:c r="U1291" s="53"/>
      <x:c r="V1291" s="53"/>
      <x:c r="W1291" s="53"/>
      <x:c r="X1291" s="53"/>
      <x:c r="Y1291" s="53"/>
      <x:c r="Z1291" s="53"/>
      <x:c r="AA1291" s="53"/>
      <x:c r="AB1291" s="53"/>
      <x:c r="AC1291" s="53"/>
      <x:c r="AD1291" s="53"/>
      <x:c r="AE1291" s="53"/>
      <x:c r="AF1291" s="53"/>
    </x:row>
    <x:row r="1292">
      <x:c r="A1292" s="53"/>
      <x:c r="B1292" s="53"/>
      <x:c r="C1292" s="53"/>
      <x:c r="D1292" s="53"/>
      <x:c r="E1292" s="53"/>
      <x:c r="F1292" s="53"/>
      <x:c r="G1292" s="53"/>
      <x:c r="H1292" s="53"/>
      <x:c r="I1292" s="53"/>
      <x:c r="J1292" s="53"/>
      <x:c r="K1292" s="53"/>
      <x:c r="L1292" s="53"/>
      <x:c r="M1292" s="53"/>
      <x:c r="N1292" s="53"/>
      <x:c r="O1292" s="53"/>
      <x:c r="P1292" s="53"/>
      <x:c r="Q1292" s="53"/>
      <x:c r="R1292" s="53"/>
      <x:c r="S1292" s="53"/>
      <x:c r="T1292" s="53"/>
      <x:c r="U1292" s="53"/>
      <x:c r="V1292" s="53"/>
      <x:c r="W1292" s="53"/>
      <x:c r="X1292" s="53"/>
      <x:c r="Y1292" s="53"/>
      <x:c r="Z1292" s="53"/>
      <x:c r="AA1292" s="53"/>
      <x:c r="AB1292" s="53"/>
      <x:c r="AC1292" s="53"/>
      <x:c r="AD1292" s="53"/>
      <x:c r="AE1292" s="53"/>
      <x:c r="AF1292" s="53"/>
    </x:row>
    <x:row r="1293">
      <x:c r="A1293" s="53"/>
      <x:c r="B1293" s="53"/>
      <x:c r="C1293" s="53"/>
      <x:c r="D1293" s="53"/>
      <x:c r="E1293" s="53"/>
      <x:c r="F1293" s="53"/>
      <x:c r="G1293" s="53"/>
      <x:c r="H1293" s="53"/>
      <x:c r="I1293" s="53"/>
      <x:c r="J1293" s="53"/>
      <x:c r="K1293" s="53"/>
      <x:c r="L1293" s="53"/>
      <x:c r="M1293" s="53"/>
      <x:c r="N1293" s="53"/>
      <x:c r="O1293" s="53"/>
      <x:c r="P1293" s="53"/>
      <x:c r="Q1293" s="53"/>
      <x:c r="R1293" s="53"/>
      <x:c r="S1293" s="53"/>
      <x:c r="T1293" s="53"/>
      <x:c r="U1293" s="53"/>
      <x:c r="V1293" s="53"/>
      <x:c r="W1293" s="53"/>
      <x:c r="X1293" s="53"/>
      <x:c r="Y1293" s="53"/>
      <x:c r="Z1293" s="53"/>
      <x:c r="AA1293" s="53"/>
      <x:c r="AB1293" s="53"/>
      <x:c r="AC1293" s="53"/>
      <x:c r="AD1293" s="53"/>
      <x:c r="AE1293" s="53"/>
      <x:c r="AF1293" s="53"/>
    </x:row>
    <x:row r="1294">
      <x:c r="A1294" s="53"/>
      <x:c r="B1294" s="53"/>
      <x:c r="C1294" s="53"/>
      <x:c r="D1294" s="53"/>
      <x:c r="E1294" s="53"/>
      <x:c r="F1294" s="53"/>
      <x:c r="G1294" s="53"/>
      <x:c r="H1294" s="53"/>
      <x:c r="I1294" s="53"/>
      <x:c r="J1294" s="53"/>
      <x:c r="K1294" s="53"/>
      <x:c r="L1294" s="53"/>
      <x:c r="M1294" s="53"/>
      <x:c r="N1294" s="53"/>
      <x:c r="O1294" s="53"/>
      <x:c r="P1294" s="53"/>
      <x:c r="Q1294" s="53"/>
      <x:c r="R1294" s="53"/>
      <x:c r="S1294" s="53"/>
      <x:c r="T1294" s="53"/>
      <x:c r="U1294" s="53"/>
      <x:c r="V1294" s="53"/>
      <x:c r="W1294" s="53"/>
      <x:c r="X1294" s="53"/>
      <x:c r="Y1294" s="53"/>
      <x:c r="Z1294" s="53"/>
      <x:c r="AA1294" s="53"/>
      <x:c r="AB1294" s="53"/>
      <x:c r="AC1294" s="53"/>
      <x:c r="AD1294" s="53"/>
      <x:c r="AE1294" s="53"/>
      <x:c r="AF1294" s="53"/>
    </x:row>
    <x:row r="1295">
      <x:c r="A1295" s="53"/>
      <x:c r="B1295" s="53"/>
      <x:c r="C1295" s="53"/>
      <x:c r="D1295" s="53"/>
      <x:c r="E1295" s="53"/>
      <x:c r="F1295" s="53"/>
      <x:c r="G1295" s="53"/>
      <x:c r="H1295" s="53"/>
      <x:c r="I1295" s="53"/>
      <x:c r="J1295" s="53"/>
      <x:c r="K1295" s="53"/>
      <x:c r="L1295" s="53"/>
      <x:c r="M1295" s="53"/>
      <x:c r="N1295" s="53"/>
      <x:c r="O1295" s="53"/>
      <x:c r="P1295" s="53"/>
      <x:c r="Q1295" s="53"/>
      <x:c r="R1295" s="53"/>
      <x:c r="S1295" s="53"/>
      <x:c r="T1295" s="53"/>
      <x:c r="U1295" s="53"/>
      <x:c r="V1295" s="53"/>
      <x:c r="W1295" s="53"/>
      <x:c r="X1295" s="53"/>
      <x:c r="Y1295" s="53"/>
      <x:c r="Z1295" s="53"/>
      <x:c r="AA1295" s="53"/>
      <x:c r="AB1295" s="53"/>
      <x:c r="AC1295" s="53"/>
      <x:c r="AD1295" s="53"/>
      <x:c r="AE1295" s="53"/>
      <x:c r="AF1295" s="53"/>
    </x:row>
    <x:row r="1296">
      <x:c r="A1296" s="53"/>
      <x:c r="B1296" s="53"/>
      <x:c r="C1296" s="53"/>
      <x:c r="D1296" s="53"/>
      <x:c r="E1296" s="53"/>
      <x:c r="F1296" s="53"/>
      <x:c r="G1296" s="53"/>
      <x:c r="H1296" s="53"/>
      <x:c r="I1296" s="53"/>
      <x:c r="J1296" s="53"/>
      <x:c r="K1296" s="53"/>
      <x:c r="L1296" s="53"/>
      <x:c r="M1296" s="53"/>
      <x:c r="N1296" s="53"/>
      <x:c r="O1296" s="53"/>
      <x:c r="P1296" s="53"/>
      <x:c r="Q1296" s="53"/>
      <x:c r="R1296" s="53"/>
      <x:c r="S1296" s="53"/>
      <x:c r="T1296" s="53"/>
      <x:c r="U1296" s="53"/>
      <x:c r="V1296" s="53"/>
      <x:c r="W1296" s="53"/>
      <x:c r="X1296" s="53"/>
      <x:c r="Y1296" s="53"/>
      <x:c r="Z1296" s="53"/>
      <x:c r="AA1296" s="53"/>
      <x:c r="AB1296" s="53"/>
      <x:c r="AC1296" s="53"/>
      <x:c r="AD1296" s="53"/>
      <x:c r="AE1296" s="53"/>
      <x:c r="AF1296" s="53"/>
    </x:row>
    <x:row r="1297">
      <x:c r="A1297" s="53"/>
      <x:c r="B1297" s="53"/>
      <x:c r="C1297" s="53"/>
      <x:c r="D1297" s="53"/>
      <x:c r="E1297" s="53"/>
      <x:c r="F1297" s="53"/>
      <x:c r="G1297" s="53"/>
      <x:c r="H1297" s="53"/>
      <x:c r="I1297" s="53"/>
      <x:c r="J1297" s="53"/>
      <x:c r="K1297" s="53"/>
      <x:c r="L1297" s="53"/>
      <x:c r="M1297" s="53"/>
      <x:c r="N1297" s="53"/>
      <x:c r="O1297" s="53"/>
      <x:c r="P1297" s="53"/>
      <x:c r="Q1297" s="53"/>
      <x:c r="R1297" s="53"/>
      <x:c r="S1297" s="53"/>
      <x:c r="T1297" s="53"/>
      <x:c r="U1297" s="53"/>
      <x:c r="V1297" s="53"/>
      <x:c r="W1297" s="53"/>
      <x:c r="X1297" s="53"/>
      <x:c r="Y1297" s="53"/>
      <x:c r="Z1297" s="53"/>
      <x:c r="AA1297" s="53"/>
      <x:c r="AB1297" s="53"/>
      <x:c r="AC1297" s="53"/>
      <x:c r="AD1297" s="53"/>
      <x:c r="AE1297" s="53"/>
      <x:c r="AF1297" s="53"/>
    </x:row>
    <x:row r="1298">
      <x:c r="A1298" s="53"/>
      <x:c r="B1298" s="53"/>
      <x:c r="C1298" s="53"/>
      <x:c r="D1298" s="53"/>
      <x:c r="E1298" s="53"/>
      <x:c r="F1298" s="53"/>
      <x:c r="G1298" s="53"/>
      <x:c r="H1298" s="53"/>
      <x:c r="I1298" s="53"/>
      <x:c r="J1298" s="53"/>
      <x:c r="K1298" s="53"/>
      <x:c r="L1298" s="53"/>
      <x:c r="M1298" s="53"/>
      <x:c r="N1298" s="53"/>
      <x:c r="O1298" s="53"/>
      <x:c r="P1298" s="53"/>
      <x:c r="Q1298" s="53"/>
      <x:c r="R1298" s="53"/>
      <x:c r="S1298" s="53"/>
      <x:c r="T1298" s="53"/>
      <x:c r="U1298" s="53"/>
      <x:c r="V1298" s="53"/>
      <x:c r="W1298" s="53"/>
      <x:c r="X1298" s="53"/>
      <x:c r="Y1298" s="53"/>
      <x:c r="Z1298" s="53"/>
      <x:c r="AA1298" s="53"/>
      <x:c r="AB1298" s="53"/>
      <x:c r="AC1298" s="53"/>
      <x:c r="AD1298" s="53"/>
      <x:c r="AE1298" s="53"/>
      <x:c r="AF1298" s="53"/>
    </x:row>
    <x:row r="1299">
      <x:c r="A1299" s="53"/>
      <x:c r="B1299" s="53"/>
      <x:c r="C1299" s="53"/>
      <x:c r="D1299" s="53"/>
      <x:c r="E1299" s="53"/>
      <x:c r="F1299" s="53"/>
      <x:c r="G1299" s="53"/>
      <x:c r="H1299" s="53"/>
      <x:c r="I1299" s="53"/>
      <x:c r="J1299" s="53"/>
      <x:c r="K1299" s="53"/>
      <x:c r="L1299" s="53"/>
      <x:c r="M1299" s="53"/>
      <x:c r="N1299" s="53"/>
      <x:c r="O1299" s="53"/>
      <x:c r="P1299" s="53"/>
      <x:c r="Q1299" s="53"/>
      <x:c r="R1299" s="53"/>
      <x:c r="S1299" s="53"/>
      <x:c r="T1299" s="53"/>
      <x:c r="U1299" s="53"/>
      <x:c r="V1299" s="53"/>
      <x:c r="W1299" s="53"/>
      <x:c r="X1299" s="53"/>
      <x:c r="Y1299" s="53"/>
      <x:c r="Z1299" s="53"/>
      <x:c r="AA1299" s="53"/>
      <x:c r="AB1299" s="53"/>
      <x:c r="AC1299" s="53"/>
      <x:c r="AD1299" s="53"/>
      <x:c r="AE1299" s="53"/>
      <x:c r="AF1299" s="53"/>
    </x:row>
    <x:row r="1300">
      <x:c r="A1300" s="53"/>
      <x:c r="B1300" s="53"/>
      <x:c r="C1300" s="53"/>
      <x:c r="D1300" s="53"/>
      <x:c r="E1300" s="53"/>
      <x:c r="F1300" s="53"/>
      <x:c r="G1300" s="53"/>
      <x:c r="H1300" s="53"/>
      <x:c r="I1300" s="53"/>
      <x:c r="J1300" s="53"/>
      <x:c r="K1300" s="53"/>
      <x:c r="L1300" s="53"/>
      <x:c r="M1300" s="53"/>
      <x:c r="N1300" s="53"/>
      <x:c r="O1300" s="53"/>
      <x:c r="P1300" s="53"/>
      <x:c r="Q1300" s="53"/>
      <x:c r="R1300" s="53"/>
      <x:c r="S1300" s="53"/>
      <x:c r="T1300" s="53"/>
      <x:c r="U1300" s="53"/>
      <x:c r="V1300" s="53"/>
      <x:c r="W1300" s="53"/>
      <x:c r="X1300" s="53"/>
      <x:c r="Y1300" s="53"/>
      <x:c r="Z1300" s="53"/>
      <x:c r="AA1300" s="53"/>
      <x:c r="AB1300" s="53"/>
      <x:c r="AC1300" s="53"/>
      <x:c r="AD1300" s="53"/>
      <x:c r="AE1300" s="53"/>
      <x:c r="AF1300" s="53"/>
    </x:row>
    <x:row r="1301">
      <x:c r="A1301" s="53"/>
      <x:c r="B1301" s="53"/>
      <x:c r="C1301" s="53"/>
      <x:c r="D1301" s="53"/>
      <x:c r="E1301" s="53"/>
      <x:c r="F1301" s="53"/>
      <x:c r="G1301" s="53"/>
      <x:c r="H1301" s="53"/>
      <x:c r="I1301" s="53"/>
      <x:c r="J1301" s="53"/>
      <x:c r="K1301" s="53"/>
      <x:c r="L1301" s="53"/>
      <x:c r="M1301" s="53"/>
      <x:c r="N1301" s="53"/>
      <x:c r="O1301" s="53"/>
      <x:c r="P1301" s="53"/>
      <x:c r="Q1301" s="53"/>
      <x:c r="R1301" s="53"/>
      <x:c r="S1301" s="53"/>
      <x:c r="T1301" s="53"/>
      <x:c r="U1301" s="53"/>
      <x:c r="V1301" s="53"/>
      <x:c r="W1301" s="53"/>
      <x:c r="X1301" s="53"/>
      <x:c r="Y1301" s="53"/>
      <x:c r="Z1301" s="53"/>
      <x:c r="AA1301" s="53"/>
      <x:c r="AB1301" s="53"/>
      <x:c r="AC1301" s="53"/>
      <x:c r="AD1301" s="53"/>
      <x:c r="AE1301" s="53"/>
      <x:c r="AF1301" s="53"/>
    </x:row>
    <x:row r="1302">
      <x:c r="A1302" s="53"/>
      <x:c r="B1302" s="53"/>
      <x:c r="C1302" s="53"/>
      <x:c r="D1302" s="53"/>
      <x:c r="E1302" s="53"/>
      <x:c r="F1302" s="53"/>
      <x:c r="G1302" s="53"/>
      <x:c r="H1302" s="53"/>
      <x:c r="I1302" s="53"/>
      <x:c r="J1302" s="53"/>
      <x:c r="K1302" s="53"/>
      <x:c r="L1302" s="53"/>
      <x:c r="M1302" s="53"/>
      <x:c r="N1302" s="53"/>
      <x:c r="O1302" s="53"/>
      <x:c r="P1302" s="53"/>
      <x:c r="Q1302" s="53"/>
      <x:c r="R1302" s="53"/>
      <x:c r="S1302" s="53"/>
      <x:c r="T1302" s="53"/>
      <x:c r="U1302" s="53"/>
      <x:c r="V1302" s="53"/>
      <x:c r="W1302" s="53"/>
      <x:c r="X1302" s="53"/>
      <x:c r="Y1302" s="53"/>
      <x:c r="Z1302" s="53"/>
      <x:c r="AA1302" s="53"/>
      <x:c r="AB1302" s="53"/>
      <x:c r="AC1302" s="53"/>
      <x:c r="AD1302" s="53"/>
      <x:c r="AE1302" s="53"/>
      <x:c r="AF1302" s="53"/>
    </x:row>
    <x:row r="1303">
      <x:c r="A1303" s="53"/>
      <x:c r="B1303" s="53"/>
      <x:c r="C1303" s="53"/>
      <x:c r="D1303" s="53"/>
      <x:c r="E1303" s="53"/>
      <x:c r="F1303" s="53"/>
      <x:c r="G1303" s="53"/>
      <x:c r="H1303" s="53"/>
      <x:c r="I1303" s="53"/>
      <x:c r="J1303" s="53"/>
      <x:c r="K1303" s="53"/>
      <x:c r="L1303" s="53"/>
      <x:c r="M1303" s="53"/>
      <x:c r="N1303" s="53"/>
      <x:c r="O1303" s="53"/>
      <x:c r="P1303" s="53"/>
      <x:c r="Q1303" s="53"/>
      <x:c r="R1303" s="53"/>
      <x:c r="S1303" s="53"/>
      <x:c r="T1303" s="53"/>
      <x:c r="U1303" s="53"/>
      <x:c r="V1303" s="53"/>
      <x:c r="W1303" s="53"/>
      <x:c r="X1303" s="53"/>
      <x:c r="Y1303" s="53"/>
      <x:c r="Z1303" s="53"/>
      <x:c r="AA1303" s="53"/>
      <x:c r="AB1303" s="53"/>
      <x:c r="AC1303" s="53"/>
      <x:c r="AD1303" s="53"/>
      <x:c r="AE1303" s="53"/>
      <x:c r="AF1303" s="53"/>
    </x:row>
    <x:row r="1304">
      <x:c r="A1304" s="53"/>
      <x:c r="B1304" s="53"/>
      <x:c r="C1304" s="53"/>
      <x:c r="D1304" s="53"/>
      <x:c r="E1304" s="53"/>
      <x:c r="F1304" s="53"/>
      <x:c r="G1304" s="53"/>
      <x:c r="H1304" s="53"/>
      <x:c r="I1304" s="53"/>
      <x:c r="J1304" s="53"/>
      <x:c r="K1304" s="53"/>
      <x:c r="L1304" s="53"/>
      <x:c r="M1304" s="53"/>
      <x:c r="N1304" s="53"/>
      <x:c r="O1304" s="53"/>
      <x:c r="P1304" s="53"/>
      <x:c r="Q1304" s="53"/>
      <x:c r="R1304" s="53"/>
      <x:c r="S1304" s="53"/>
      <x:c r="T1304" s="53"/>
      <x:c r="U1304" s="53"/>
      <x:c r="V1304" s="53"/>
      <x:c r="W1304" s="53"/>
      <x:c r="X1304" s="53"/>
      <x:c r="Y1304" s="53"/>
      <x:c r="Z1304" s="53"/>
      <x:c r="AA1304" s="53"/>
      <x:c r="AB1304" s="53"/>
      <x:c r="AC1304" s="53"/>
      <x:c r="AD1304" s="53"/>
      <x:c r="AE1304" s="53"/>
      <x:c r="AF1304" s="53"/>
    </x:row>
    <x:row r="1305">
      <x:c r="A1305" s="53"/>
      <x:c r="B1305" s="53"/>
      <x:c r="C1305" s="53"/>
      <x:c r="D1305" s="53"/>
      <x:c r="E1305" s="53"/>
      <x:c r="F1305" s="53"/>
      <x:c r="G1305" s="53"/>
      <x:c r="H1305" s="53"/>
      <x:c r="I1305" s="53"/>
      <x:c r="J1305" s="53"/>
      <x:c r="K1305" s="53"/>
      <x:c r="L1305" s="53"/>
      <x:c r="M1305" s="53"/>
      <x:c r="N1305" s="53"/>
      <x:c r="O1305" s="53"/>
      <x:c r="P1305" s="53"/>
      <x:c r="Q1305" s="53"/>
      <x:c r="R1305" s="53"/>
      <x:c r="S1305" s="53"/>
      <x:c r="T1305" s="53"/>
      <x:c r="U1305" s="53"/>
      <x:c r="V1305" s="53"/>
      <x:c r="W1305" s="53"/>
      <x:c r="X1305" s="53"/>
      <x:c r="Y1305" s="53"/>
      <x:c r="Z1305" s="53"/>
      <x:c r="AA1305" s="53"/>
      <x:c r="AB1305" s="53"/>
      <x:c r="AC1305" s="53"/>
      <x:c r="AD1305" s="53"/>
      <x:c r="AE1305" s="53"/>
      <x:c r="AF1305" s="53"/>
    </x:row>
    <x:row r="1306">
      <x:c r="A1306" s="53"/>
      <x:c r="B1306" s="53"/>
      <x:c r="C1306" s="53"/>
      <x:c r="D1306" s="53"/>
      <x:c r="E1306" s="53"/>
      <x:c r="F1306" s="53"/>
      <x:c r="G1306" s="53"/>
      <x:c r="H1306" s="53"/>
      <x:c r="I1306" s="53"/>
      <x:c r="J1306" s="53"/>
      <x:c r="K1306" s="53"/>
      <x:c r="L1306" s="53"/>
      <x:c r="M1306" s="53"/>
      <x:c r="N1306" s="53"/>
      <x:c r="O1306" s="53"/>
      <x:c r="P1306" s="53"/>
      <x:c r="Q1306" s="53"/>
      <x:c r="R1306" s="53"/>
      <x:c r="S1306" s="53"/>
      <x:c r="T1306" s="53"/>
      <x:c r="U1306" s="53"/>
      <x:c r="V1306" s="53"/>
      <x:c r="W1306" s="53"/>
      <x:c r="X1306" s="53"/>
      <x:c r="Y1306" s="53"/>
      <x:c r="Z1306" s="53"/>
      <x:c r="AA1306" s="53"/>
      <x:c r="AB1306" s="53"/>
      <x:c r="AC1306" s="53"/>
      <x:c r="AD1306" s="53"/>
      <x:c r="AE1306" s="53"/>
      <x:c r="AF1306" s="53"/>
    </x:row>
    <x:row r="1307">
      <x:c r="A1307" s="53"/>
      <x:c r="B1307" s="53"/>
      <x:c r="C1307" s="53"/>
      <x:c r="D1307" s="53"/>
      <x:c r="E1307" s="53"/>
      <x:c r="F1307" s="53"/>
      <x:c r="G1307" s="53"/>
      <x:c r="H1307" s="53"/>
      <x:c r="I1307" s="53"/>
      <x:c r="J1307" s="53"/>
      <x:c r="K1307" s="53"/>
      <x:c r="L1307" s="53"/>
      <x:c r="M1307" s="53"/>
      <x:c r="N1307" s="53"/>
      <x:c r="O1307" s="53"/>
      <x:c r="P1307" s="53"/>
      <x:c r="Q1307" s="53"/>
      <x:c r="R1307" s="53"/>
      <x:c r="S1307" s="53"/>
      <x:c r="T1307" s="53"/>
      <x:c r="U1307" s="53"/>
      <x:c r="V1307" s="53"/>
      <x:c r="W1307" s="53"/>
      <x:c r="X1307" s="53"/>
      <x:c r="Y1307" s="53"/>
      <x:c r="Z1307" s="53"/>
      <x:c r="AA1307" s="53"/>
      <x:c r="AB1307" s="53"/>
      <x:c r="AC1307" s="53"/>
      <x:c r="AD1307" s="53"/>
      <x:c r="AE1307" s="53"/>
      <x:c r="AF1307" s="53"/>
    </x:row>
    <x:row r="1308">
      <x:c r="A1308" s="53"/>
      <x:c r="B1308" s="53"/>
      <x:c r="C1308" s="53"/>
      <x:c r="D1308" s="53"/>
      <x:c r="E1308" s="53"/>
      <x:c r="F1308" s="53"/>
      <x:c r="G1308" s="53"/>
      <x:c r="H1308" s="53"/>
      <x:c r="I1308" s="53"/>
      <x:c r="J1308" s="53"/>
      <x:c r="K1308" s="53"/>
      <x:c r="L1308" s="53"/>
      <x:c r="M1308" s="53"/>
      <x:c r="N1308" s="53"/>
      <x:c r="O1308" s="53"/>
      <x:c r="P1308" s="53"/>
      <x:c r="Q1308" s="53"/>
      <x:c r="R1308" s="53"/>
      <x:c r="S1308" s="53"/>
      <x:c r="T1308" s="53"/>
      <x:c r="U1308" s="53"/>
      <x:c r="V1308" s="53"/>
      <x:c r="W1308" s="53"/>
      <x:c r="X1308" s="53"/>
      <x:c r="Y1308" s="53"/>
      <x:c r="Z1308" s="53"/>
      <x:c r="AA1308" s="53"/>
      <x:c r="AB1308" s="53"/>
      <x:c r="AC1308" s="53"/>
      <x:c r="AD1308" s="53"/>
      <x:c r="AE1308" s="53"/>
      <x:c r="AF1308" s="53"/>
    </x:row>
    <x:row r="1309">
      <x:c r="A1309" s="53"/>
      <x:c r="B1309" s="53"/>
      <x:c r="C1309" s="53"/>
      <x:c r="D1309" s="53"/>
      <x:c r="E1309" s="53"/>
      <x:c r="F1309" s="53"/>
      <x:c r="G1309" s="53"/>
      <x:c r="H1309" s="53"/>
      <x:c r="I1309" s="53"/>
      <x:c r="J1309" s="53"/>
      <x:c r="K1309" s="53"/>
      <x:c r="L1309" s="53"/>
      <x:c r="M1309" s="53"/>
      <x:c r="N1309" s="53"/>
      <x:c r="O1309" s="53"/>
      <x:c r="P1309" s="53"/>
      <x:c r="Q1309" s="53"/>
      <x:c r="R1309" s="53"/>
      <x:c r="S1309" s="53"/>
      <x:c r="T1309" s="53"/>
      <x:c r="U1309" s="53"/>
      <x:c r="V1309" s="53"/>
      <x:c r="W1309" s="53"/>
      <x:c r="X1309" s="53"/>
      <x:c r="Y1309" s="53"/>
      <x:c r="Z1309" s="53"/>
      <x:c r="AA1309" s="53"/>
      <x:c r="AB1309" s="53"/>
      <x:c r="AC1309" s="53"/>
      <x:c r="AD1309" s="53"/>
      <x:c r="AE1309" s="53"/>
      <x:c r="AF1309" s="53"/>
    </x:row>
    <x:row r="1310">
      <x:c r="A1310" s="53"/>
      <x:c r="B1310" s="53"/>
      <x:c r="C1310" s="53"/>
      <x:c r="D1310" s="53"/>
      <x:c r="E1310" s="53"/>
      <x:c r="F1310" s="53"/>
      <x:c r="G1310" s="53"/>
      <x:c r="H1310" s="53"/>
      <x:c r="I1310" s="53"/>
      <x:c r="J1310" s="53"/>
      <x:c r="K1310" s="53"/>
      <x:c r="L1310" s="53"/>
      <x:c r="M1310" s="53"/>
      <x:c r="N1310" s="53"/>
      <x:c r="O1310" s="53"/>
      <x:c r="P1310" s="53"/>
      <x:c r="Q1310" s="53"/>
      <x:c r="R1310" s="53"/>
      <x:c r="S1310" s="53"/>
      <x:c r="T1310" s="53"/>
      <x:c r="U1310" s="53"/>
      <x:c r="V1310" s="53"/>
      <x:c r="W1310" s="53"/>
      <x:c r="X1310" s="53"/>
      <x:c r="Y1310" s="53"/>
      <x:c r="Z1310" s="53"/>
      <x:c r="AA1310" s="53"/>
      <x:c r="AB1310" s="53"/>
      <x:c r="AC1310" s="53"/>
      <x:c r="AD1310" s="53"/>
      <x:c r="AE1310" s="53"/>
      <x:c r="AF1310" s="53"/>
    </x:row>
    <x:row r="1311">
      <x:c r="A1311" s="53"/>
      <x:c r="B1311" s="53"/>
      <x:c r="C1311" s="53"/>
      <x:c r="D1311" s="53"/>
      <x:c r="E1311" s="53"/>
      <x:c r="F1311" s="53"/>
      <x:c r="G1311" s="53"/>
      <x:c r="H1311" s="53"/>
      <x:c r="I1311" s="53"/>
      <x:c r="J1311" s="53"/>
      <x:c r="K1311" s="53"/>
      <x:c r="L1311" s="53"/>
      <x:c r="M1311" s="53"/>
      <x:c r="N1311" s="53"/>
      <x:c r="O1311" s="53"/>
      <x:c r="P1311" s="53"/>
      <x:c r="Q1311" s="53"/>
      <x:c r="R1311" s="53"/>
      <x:c r="S1311" s="53"/>
      <x:c r="T1311" s="53"/>
      <x:c r="U1311" s="53"/>
      <x:c r="V1311" s="53"/>
      <x:c r="W1311" s="53"/>
      <x:c r="X1311" s="53"/>
      <x:c r="Y1311" s="53"/>
      <x:c r="Z1311" s="53"/>
      <x:c r="AA1311" s="53"/>
      <x:c r="AB1311" s="53"/>
      <x:c r="AC1311" s="53"/>
      <x:c r="AD1311" s="53"/>
      <x:c r="AE1311" s="53"/>
      <x:c r="AF1311" s="53"/>
    </x:row>
    <x:row r="1312">
      <x:c r="A1312" s="53"/>
      <x:c r="B1312" s="53"/>
      <x:c r="C1312" s="53"/>
      <x:c r="D1312" s="53"/>
      <x:c r="E1312" s="53"/>
      <x:c r="F1312" s="53"/>
      <x:c r="G1312" s="53"/>
      <x:c r="H1312" s="53"/>
      <x:c r="I1312" s="53"/>
      <x:c r="J1312" s="53"/>
      <x:c r="K1312" s="53"/>
      <x:c r="L1312" s="53"/>
      <x:c r="M1312" s="53"/>
      <x:c r="N1312" s="53"/>
      <x:c r="O1312" s="53"/>
      <x:c r="P1312" s="53"/>
      <x:c r="Q1312" s="53"/>
      <x:c r="R1312" s="53"/>
      <x:c r="S1312" s="53"/>
      <x:c r="T1312" s="53"/>
      <x:c r="U1312" s="53"/>
      <x:c r="V1312" s="53"/>
      <x:c r="W1312" s="53"/>
      <x:c r="X1312" s="53"/>
      <x:c r="Y1312" s="53"/>
      <x:c r="Z1312" s="53"/>
      <x:c r="AA1312" s="53"/>
      <x:c r="AB1312" s="53"/>
      <x:c r="AC1312" s="53"/>
      <x:c r="AD1312" s="53"/>
      <x:c r="AE1312" s="53"/>
      <x:c r="AF1312" s="53"/>
    </x:row>
    <x:row r="1313">
      <x:c r="A1313" s="53"/>
      <x:c r="B1313" s="53"/>
      <x:c r="C1313" s="53"/>
      <x:c r="D1313" s="53"/>
      <x:c r="E1313" s="53"/>
      <x:c r="F1313" s="53"/>
      <x:c r="G1313" s="53"/>
      <x:c r="H1313" s="53"/>
      <x:c r="I1313" s="53"/>
      <x:c r="J1313" s="53"/>
      <x:c r="K1313" s="53"/>
      <x:c r="L1313" s="53"/>
      <x:c r="M1313" s="53"/>
      <x:c r="N1313" s="53"/>
      <x:c r="O1313" s="53"/>
      <x:c r="P1313" s="53"/>
      <x:c r="Q1313" s="53"/>
      <x:c r="R1313" s="53"/>
      <x:c r="S1313" s="53"/>
      <x:c r="T1313" s="53"/>
      <x:c r="U1313" s="53"/>
      <x:c r="V1313" s="53"/>
      <x:c r="W1313" s="53"/>
      <x:c r="X1313" s="53"/>
      <x:c r="Y1313" s="53"/>
      <x:c r="Z1313" s="53"/>
      <x:c r="AA1313" s="53"/>
      <x:c r="AB1313" s="53"/>
      <x:c r="AC1313" s="53"/>
      <x:c r="AD1313" s="53"/>
      <x:c r="AE1313" s="53"/>
      <x:c r="AF1313" s="53"/>
    </x:row>
    <x:row r="1314">
      <x:c r="A1314" s="53"/>
      <x:c r="B1314" s="53"/>
      <x:c r="C1314" s="53"/>
      <x:c r="D1314" s="53"/>
      <x:c r="E1314" s="53"/>
      <x:c r="F1314" s="53"/>
      <x:c r="G1314" s="53"/>
      <x:c r="H1314" s="53"/>
      <x:c r="I1314" s="53"/>
      <x:c r="J1314" s="53"/>
      <x:c r="K1314" s="53"/>
      <x:c r="L1314" s="53"/>
      <x:c r="M1314" s="53"/>
      <x:c r="N1314" s="53"/>
      <x:c r="O1314" s="53"/>
      <x:c r="P1314" s="53"/>
      <x:c r="Q1314" s="53"/>
      <x:c r="R1314" s="53"/>
      <x:c r="S1314" s="53"/>
      <x:c r="T1314" s="53"/>
      <x:c r="U1314" s="53"/>
      <x:c r="V1314" s="53"/>
      <x:c r="W1314" s="53"/>
      <x:c r="X1314" s="53"/>
      <x:c r="Y1314" s="53"/>
      <x:c r="Z1314" s="53"/>
      <x:c r="AA1314" s="53"/>
      <x:c r="AB1314" s="53"/>
      <x:c r="AC1314" s="53"/>
      <x:c r="AD1314" s="53"/>
      <x:c r="AE1314" s="53"/>
      <x:c r="AF1314" s="53"/>
    </x:row>
    <x:row r="1315">
      <x:c r="A1315" s="53"/>
      <x:c r="B1315" s="53"/>
      <x:c r="C1315" s="53"/>
      <x:c r="D1315" s="53"/>
      <x:c r="E1315" s="53"/>
      <x:c r="F1315" s="53"/>
      <x:c r="G1315" s="53"/>
      <x:c r="H1315" s="53"/>
      <x:c r="I1315" s="53"/>
      <x:c r="J1315" s="53"/>
      <x:c r="K1315" s="53"/>
      <x:c r="L1315" s="53"/>
      <x:c r="M1315" s="53"/>
      <x:c r="N1315" s="53"/>
      <x:c r="O1315" s="53"/>
      <x:c r="P1315" s="53"/>
      <x:c r="Q1315" s="53"/>
      <x:c r="R1315" s="53"/>
      <x:c r="S1315" s="53"/>
      <x:c r="T1315" s="53"/>
      <x:c r="U1315" s="53"/>
      <x:c r="V1315" s="53"/>
      <x:c r="W1315" s="53"/>
      <x:c r="X1315" s="53"/>
      <x:c r="Y1315" s="53"/>
      <x:c r="Z1315" s="53"/>
      <x:c r="AA1315" s="53"/>
      <x:c r="AB1315" s="53"/>
      <x:c r="AC1315" s="53"/>
      <x:c r="AD1315" s="53"/>
      <x:c r="AE1315" s="53"/>
      <x:c r="AF1315" s="53"/>
    </x:row>
    <x:row r="1316">
      <x:c r="A1316" s="53"/>
      <x:c r="B1316" s="53"/>
      <x:c r="C1316" s="53"/>
      <x:c r="D1316" s="53"/>
      <x:c r="E1316" s="53"/>
      <x:c r="F1316" s="53"/>
      <x:c r="G1316" s="53"/>
      <x:c r="H1316" s="53"/>
      <x:c r="I1316" s="53"/>
      <x:c r="J1316" s="53"/>
      <x:c r="K1316" s="53"/>
      <x:c r="L1316" s="53"/>
      <x:c r="M1316" s="53"/>
      <x:c r="N1316" s="53"/>
      <x:c r="O1316" s="53"/>
      <x:c r="P1316" s="53"/>
      <x:c r="Q1316" s="53"/>
      <x:c r="R1316" s="53"/>
      <x:c r="S1316" s="53"/>
      <x:c r="T1316" s="53"/>
      <x:c r="U1316" s="53"/>
      <x:c r="V1316" s="53"/>
      <x:c r="W1316" s="53"/>
      <x:c r="X1316" s="53"/>
      <x:c r="Y1316" s="53"/>
      <x:c r="Z1316" s="53"/>
      <x:c r="AA1316" s="53"/>
      <x:c r="AB1316" s="53"/>
      <x:c r="AC1316" s="53"/>
      <x:c r="AD1316" s="53"/>
      <x:c r="AE1316" s="53"/>
      <x:c r="AF1316" s="53"/>
    </x:row>
    <x:row r="1317">
      <x:c r="A1317" s="53"/>
      <x:c r="B1317" s="53"/>
      <x:c r="C1317" s="53"/>
      <x:c r="D1317" s="53"/>
      <x:c r="E1317" s="53"/>
      <x:c r="F1317" s="53"/>
      <x:c r="G1317" s="53"/>
      <x:c r="H1317" s="53"/>
      <x:c r="I1317" s="53"/>
      <x:c r="J1317" s="53"/>
      <x:c r="K1317" s="53"/>
      <x:c r="L1317" s="53"/>
      <x:c r="M1317" s="53"/>
      <x:c r="N1317" s="53"/>
      <x:c r="O1317" s="53"/>
      <x:c r="P1317" s="53"/>
      <x:c r="Q1317" s="53"/>
      <x:c r="R1317" s="53"/>
      <x:c r="S1317" s="53"/>
      <x:c r="T1317" s="53"/>
      <x:c r="U1317" s="53"/>
      <x:c r="V1317" s="53"/>
      <x:c r="W1317" s="53"/>
      <x:c r="X1317" s="53"/>
      <x:c r="Y1317" s="53"/>
      <x:c r="Z1317" s="53"/>
      <x:c r="AA1317" s="53"/>
      <x:c r="AB1317" s="53"/>
      <x:c r="AC1317" s="53"/>
      <x:c r="AD1317" s="53"/>
      <x:c r="AE1317" s="53"/>
      <x:c r="AF1317" s="53"/>
    </x:row>
    <x:row r="1318">
      <x:c r="A1318" s="53"/>
      <x:c r="B1318" s="53"/>
      <x:c r="C1318" s="53"/>
      <x:c r="D1318" s="53"/>
      <x:c r="E1318" s="53"/>
      <x:c r="F1318" s="53"/>
      <x:c r="G1318" s="53"/>
      <x:c r="H1318" s="53"/>
      <x:c r="I1318" s="53"/>
      <x:c r="J1318" s="53"/>
      <x:c r="K1318" s="53"/>
      <x:c r="L1318" s="53"/>
      <x:c r="M1318" s="53"/>
      <x:c r="N1318" s="53"/>
      <x:c r="O1318" s="53"/>
      <x:c r="P1318" s="53"/>
      <x:c r="Q1318" s="53"/>
      <x:c r="R1318" s="53"/>
      <x:c r="S1318" s="53"/>
      <x:c r="T1318" s="53"/>
      <x:c r="U1318" s="53"/>
      <x:c r="V1318" s="53"/>
      <x:c r="W1318" s="53"/>
      <x:c r="X1318" s="53"/>
      <x:c r="Y1318" s="53"/>
      <x:c r="Z1318" s="53"/>
      <x:c r="AA1318" s="53"/>
      <x:c r="AB1318" s="53"/>
      <x:c r="AC1318" s="53"/>
      <x:c r="AD1318" s="53"/>
      <x:c r="AE1318" s="53"/>
      <x:c r="AF1318" s="53"/>
    </x:row>
    <x:row r="1319">
      <x:c r="A1319" s="53"/>
      <x:c r="B1319" s="53"/>
      <x:c r="C1319" s="53"/>
      <x:c r="D1319" s="53"/>
      <x:c r="E1319" s="53"/>
      <x:c r="F1319" s="53"/>
      <x:c r="G1319" s="53"/>
      <x:c r="H1319" s="53"/>
      <x:c r="I1319" s="53"/>
      <x:c r="J1319" s="53"/>
      <x:c r="K1319" s="53"/>
      <x:c r="L1319" s="53"/>
      <x:c r="M1319" s="53"/>
      <x:c r="N1319" s="53"/>
      <x:c r="O1319" s="53"/>
      <x:c r="P1319" s="53"/>
      <x:c r="Q1319" s="53"/>
      <x:c r="R1319" s="53"/>
      <x:c r="S1319" s="53"/>
      <x:c r="T1319" s="53"/>
      <x:c r="U1319" s="53"/>
      <x:c r="V1319" s="53"/>
      <x:c r="W1319" s="53"/>
      <x:c r="X1319" s="53"/>
      <x:c r="Y1319" s="53"/>
      <x:c r="Z1319" s="53"/>
      <x:c r="AA1319" s="53"/>
      <x:c r="AB1319" s="53"/>
      <x:c r="AC1319" s="53"/>
      <x:c r="AD1319" s="53"/>
      <x:c r="AE1319" s="53"/>
      <x:c r="AF1319" s="53"/>
    </x:row>
    <x:row r="1320">
      <x:c r="A1320" s="53"/>
      <x:c r="B1320" s="53"/>
      <x:c r="C1320" s="53"/>
      <x:c r="D1320" s="53"/>
      <x:c r="E1320" s="53"/>
      <x:c r="F1320" s="53"/>
      <x:c r="G1320" s="53"/>
      <x:c r="H1320" s="53"/>
      <x:c r="I1320" s="53"/>
      <x:c r="J1320" s="53"/>
      <x:c r="K1320" s="53"/>
      <x:c r="L1320" s="53"/>
      <x:c r="M1320" s="53"/>
      <x:c r="N1320" s="53"/>
      <x:c r="O1320" s="53"/>
      <x:c r="P1320" s="53"/>
      <x:c r="Q1320" s="53"/>
      <x:c r="R1320" s="53"/>
      <x:c r="S1320" s="53"/>
      <x:c r="T1320" s="53"/>
      <x:c r="U1320" s="53"/>
      <x:c r="V1320" s="53"/>
      <x:c r="W1320" s="53"/>
      <x:c r="X1320" s="53"/>
      <x:c r="Y1320" s="53"/>
      <x:c r="Z1320" s="53"/>
      <x:c r="AA1320" s="53"/>
      <x:c r="AB1320" s="53"/>
      <x:c r="AC1320" s="53"/>
      <x:c r="AD1320" s="53"/>
      <x:c r="AE1320" s="53"/>
      <x:c r="AF1320" s="53"/>
    </x:row>
    <x:row r="1321">
      <x:c r="A1321" s="53"/>
      <x:c r="B1321" s="53"/>
      <x:c r="C1321" s="53"/>
      <x:c r="D1321" s="53"/>
      <x:c r="E1321" s="53"/>
      <x:c r="F1321" s="53"/>
      <x:c r="G1321" s="53"/>
      <x:c r="H1321" s="53"/>
      <x:c r="I1321" s="53"/>
      <x:c r="J1321" s="53"/>
      <x:c r="K1321" s="53"/>
      <x:c r="L1321" s="53"/>
      <x:c r="M1321" s="53"/>
      <x:c r="N1321" s="53"/>
      <x:c r="O1321" s="53"/>
      <x:c r="P1321" s="53"/>
      <x:c r="Q1321" s="53"/>
      <x:c r="R1321" s="53"/>
      <x:c r="S1321" s="53"/>
      <x:c r="T1321" s="53"/>
      <x:c r="U1321" s="53"/>
      <x:c r="V1321" s="53"/>
      <x:c r="W1321" s="53"/>
      <x:c r="X1321" s="53"/>
      <x:c r="Y1321" s="53"/>
      <x:c r="Z1321" s="53"/>
      <x:c r="AA1321" s="53"/>
      <x:c r="AB1321" s="53"/>
      <x:c r="AC1321" s="53"/>
      <x:c r="AD1321" s="53"/>
      <x:c r="AE1321" s="53"/>
      <x:c r="AF1321" s="53"/>
    </x:row>
    <x:row r="1322">
      <x:c r="A1322" s="53"/>
      <x:c r="B1322" s="53"/>
      <x:c r="C1322" s="53"/>
      <x:c r="D1322" s="53"/>
      <x:c r="E1322" s="53"/>
      <x:c r="F1322" s="53"/>
      <x:c r="G1322" s="53"/>
      <x:c r="H1322" s="53"/>
      <x:c r="I1322" s="53"/>
      <x:c r="J1322" s="53"/>
      <x:c r="K1322" s="53"/>
      <x:c r="L1322" s="53"/>
      <x:c r="M1322" s="53"/>
      <x:c r="N1322" s="53"/>
      <x:c r="O1322" s="53"/>
      <x:c r="P1322" s="53"/>
      <x:c r="Q1322" s="53"/>
      <x:c r="R1322" s="53"/>
      <x:c r="S1322" s="53"/>
      <x:c r="T1322" s="53"/>
      <x:c r="U1322" s="53"/>
      <x:c r="V1322" s="53"/>
      <x:c r="W1322" s="53"/>
      <x:c r="X1322" s="53"/>
      <x:c r="Y1322" s="53"/>
      <x:c r="Z1322" s="53"/>
      <x:c r="AA1322" s="53"/>
      <x:c r="AB1322" s="53"/>
      <x:c r="AC1322" s="53"/>
      <x:c r="AD1322" s="53"/>
      <x:c r="AE1322" s="53"/>
      <x:c r="AF1322" s="53"/>
    </x:row>
    <x:row r="1323">
      <x:c r="A1323" s="53"/>
      <x:c r="B1323" s="53"/>
      <x:c r="C1323" s="53"/>
      <x:c r="D1323" s="53"/>
      <x:c r="E1323" s="53"/>
      <x:c r="F1323" s="53"/>
      <x:c r="G1323" s="53"/>
      <x:c r="H1323" s="53"/>
      <x:c r="I1323" s="53"/>
      <x:c r="J1323" s="53"/>
      <x:c r="K1323" s="53"/>
      <x:c r="L1323" s="53"/>
      <x:c r="M1323" s="53"/>
      <x:c r="N1323" s="53"/>
      <x:c r="O1323" s="53"/>
      <x:c r="P1323" s="53"/>
      <x:c r="Q1323" s="53"/>
      <x:c r="R1323" s="53"/>
      <x:c r="S1323" s="53"/>
      <x:c r="T1323" s="53"/>
      <x:c r="U1323" s="53"/>
      <x:c r="V1323" s="53"/>
      <x:c r="W1323" s="53"/>
      <x:c r="X1323" s="53"/>
      <x:c r="Y1323" s="53"/>
      <x:c r="Z1323" s="53"/>
      <x:c r="AA1323" s="53"/>
      <x:c r="AB1323" s="53"/>
      <x:c r="AC1323" s="53"/>
      <x:c r="AD1323" s="53"/>
      <x:c r="AE1323" s="53"/>
      <x:c r="AF1323" s="53"/>
    </x:row>
    <x:row r="1324">
      <x:c r="A1324" s="53"/>
      <x:c r="B1324" s="53"/>
      <x:c r="C1324" s="53"/>
      <x:c r="D1324" s="53"/>
      <x:c r="E1324" s="53"/>
      <x:c r="F1324" s="53"/>
      <x:c r="G1324" s="53"/>
      <x:c r="H1324" s="53"/>
      <x:c r="I1324" s="53"/>
      <x:c r="J1324" s="53"/>
      <x:c r="K1324" s="53"/>
      <x:c r="L1324" s="53"/>
      <x:c r="M1324" s="53"/>
      <x:c r="N1324" s="53"/>
      <x:c r="O1324" s="53"/>
      <x:c r="P1324" s="53"/>
      <x:c r="Q1324" s="53"/>
      <x:c r="R1324" s="53"/>
      <x:c r="S1324" s="53"/>
      <x:c r="T1324" s="53"/>
      <x:c r="U1324" s="53"/>
      <x:c r="V1324" s="53"/>
      <x:c r="W1324" s="53"/>
      <x:c r="X1324" s="53"/>
      <x:c r="Y1324" s="53"/>
      <x:c r="Z1324" s="53"/>
      <x:c r="AA1324" s="53"/>
      <x:c r="AB1324" s="53"/>
      <x:c r="AC1324" s="53"/>
      <x:c r="AD1324" s="53"/>
      <x:c r="AE1324" s="53"/>
      <x:c r="AF1324" s="53"/>
    </x:row>
    <x:row r="1325">
      <x:c r="A1325" s="53"/>
      <x:c r="B1325" s="53"/>
      <x:c r="C1325" s="53"/>
      <x:c r="D1325" s="53"/>
      <x:c r="E1325" s="53"/>
      <x:c r="F1325" s="53"/>
      <x:c r="G1325" s="53"/>
      <x:c r="H1325" s="53"/>
      <x:c r="I1325" s="53"/>
      <x:c r="J1325" s="53"/>
      <x:c r="K1325" s="53"/>
      <x:c r="L1325" s="53"/>
      <x:c r="M1325" s="53"/>
      <x:c r="N1325" s="53"/>
      <x:c r="O1325" s="53"/>
      <x:c r="P1325" s="53"/>
      <x:c r="Q1325" s="53"/>
      <x:c r="R1325" s="53"/>
      <x:c r="S1325" s="53"/>
      <x:c r="T1325" s="53"/>
      <x:c r="U1325" s="53"/>
      <x:c r="V1325" s="53"/>
      <x:c r="W1325" s="53"/>
      <x:c r="X1325" s="53"/>
      <x:c r="Y1325" s="53"/>
      <x:c r="Z1325" s="53"/>
      <x:c r="AA1325" s="53"/>
      <x:c r="AB1325" s="53"/>
      <x:c r="AC1325" s="53"/>
      <x:c r="AD1325" s="53"/>
      <x:c r="AE1325" s="53"/>
      <x:c r="AF1325" s="53"/>
    </x:row>
    <x:row r="1326">
      <x:c r="A1326" s="53"/>
      <x:c r="B1326" s="53"/>
      <x:c r="C1326" s="53"/>
      <x:c r="D1326" s="53"/>
      <x:c r="E1326" s="53"/>
      <x:c r="F1326" s="53"/>
      <x:c r="G1326" s="53"/>
      <x:c r="H1326" s="53"/>
      <x:c r="I1326" s="53"/>
      <x:c r="J1326" s="53"/>
      <x:c r="K1326" s="53"/>
      <x:c r="L1326" s="53"/>
      <x:c r="M1326" s="53"/>
      <x:c r="N1326" s="53"/>
      <x:c r="O1326" s="53"/>
      <x:c r="P1326" s="53"/>
      <x:c r="Q1326" s="53"/>
      <x:c r="R1326" s="53"/>
      <x:c r="S1326" s="53"/>
      <x:c r="T1326" s="53"/>
      <x:c r="U1326" s="53"/>
      <x:c r="V1326" s="53"/>
      <x:c r="W1326" s="53"/>
      <x:c r="X1326" s="53"/>
      <x:c r="Y1326" s="53"/>
      <x:c r="Z1326" s="53"/>
      <x:c r="AA1326" s="53"/>
      <x:c r="AB1326" s="53"/>
      <x:c r="AC1326" s="53"/>
      <x:c r="AD1326" s="53"/>
      <x:c r="AE1326" s="53"/>
      <x:c r="AF1326" s="53"/>
    </x:row>
    <x:row r="1327">
      <x:c r="A1327" s="53"/>
      <x:c r="B1327" s="53"/>
      <x:c r="C1327" s="53"/>
      <x:c r="D1327" s="53"/>
      <x:c r="E1327" s="53"/>
      <x:c r="F1327" s="53"/>
      <x:c r="G1327" s="53"/>
      <x:c r="H1327" s="53"/>
      <x:c r="I1327" s="53"/>
      <x:c r="J1327" s="53"/>
      <x:c r="K1327" s="53"/>
      <x:c r="L1327" s="53"/>
      <x:c r="M1327" s="53"/>
      <x:c r="N1327" s="53"/>
      <x:c r="O1327" s="53"/>
      <x:c r="P1327" s="53"/>
      <x:c r="Q1327" s="53"/>
      <x:c r="R1327" s="53"/>
      <x:c r="S1327" s="53"/>
      <x:c r="T1327" s="53"/>
      <x:c r="U1327" s="53"/>
      <x:c r="V1327" s="53"/>
      <x:c r="W1327" s="53"/>
      <x:c r="X1327" s="53"/>
      <x:c r="Y1327" s="53"/>
      <x:c r="Z1327" s="53"/>
      <x:c r="AA1327" s="53"/>
      <x:c r="AB1327" s="53"/>
      <x:c r="AC1327" s="53"/>
      <x:c r="AD1327" s="53"/>
      <x:c r="AE1327" s="53"/>
      <x:c r="AF1327" s="53"/>
    </x:row>
    <x:row r="1328">
      <x:c r="A1328" s="53"/>
      <x:c r="B1328" s="53"/>
      <x:c r="C1328" s="53"/>
      <x:c r="D1328" s="53"/>
      <x:c r="E1328" s="53"/>
      <x:c r="F1328" s="53"/>
      <x:c r="G1328" s="53"/>
      <x:c r="H1328" s="53"/>
      <x:c r="I1328" s="53"/>
      <x:c r="J1328" s="53"/>
      <x:c r="K1328" s="53"/>
      <x:c r="L1328" s="53"/>
      <x:c r="M1328" s="53"/>
      <x:c r="N1328" s="53"/>
      <x:c r="O1328" s="53"/>
      <x:c r="P1328" s="53"/>
      <x:c r="Q1328" s="53"/>
      <x:c r="R1328" s="53"/>
      <x:c r="S1328" s="53"/>
      <x:c r="T1328" s="53"/>
      <x:c r="U1328" s="53"/>
      <x:c r="V1328" s="53"/>
      <x:c r="W1328" s="53"/>
      <x:c r="X1328" s="53"/>
      <x:c r="Y1328" s="53"/>
      <x:c r="Z1328" s="53"/>
      <x:c r="AA1328" s="53"/>
      <x:c r="AB1328" s="53"/>
      <x:c r="AC1328" s="53"/>
      <x:c r="AD1328" s="53"/>
      <x:c r="AE1328" s="53"/>
      <x:c r="AF1328" s="53"/>
    </x:row>
    <x:row r="1329">
      <x:c r="A1329" s="53"/>
      <x:c r="B1329" s="53"/>
      <x:c r="C1329" s="53"/>
      <x:c r="D1329" s="53"/>
      <x:c r="E1329" s="53"/>
      <x:c r="F1329" s="53"/>
      <x:c r="G1329" s="53"/>
      <x:c r="H1329" s="53"/>
      <x:c r="I1329" s="53"/>
      <x:c r="J1329" s="53"/>
      <x:c r="K1329" s="53"/>
      <x:c r="L1329" s="53"/>
      <x:c r="M1329" s="53"/>
      <x:c r="N1329" s="53"/>
      <x:c r="O1329" s="53"/>
      <x:c r="P1329" s="53"/>
      <x:c r="Q1329" s="53"/>
      <x:c r="R1329" s="53"/>
      <x:c r="S1329" s="53"/>
      <x:c r="T1329" s="53"/>
      <x:c r="U1329" s="53"/>
      <x:c r="V1329" s="53"/>
      <x:c r="W1329" s="53"/>
      <x:c r="X1329" s="53"/>
      <x:c r="Y1329" s="53"/>
      <x:c r="Z1329" s="53"/>
      <x:c r="AA1329" s="53"/>
      <x:c r="AB1329" s="53"/>
      <x:c r="AC1329" s="53"/>
      <x:c r="AD1329" s="53"/>
      <x:c r="AE1329" s="53"/>
      <x:c r="AF1329" s="53"/>
    </x:row>
    <x:row r="1330">
      <x:c r="A1330" s="53"/>
      <x:c r="B1330" s="53"/>
      <x:c r="C1330" s="53"/>
      <x:c r="D1330" s="53"/>
      <x:c r="E1330" s="53"/>
      <x:c r="F1330" s="53"/>
      <x:c r="G1330" s="53"/>
      <x:c r="H1330" s="53"/>
      <x:c r="I1330" s="53"/>
      <x:c r="J1330" s="53"/>
      <x:c r="K1330" s="53"/>
      <x:c r="L1330" s="53"/>
      <x:c r="M1330" s="53"/>
      <x:c r="N1330" s="53"/>
      <x:c r="O1330" s="53"/>
      <x:c r="P1330" s="53"/>
      <x:c r="Q1330" s="53"/>
      <x:c r="R1330" s="53"/>
      <x:c r="S1330" s="53"/>
      <x:c r="T1330" s="53"/>
      <x:c r="U1330" s="53"/>
      <x:c r="V1330" s="53"/>
      <x:c r="W1330" s="53"/>
      <x:c r="X1330" s="53"/>
      <x:c r="Y1330" s="53"/>
      <x:c r="Z1330" s="53"/>
      <x:c r="AA1330" s="53"/>
      <x:c r="AB1330" s="53"/>
      <x:c r="AC1330" s="53"/>
      <x:c r="AD1330" s="53"/>
      <x:c r="AE1330" s="53"/>
      <x:c r="AF1330" s="53"/>
    </x:row>
    <x:row r="1331">
      <x:c r="A1331" s="53"/>
      <x:c r="B1331" s="53"/>
      <x:c r="C1331" s="53"/>
      <x:c r="D1331" s="53"/>
      <x:c r="E1331" s="53"/>
      <x:c r="F1331" s="53"/>
      <x:c r="G1331" s="53"/>
      <x:c r="H1331" s="53"/>
      <x:c r="I1331" s="53"/>
      <x:c r="J1331" s="53"/>
      <x:c r="K1331" s="53"/>
      <x:c r="L1331" s="53"/>
      <x:c r="M1331" s="53"/>
      <x:c r="N1331" s="53"/>
      <x:c r="O1331" s="53"/>
      <x:c r="P1331" s="53"/>
      <x:c r="Q1331" s="53"/>
      <x:c r="R1331" s="53"/>
      <x:c r="S1331" s="53"/>
      <x:c r="T1331" s="53"/>
      <x:c r="U1331" s="53"/>
      <x:c r="V1331" s="53"/>
      <x:c r="W1331" s="53"/>
      <x:c r="X1331" s="53"/>
      <x:c r="Y1331" s="53"/>
      <x:c r="Z1331" s="53"/>
      <x:c r="AA1331" s="53"/>
      <x:c r="AB1331" s="53"/>
      <x:c r="AC1331" s="53"/>
      <x:c r="AD1331" s="53"/>
      <x:c r="AE1331" s="53"/>
      <x:c r="AF1331" s="53"/>
    </x:row>
    <x:row r="1332">
      <x:c r="A1332" s="53"/>
      <x:c r="B1332" s="53"/>
      <x:c r="C1332" s="53"/>
      <x:c r="D1332" s="53"/>
      <x:c r="E1332" s="53"/>
      <x:c r="F1332" s="53"/>
      <x:c r="G1332" s="53"/>
      <x:c r="H1332" s="53"/>
      <x:c r="I1332" s="53"/>
      <x:c r="J1332" s="53"/>
      <x:c r="K1332" s="53"/>
      <x:c r="L1332" s="53"/>
      <x:c r="M1332" s="53"/>
      <x:c r="N1332" s="53"/>
      <x:c r="O1332" s="53"/>
      <x:c r="P1332" s="53"/>
      <x:c r="Q1332" s="53"/>
      <x:c r="R1332" s="53"/>
      <x:c r="S1332" s="53"/>
      <x:c r="T1332" s="53"/>
      <x:c r="U1332" s="53"/>
      <x:c r="V1332" s="53"/>
      <x:c r="W1332" s="53"/>
      <x:c r="X1332" s="53"/>
      <x:c r="Y1332" s="53"/>
      <x:c r="Z1332" s="53"/>
      <x:c r="AA1332" s="53"/>
      <x:c r="AB1332" s="53"/>
      <x:c r="AC1332" s="53"/>
      <x:c r="AD1332" s="53"/>
      <x:c r="AE1332" s="53"/>
      <x:c r="AF1332" s="53"/>
    </x:row>
    <x:row r="1333">
      <x:c r="A1333" s="53"/>
      <x:c r="B1333" s="53"/>
      <x:c r="C1333" s="53"/>
      <x:c r="D1333" s="53"/>
      <x:c r="E1333" s="53"/>
      <x:c r="F1333" s="53"/>
      <x:c r="G1333" s="53"/>
      <x:c r="H1333" s="53"/>
      <x:c r="I1333" s="53"/>
      <x:c r="J1333" s="53"/>
      <x:c r="K1333" s="53"/>
      <x:c r="L1333" s="53"/>
      <x:c r="M1333" s="53"/>
      <x:c r="N1333" s="53"/>
      <x:c r="O1333" s="53"/>
      <x:c r="P1333" s="53"/>
      <x:c r="Q1333" s="53"/>
      <x:c r="R1333" s="53"/>
      <x:c r="S1333" s="53"/>
      <x:c r="T1333" s="53"/>
      <x:c r="U1333" s="53"/>
      <x:c r="V1333" s="53"/>
      <x:c r="W1333" s="53"/>
      <x:c r="X1333" s="53"/>
      <x:c r="Y1333" s="53"/>
      <x:c r="Z1333" s="53"/>
      <x:c r="AA1333" s="53"/>
      <x:c r="AB1333" s="53"/>
      <x:c r="AC1333" s="53"/>
      <x:c r="AD1333" s="53"/>
      <x:c r="AE1333" s="53"/>
      <x:c r="AF1333" s="53"/>
    </x:row>
    <x:row r="1334">
      <x:c r="A1334" s="53"/>
      <x:c r="B1334" s="53"/>
      <x:c r="C1334" s="53"/>
      <x:c r="D1334" s="53"/>
      <x:c r="E1334" s="53"/>
      <x:c r="F1334" s="53"/>
      <x:c r="G1334" s="53"/>
      <x:c r="H1334" s="53"/>
      <x:c r="I1334" s="53"/>
      <x:c r="J1334" s="53"/>
      <x:c r="K1334" s="53"/>
      <x:c r="L1334" s="53"/>
      <x:c r="M1334" s="53"/>
      <x:c r="N1334" s="53"/>
      <x:c r="O1334" s="53"/>
      <x:c r="P1334" s="53"/>
      <x:c r="Q1334" s="53"/>
      <x:c r="R1334" s="53"/>
      <x:c r="S1334" s="53"/>
      <x:c r="T1334" s="53"/>
      <x:c r="U1334" s="53"/>
      <x:c r="V1334" s="53"/>
      <x:c r="W1334" s="53"/>
      <x:c r="X1334" s="53"/>
      <x:c r="Y1334" s="53"/>
      <x:c r="Z1334" s="53"/>
      <x:c r="AA1334" s="53"/>
      <x:c r="AB1334" s="53"/>
      <x:c r="AC1334" s="53"/>
      <x:c r="AD1334" s="53"/>
      <x:c r="AE1334" s="53"/>
      <x:c r="AF1334" s="53"/>
    </x:row>
    <x:row r="1335">
      <x:c r="A1335" s="53"/>
      <x:c r="B1335" s="53"/>
      <x:c r="C1335" s="53"/>
      <x:c r="D1335" s="53"/>
      <x:c r="E1335" s="53"/>
      <x:c r="F1335" s="53"/>
      <x:c r="G1335" s="53"/>
      <x:c r="H1335" s="53"/>
      <x:c r="I1335" s="53"/>
      <x:c r="J1335" s="53"/>
      <x:c r="K1335" s="53"/>
      <x:c r="L1335" s="53"/>
      <x:c r="M1335" s="53"/>
      <x:c r="N1335" s="53"/>
      <x:c r="O1335" s="53"/>
      <x:c r="P1335" s="53"/>
      <x:c r="Q1335" s="53"/>
      <x:c r="R1335" s="53"/>
      <x:c r="S1335" s="53"/>
      <x:c r="T1335" s="53"/>
      <x:c r="U1335" s="53"/>
      <x:c r="V1335" s="53"/>
      <x:c r="W1335" s="53"/>
      <x:c r="X1335" s="53"/>
      <x:c r="Y1335" s="53"/>
      <x:c r="Z1335" s="53"/>
      <x:c r="AA1335" s="53"/>
      <x:c r="AB1335" s="53"/>
      <x:c r="AC1335" s="53"/>
      <x:c r="AD1335" s="53"/>
      <x:c r="AE1335" s="53"/>
      <x:c r="AF1335" s="53"/>
    </x:row>
    <x:row r="1336">
      <x:c r="A1336" s="53"/>
      <x:c r="B1336" s="53"/>
      <x:c r="C1336" s="53"/>
      <x:c r="D1336" s="53"/>
      <x:c r="E1336" s="53"/>
      <x:c r="F1336" s="53"/>
      <x:c r="G1336" s="53"/>
      <x:c r="H1336" s="53"/>
      <x:c r="I1336" s="53"/>
      <x:c r="J1336" s="53"/>
      <x:c r="K1336" s="53"/>
      <x:c r="L1336" s="53"/>
      <x:c r="M1336" s="53"/>
      <x:c r="N1336" s="53"/>
      <x:c r="O1336" s="53"/>
      <x:c r="P1336" s="53"/>
      <x:c r="Q1336" s="53"/>
      <x:c r="R1336" s="53"/>
      <x:c r="S1336" s="53"/>
      <x:c r="T1336" s="53"/>
      <x:c r="U1336" s="53"/>
      <x:c r="V1336" s="53"/>
      <x:c r="W1336" s="53"/>
      <x:c r="X1336" s="53"/>
      <x:c r="Y1336" s="53"/>
      <x:c r="Z1336" s="53"/>
      <x:c r="AA1336" s="53"/>
      <x:c r="AB1336" s="53"/>
      <x:c r="AC1336" s="53"/>
      <x:c r="AD1336" s="53"/>
      <x:c r="AE1336" s="53"/>
      <x:c r="AF1336" s="53"/>
    </x:row>
    <x:row r="1337">
      <x:c r="A1337" s="53"/>
      <x:c r="B1337" s="53"/>
      <x:c r="C1337" s="53"/>
      <x:c r="D1337" s="53"/>
      <x:c r="E1337" s="53"/>
      <x:c r="F1337" s="53"/>
      <x:c r="G1337" s="53"/>
      <x:c r="H1337" s="53"/>
      <x:c r="I1337" s="53"/>
      <x:c r="J1337" s="53"/>
      <x:c r="K1337" s="53"/>
      <x:c r="L1337" s="53"/>
      <x:c r="M1337" s="53"/>
      <x:c r="N1337" s="53"/>
      <x:c r="O1337" s="53"/>
      <x:c r="P1337" s="53"/>
      <x:c r="Q1337" s="53"/>
      <x:c r="R1337" s="53"/>
      <x:c r="S1337" s="53"/>
      <x:c r="T1337" s="53"/>
      <x:c r="U1337" s="53"/>
      <x:c r="V1337" s="53"/>
      <x:c r="W1337" s="53"/>
      <x:c r="X1337" s="53"/>
      <x:c r="Y1337" s="53"/>
      <x:c r="Z1337" s="53"/>
      <x:c r="AA1337" s="53"/>
      <x:c r="AB1337" s="53"/>
      <x:c r="AC1337" s="53"/>
      <x:c r="AD1337" s="53"/>
      <x:c r="AE1337" s="53"/>
      <x:c r="AF1337" s="53"/>
    </x:row>
    <x:row r="1338">
      <x:c r="A1338" s="53"/>
      <x:c r="B1338" s="53"/>
      <x:c r="C1338" s="53"/>
      <x:c r="D1338" s="53"/>
      <x:c r="E1338" s="53"/>
      <x:c r="F1338" s="53"/>
      <x:c r="G1338" s="53"/>
      <x:c r="H1338" s="53"/>
      <x:c r="I1338" s="53"/>
      <x:c r="J1338" s="53"/>
      <x:c r="K1338" s="53"/>
      <x:c r="L1338" s="53"/>
      <x:c r="M1338" s="53"/>
      <x:c r="N1338" s="53"/>
      <x:c r="O1338" s="53"/>
      <x:c r="P1338" s="53"/>
      <x:c r="Q1338" s="53"/>
      <x:c r="R1338" s="53"/>
      <x:c r="S1338" s="53"/>
      <x:c r="T1338" s="53"/>
      <x:c r="U1338" s="53"/>
      <x:c r="V1338" s="53"/>
      <x:c r="W1338" s="53"/>
      <x:c r="X1338" s="53"/>
      <x:c r="Y1338" s="53"/>
      <x:c r="Z1338" s="53"/>
      <x:c r="AA1338" s="53"/>
      <x:c r="AB1338" s="53"/>
      <x:c r="AC1338" s="53"/>
      <x:c r="AD1338" s="53"/>
      <x:c r="AE1338" s="53"/>
      <x:c r="AF1338" s="53"/>
    </x:row>
    <x:row r="1339">
      <x:c r="A1339" s="53"/>
      <x:c r="B1339" s="53"/>
      <x:c r="C1339" s="53"/>
      <x:c r="D1339" s="53"/>
      <x:c r="E1339" s="53"/>
      <x:c r="F1339" s="53"/>
      <x:c r="G1339" s="53"/>
      <x:c r="H1339" s="53"/>
      <x:c r="I1339" s="53"/>
      <x:c r="J1339" s="53"/>
      <x:c r="K1339" s="53"/>
      <x:c r="L1339" s="53"/>
      <x:c r="M1339" s="53"/>
      <x:c r="N1339" s="53"/>
      <x:c r="O1339" s="53"/>
      <x:c r="P1339" s="53"/>
      <x:c r="Q1339" s="53"/>
      <x:c r="R1339" s="53"/>
      <x:c r="S1339" s="53"/>
      <x:c r="T1339" s="53"/>
      <x:c r="U1339" s="53"/>
      <x:c r="V1339" s="53"/>
      <x:c r="W1339" s="53"/>
      <x:c r="X1339" s="53"/>
      <x:c r="Y1339" s="53"/>
      <x:c r="Z1339" s="53"/>
      <x:c r="AA1339" s="53"/>
      <x:c r="AB1339" s="53"/>
      <x:c r="AC1339" s="53"/>
      <x:c r="AD1339" s="53"/>
      <x:c r="AE1339" s="53"/>
      <x:c r="AF1339" s="53"/>
    </x:row>
    <x:row r="1340">
      <x:c r="A1340" s="53"/>
      <x:c r="B1340" s="53"/>
      <x:c r="C1340" s="53"/>
      <x:c r="D1340" s="53"/>
      <x:c r="E1340" s="53"/>
      <x:c r="F1340" s="53"/>
      <x:c r="G1340" s="53"/>
      <x:c r="H1340" s="53"/>
      <x:c r="I1340" s="53"/>
      <x:c r="J1340" s="53"/>
      <x:c r="K1340" s="53"/>
      <x:c r="L1340" s="53"/>
      <x:c r="M1340" s="53"/>
      <x:c r="N1340" s="53"/>
      <x:c r="O1340" s="53"/>
      <x:c r="P1340" s="53"/>
      <x:c r="Q1340" s="53"/>
      <x:c r="R1340" s="53"/>
      <x:c r="S1340" s="53"/>
      <x:c r="T1340" s="53"/>
      <x:c r="U1340" s="53"/>
      <x:c r="V1340" s="53"/>
      <x:c r="W1340" s="53"/>
      <x:c r="X1340" s="53"/>
      <x:c r="Y1340" s="53"/>
      <x:c r="Z1340" s="53"/>
      <x:c r="AA1340" s="53"/>
      <x:c r="AB1340" s="53"/>
      <x:c r="AC1340" s="53"/>
      <x:c r="AD1340" s="53"/>
      <x:c r="AE1340" s="53"/>
      <x:c r="AF1340" s="53"/>
    </x:row>
    <x:row r="1341">
      <x:c r="A1341" s="53"/>
      <x:c r="B1341" s="53"/>
      <x:c r="C1341" s="53"/>
      <x:c r="D1341" s="53"/>
      <x:c r="E1341" s="53"/>
      <x:c r="F1341" s="53"/>
      <x:c r="G1341" s="53"/>
      <x:c r="H1341" s="53"/>
      <x:c r="I1341" s="53"/>
      <x:c r="J1341" s="53"/>
      <x:c r="K1341" s="53"/>
      <x:c r="L1341" s="53"/>
      <x:c r="M1341" s="53"/>
      <x:c r="N1341" s="53"/>
      <x:c r="O1341" s="53"/>
      <x:c r="P1341" s="53"/>
      <x:c r="Q1341" s="53"/>
      <x:c r="R1341" s="53"/>
      <x:c r="S1341" s="53"/>
      <x:c r="T1341" s="53"/>
      <x:c r="U1341" s="53"/>
      <x:c r="V1341" s="53"/>
      <x:c r="W1341" s="53"/>
      <x:c r="X1341" s="53"/>
      <x:c r="Y1341" s="53"/>
      <x:c r="Z1341" s="53"/>
      <x:c r="AA1341" s="53"/>
      <x:c r="AB1341" s="53"/>
      <x:c r="AC1341" s="53"/>
      <x:c r="AD1341" s="53"/>
      <x:c r="AE1341" s="53"/>
      <x:c r="AF1341" s="53"/>
    </x:row>
    <x:row r="1342">
      <x:c r="A1342" s="53"/>
      <x:c r="B1342" s="53"/>
      <x:c r="C1342" s="53"/>
      <x:c r="D1342" s="53"/>
      <x:c r="E1342" s="53"/>
      <x:c r="F1342" s="53"/>
      <x:c r="G1342" s="53"/>
      <x:c r="H1342" s="53"/>
      <x:c r="I1342" s="53"/>
      <x:c r="J1342" s="53"/>
      <x:c r="K1342" s="53"/>
      <x:c r="L1342" s="53"/>
      <x:c r="M1342" s="53"/>
      <x:c r="N1342" s="53"/>
      <x:c r="O1342" s="53"/>
      <x:c r="P1342" s="53"/>
      <x:c r="Q1342" s="53"/>
      <x:c r="R1342" s="53"/>
      <x:c r="S1342" s="53"/>
      <x:c r="T1342" s="53"/>
      <x:c r="U1342" s="53"/>
      <x:c r="V1342" s="53"/>
      <x:c r="W1342" s="53"/>
      <x:c r="X1342" s="53"/>
      <x:c r="Y1342" s="53"/>
      <x:c r="Z1342" s="53"/>
      <x:c r="AA1342" s="53"/>
      <x:c r="AB1342" s="53"/>
      <x:c r="AC1342" s="53"/>
      <x:c r="AD1342" s="53"/>
      <x:c r="AE1342" s="53"/>
      <x:c r="AF1342" s="53"/>
    </x:row>
    <x:row r="1343">
      <x:c r="A1343" s="53"/>
      <x:c r="B1343" s="53"/>
      <x:c r="C1343" s="53"/>
      <x:c r="D1343" s="53"/>
      <x:c r="E1343" s="53"/>
      <x:c r="F1343" s="53"/>
      <x:c r="G1343" s="53"/>
      <x:c r="H1343" s="53"/>
      <x:c r="I1343" s="53"/>
      <x:c r="J1343" s="53"/>
      <x:c r="K1343" s="53"/>
      <x:c r="L1343" s="53"/>
      <x:c r="M1343" s="53"/>
      <x:c r="N1343" s="53"/>
      <x:c r="O1343" s="53"/>
      <x:c r="P1343" s="53"/>
      <x:c r="Q1343" s="53"/>
      <x:c r="R1343" s="53"/>
      <x:c r="S1343" s="53"/>
      <x:c r="T1343" s="53"/>
      <x:c r="U1343" s="53"/>
      <x:c r="V1343" s="53"/>
      <x:c r="W1343" s="53"/>
      <x:c r="X1343" s="53"/>
      <x:c r="Y1343" s="53"/>
      <x:c r="Z1343" s="53"/>
      <x:c r="AA1343" s="53"/>
      <x:c r="AB1343" s="53"/>
      <x:c r="AC1343" s="53"/>
      <x:c r="AD1343" s="53"/>
      <x:c r="AE1343" s="53"/>
      <x:c r="AF1343" s="53"/>
    </x:row>
    <x:row r="1344">
      <x:c r="A1344" s="53"/>
      <x:c r="B1344" s="53"/>
      <x:c r="C1344" s="53"/>
      <x:c r="D1344" s="53"/>
      <x:c r="E1344" s="53"/>
      <x:c r="F1344" s="53"/>
      <x:c r="G1344" s="53"/>
      <x:c r="H1344" s="53"/>
      <x:c r="I1344" s="53"/>
      <x:c r="J1344" s="53"/>
      <x:c r="K1344" s="53"/>
      <x:c r="L1344" s="53"/>
      <x:c r="M1344" s="53"/>
      <x:c r="N1344" s="53"/>
      <x:c r="O1344" s="53"/>
      <x:c r="P1344" s="53"/>
      <x:c r="Q1344" s="53"/>
      <x:c r="R1344" s="53"/>
      <x:c r="S1344" s="53"/>
      <x:c r="T1344" s="53"/>
      <x:c r="U1344" s="53"/>
      <x:c r="V1344" s="53"/>
      <x:c r="W1344" s="53"/>
      <x:c r="X1344" s="53"/>
      <x:c r="Y1344" s="53"/>
      <x:c r="Z1344" s="53"/>
      <x:c r="AA1344" s="53"/>
      <x:c r="AB1344" s="53"/>
      <x:c r="AC1344" s="53"/>
      <x:c r="AD1344" s="53"/>
      <x:c r="AE1344" s="53"/>
      <x:c r="AF1344" s="53"/>
    </x:row>
    <x:row r="1345">
      <x:c r="A1345" s="53"/>
      <x:c r="B1345" s="53"/>
      <x:c r="C1345" s="53"/>
      <x:c r="D1345" s="53"/>
      <x:c r="E1345" s="53"/>
      <x:c r="F1345" s="53"/>
      <x:c r="G1345" s="53"/>
      <x:c r="H1345" s="53"/>
      <x:c r="I1345" s="53"/>
      <x:c r="J1345" s="53"/>
      <x:c r="K1345" s="53"/>
      <x:c r="L1345" s="53"/>
      <x:c r="M1345" s="53"/>
      <x:c r="N1345" s="53"/>
      <x:c r="O1345" s="53"/>
      <x:c r="P1345" s="53"/>
      <x:c r="Q1345" s="53"/>
      <x:c r="R1345" s="53"/>
      <x:c r="S1345" s="53"/>
      <x:c r="T1345" s="53"/>
      <x:c r="U1345" s="53"/>
      <x:c r="V1345" s="53"/>
      <x:c r="W1345" s="53"/>
      <x:c r="X1345" s="53"/>
      <x:c r="Y1345" s="53"/>
      <x:c r="Z1345" s="53"/>
      <x:c r="AA1345" s="53"/>
      <x:c r="AB1345" s="53"/>
      <x:c r="AC1345" s="53"/>
      <x:c r="AD1345" s="53"/>
      <x:c r="AE1345" s="53"/>
      <x:c r="AF1345" s="53"/>
    </x:row>
    <x:row r="1346">
      <x:c r="A1346" s="53"/>
      <x:c r="B1346" s="53"/>
      <x:c r="C1346" s="53"/>
      <x:c r="D1346" s="53"/>
      <x:c r="E1346" s="53"/>
      <x:c r="F1346" s="53"/>
      <x:c r="G1346" s="53"/>
      <x:c r="H1346" s="53"/>
      <x:c r="I1346" s="53"/>
      <x:c r="J1346" s="53"/>
      <x:c r="K1346" s="53"/>
      <x:c r="L1346" s="53"/>
      <x:c r="M1346" s="53"/>
      <x:c r="N1346" s="53"/>
      <x:c r="O1346" s="53"/>
      <x:c r="P1346" s="53"/>
      <x:c r="Q1346" s="53"/>
      <x:c r="R1346" s="53"/>
      <x:c r="S1346" s="53"/>
      <x:c r="T1346" s="53"/>
      <x:c r="U1346" s="53"/>
      <x:c r="V1346" s="53"/>
      <x:c r="W1346" s="53"/>
      <x:c r="X1346" s="53"/>
      <x:c r="Y1346" s="53"/>
      <x:c r="Z1346" s="53"/>
      <x:c r="AA1346" s="53"/>
      <x:c r="AB1346" s="53"/>
      <x:c r="AC1346" s="53"/>
      <x:c r="AD1346" s="53"/>
      <x:c r="AE1346" s="53"/>
      <x:c r="AF1346" s="53"/>
    </x:row>
    <x:row r="1347">
      <x:c r="A1347" s="53"/>
      <x:c r="B1347" s="53"/>
      <x:c r="C1347" s="53"/>
      <x:c r="D1347" s="53"/>
      <x:c r="E1347" s="53"/>
      <x:c r="F1347" s="53"/>
      <x:c r="G1347" s="53"/>
      <x:c r="H1347" s="53"/>
      <x:c r="I1347" s="53"/>
      <x:c r="J1347" s="53"/>
      <x:c r="K1347" s="53"/>
      <x:c r="L1347" s="53"/>
      <x:c r="M1347" s="53"/>
      <x:c r="N1347" s="53"/>
      <x:c r="O1347" s="53"/>
      <x:c r="P1347" s="53"/>
      <x:c r="Q1347" s="53"/>
      <x:c r="R1347" s="53"/>
      <x:c r="S1347" s="53"/>
      <x:c r="T1347" s="53"/>
      <x:c r="U1347" s="53"/>
      <x:c r="V1347" s="53"/>
      <x:c r="W1347" s="53"/>
      <x:c r="X1347" s="53"/>
      <x:c r="Y1347" s="53"/>
      <x:c r="Z1347" s="53"/>
      <x:c r="AA1347" s="53"/>
      <x:c r="AB1347" s="53"/>
      <x:c r="AC1347" s="53"/>
      <x:c r="AD1347" s="53"/>
      <x:c r="AE1347" s="53"/>
      <x:c r="AF1347" s="53"/>
    </x:row>
    <x:row r="1348">
      <x:c r="A1348" s="53"/>
      <x:c r="B1348" s="53"/>
      <x:c r="C1348" s="53"/>
      <x:c r="D1348" s="53"/>
      <x:c r="E1348" s="53"/>
      <x:c r="F1348" s="53"/>
      <x:c r="G1348" s="53"/>
      <x:c r="H1348" s="53"/>
      <x:c r="I1348" s="53"/>
      <x:c r="J1348" s="53"/>
      <x:c r="K1348" s="53"/>
      <x:c r="L1348" s="53"/>
      <x:c r="M1348" s="53"/>
      <x:c r="N1348" s="53"/>
      <x:c r="O1348" s="53"/>
      <x:c r="P1348" s="53"/>
      <x:c r="Q1348" s="53"/>
      <x:c r="R1348" s="53"/>
      <x:c r="S1348" s="53"/>
      <x:c r="T1348" s="53"/>
      <x:c r="U1348" s="53"/>
      <x:c r="V1348" s="53"/>
      <x:c r="W1348" s="53"/>
      <x:c r="X1348" s="53"/>
      <x:c r="Y1348" s="53"/>
      <x:c r="Z1348" s="53"/>
      <x:c r="AA1348" s="53"/>
      <x:c r="AB1348" s="53"/>
      <x:c r="AC1348" s="53"/>
      <x:c r="AD1348" s="53"/>
      <x:c r="AE1348" s="53"/>
      <x:c r="AF1348" s="53"/>
    </x:row>
    <x:row r="1349">
      <x:c r="A1349" s="53"/>
      <x:c r="B1349" s="53"/>
      <x:c r="C1349" s="53"/>
      <x:c r="D1349" s="53"/>
      <x:c r="E1349" s="53"/>
      <x:c r="F1349" s="53"/>
      <x:c r="G1349" s="53"/>
      <x:c r="H1349" s="53"/>
      <x:c r="I1349" s="53"/>
      <x:c r="J1349" s="53"/>
      <x:c r="K1349" s="53"/>
      <x:c r="L1349" s="53"/>
      <x:c r="M1349" s="53"/>
      <x:c r="N1349" s="53"/>
      <x:c r="O1349" s="53"/>
      <x:c r="P1349" s="53"/>
      <x:c r="Q1349" s="53"/>
      <x:c r="R1349" s="53"/>
      <x:c r="S1349" s="53"/>
      <x:c r="T1349" s="53"/>
      <x:c r="U1349" s="53"/>
      <x:c r="V1349" s="53"/>
      <x:c r="W1349" s="53"/>
      <x:c r="X1349" s="53"/>
      <x:c r="Y1349" s="53"/>
      <x:c r="Z1349" s="53"/>
      <x:c r="AA1349" s="53"/>
      <x:c r="AB1349" s="53"/>
      <x:c r="AC1349" s="53"/>
      <x:c r="AD1349" s="53"/>
      <x:c r="AE1349" s="53"/>
      <x:c r="AF1349" s="53"/>
    </x:row>
    <x:row r="1350">
      <x:c r="A1350" s="53"/>
      <x:c r="B1350" s="53"/>
      <x:c r="C1350" s="53"/>
      <x:c r="D1350" s="53"/>
      <x:c r="E1350" s="53"/>
      <x:c r="F1350" s="53"/>
      <x:c r="G1350" s="53"/>
      <x:c r="H1350" s="53"/>
      <x:c r="I1350" s="53"/>
      <x:c r="J1350" s="53"/>
      <x:c r="K1350" s="53"/>
      <x:c r="L1350" s="53"/>
      <x:c r="M1350" s="53"/>
      <x:c r="N1350" s="53"/>
      <x:c r="O1350" s="53"/>
      <x:c r="P1350" s="53"/>
      <x:c r="Q1350" s="53"/>
      <x:c r="R1350" s="53"/>
      <x:c r="S1350" s="53"/>
      <x:c r="T1350" s="53"/>
      <x:c r="U1350" s="53"/>
      <x:c r="V1350" s="53"/>
      <x:c r="W1350" s="53"/>
      <x:c r="X1350" s="53"/>
      <x:c r="Y1350" s="53"/>
      <x:c r="Z1350" s="53"/>
      <x:c r="AA1350" s="53"/>
      <x:c r="AB1350" s="53"/>
      <x:c r="AC1350" s="53"/>
      <x:c r="AD1350" s="53"/>
      <x:c r="AE1350" s="53"/>
      <x:c r="AF1350" s="53"/>
    </x:row>
    <x:row r="1351">
      <x:c r="A1351" s="53"/>
      <x:c r="B1351" s="53"/>
      <x:c r="C1351" s="53"/>
      <x:c r="D1351" s="53"/>
      <x:c r="E1351" s="53"/>
      <x:c r="F1351" s="53"/>
      <x:c r="G1351" s="53"/>
      <x:c r="H1351" s="53"/>
      <x:c r="I1351" s="53"/>
      <x:c r="J1351" s="53"/>
      <x:c r="K1351" s="53"/>
      <x:c r="L1351" s="53"/>
      <x:c r="M1351" s="53"/>
      <x:c r="N1351" s="53"/>
      <x:c r="O1351" s="53"/>
      <x:c r="P1351" s="53"/>
      <x:c r="Q1351" s="53"/>
      <x:c r="R1351" s="53"/>
      <x:c r="S1351" s="53"/>
      <x:c r="T1351" s="53"/>
      <x:c r="U1351" s="53"/>
      <x:c r="V1351" s="53"/>
      <x:c r="W1351" s="53"/>
      <x:c r="X1351" s="53"/>
      <x:c r="Y1351" s="53"/>
      <x:c r="Z1351" s="53"/>
      <x:c r="AA1351" s="53"/>
      <x:c r="AB1351" s="53"/>
      <x:c r="AC1351" s="53"/>
      <x:c r="AD1351" s="53"/>
      <x:c r="AE1351" s="53"/>
      <x:c r="AF1351" s="53"/>
    </x:row>
    <x:row r="1352">
      <x:c r="A1352" s="53"/>
      <x:c r="B1352" s="53"/>
      <x:c r="C1352" s="53"/>
      <x:c r="D1352" s="53"/>
      <x:c r="E1352" s="53"/>
      <x:c r="F1352" s="53"/>
      <x:c r="G1352" s="53"/>
      <x:c r="H1352" s="53"/>
      <x:c r="I1352" s="53"/>
      <x:c r="J1352" s="53"/>
      <x:c r="K1352" s="53"/>
      <x:c r="L1352" s="53"/>
      <x:c r="M1352" s="53"/>
      <x:c r="N1352" s="53"/>
      <x:c r="O1352" s="53"/>
      <x:c r="P1352" s="53"/>
      <x:c r="Q1352" s="53"/>
      <x:c r="R1352" s="53"/>
      <x:c r="S1352" s="53"/>
      <x:c r="T1352" s="53"/>
      <x:c r="U1352" s="53"/>
      <x:c r="V1352" s="53"/>
      <x:c r="W1352" s="53"/>
      <x:c r="X1352" s="53"/>
      <x:c r="Y1352" s="53"/>
      <x:c r="Z1352" s="53"/>
      <x:c r="AA1352" s="53"/>
      <x:c r="AB1352" s="53"/>
      <x:c r="AC1352" s="53"/>
      <x:c r="AD1352" s="53"/>
      <x:c r="AE1352" s="53"/>
      <x:c r="AF1352" s="53"/>
    </x:row>
    <x:row r="1353">
      <x:c r="A1353" s="53"/>
      <x:c r="B1353" s="53"/>
      <x:c r="C1353" s="53"/>
      <x:c r="D1353" s="53"/>
      <x:c r="E1353" s="53"/>
      <x:c r="F1353" s="53"/>
      <x:c r="G1353" s="53"/>
      <x:c r="H1353" s="53"/>
      <x:c r="I1353" s="53"/>
      <x:c r="J1353" s="53"/>
      <x:c r="K1353" s="53"/>
      <x:c r="L1353" s="53"/>
      <x:c r="M1353" s="53"/>
      <x:c r="N1353" s="53"/>
      <x:c r="O1353" s="53"/>
      <x:c r="P1353" s="53"/>
      <x:c r="Q1353" s="53"/>
      <x:c r="R1353" s="53"/>
      <x:c r="S1353" s="53"/>
      <x:c r="T1353" s="53"/>
      <x:c r="U1353" s="53"/>
      <x:c r="V1353" s="53"/>
      <x:c r="W1353" s="53"/>
      <x:c r="X1353" s="53"/>
      <x:c r="Y1353" s="53"/>
      <x:c r="Z1353" s="53"/>
      <x:c r="AA1353" s="53"/>
      <x:c r="AB1353" s="53"/>
      <x:c r="AC1353" s="53"/>
      <x:c r="AD1353" s="53"/>
      <x:c r="AE1353" s="53"/>
      <x:c r="AF1353" s="53"/>
    </x:row>
    <x:row r="1354">
      <x:c r="A1354" s="53"/>
      <x:c r="B1354" s="53"/>
      <x:c r="C1354" s="53"/>
      <x:c r="D1354" s="53"/>
      <x:c r="E1354" s="53"/>
      <x:c r="F1354" s="53"/>
      <x:c r="G1354" s="53"/>
      <x:c r="H1354" s="53"/>
      <x:c r="I1354" s="53"/>
      <x:c r="J1354" s="53"/>
      <x:c r="K1354" s="53"/>
      <x:c r="L1354" s="53"/>
      <x:c r="M1354" s="53"/>
      <x:c r="N1354" s="53"/>
      <x:c r="O1354" s="53"/>
      <x:c r="P1354" s="53"/>
      <x:c r="Q1354" s="53"/>
      <x:c r="R1354" s="53"/>
      <x:c r="S1354" s="53"/>
      <x:c r="T1354" s="53"/>
      <x:c r="U1354" s="53"/>
      <x:c r="V1354" s="53"/>
      <x:c r="W1354" s="53"/>
      <x:c r="X1354" s="53"/>
      <x:c r="Y1354" s="53"/>
      <x:c r="Z1354" s="53"/>
      <x:c r="AA1354" s="53"/>
      <x:c r="AB1354" s="53"/>
      <x:c r="AC1354" s="53"/>
      <x:c r="AD1354" s="53"/>
      <x:c r="AE1354" s="53"/>
      <x:c r="AF1354" s="53"/>
    </x:row>
    <x:row r="1355">
      <x:c r="A1355" s="53"/>
      <x:c r="B1355" s="53"/>
      <x:c r="C1355" s="53"/>
      <x:c r="D1355" s="53"/>
      <x:c r="E1355" s="53"/>
      <x:c r="F1355" s="53"/>
      <x:c r="G1355" s="53"/>
      <x:c r="H1355" s="53"/>
      <x:c r="I1355" s="53"/>
      <x:c r="J1355" s="53"/>
      <x:c r="K1355" s="53"/>
      <x:c r="L1355" s="53"/>
      <x:c r="M1355" s="53"/>
      <x:c r="N1355" s="53"/>
      <x:c r="O1355" s="53"/>
      <x:c r="P1355" s="53"/>
      <x:c r="Q1355" s="53"/>
      <x:c r="R1355" s="53"/>
      <x:c r="S1355" s="53"/>
      <x:c r="T1355" s="53"/>
      <x:c r="U1355" s="53"/>
      <x:c r="V1355" s="53"/>
      <x:c r="W1355" s="53"/>
      <x:c r="X1355" s="53"/>
      <x:c r="Y1355" s="53"/>
      <x:c r="Z1355" s="53"/>
      <x:c r="AA1355" s="53"/>
      <x:c r="AB1355" s="53"/>
      <x:c r="AC1355" s="53"/>
      <x:c r="AD1355" s="53"/>
      <x:c r="AE1355" s="53"/>
      <x:c r="AF1355" s="53"/>
    </x:row>
    <x:row r="1356">
      <x:c r="A1356" s="53"/>
      <x:c r="B1356" s="53"/>
      <x:c r="C1356" s="53"/>
      <x:c r="D1356" s="53"/>
      <x:c r="E1356" s="53"/>
      <x:c r="F1356" s="53"/>
      <x:c r="G1356" s="53"/>
      <x:c r="H1356" s="53"/>
      <x:c r="I1356" s="53"/>
      <x:c r="J1356" s="53"/>
      <x:c r="K1356" s="53"/>
      <x:c r="L1356" s="53"/>
      <x:c r="M1356" s="53"/>
      <x:c r="N1356" s="53"/>
      <x:c r="O1356" s="53"/>
      <x:c r="P1356" s="53"/>
      <x:c r="Q1356" s="53"/>
      <x:c r="R1356" s="53"/>
      <x:c r="S1356" s="53"/>
      <x:c r="T1356" s="53"/>
      <x:c r="U1356" s="53"/>
      <x:c r="V1356" s="53"/>
      <x:c r="W1356" s="53"/>
      <x:c r="X1356" s="53"/>
      <x:c r="Y1356" s="53"/>
      <x:c r="Z1356" s="53"/>
      <x:c r="AA1356" s="53"/>
      <x:c r="AB1356" s="53"/>
      <x:c r="AC1356" s="53"/>
      <x:c r="AD1356" s="53"/>
      <x:c r="AE1356" s="53"/>
      <x:c r="AF1356" s="53"/>
    </x:row>
    <x:row r="1357">
      <x:c r="A1357" s="53"/>
      <x:c r="B1357" s="53"/>
      <x:c r="C1357" s="53"/>
      <x:c r="D1357" s="53"/>
      <x:c r="E1357" s="53"/>
      <x:c r="F1357" s="53"/>
      <x:c r="G1357" s="53"/>
      <x:c r="H1357" s="53"/>
      <x:c r="I1357" s="53"/>
      <x:c r="J1357" s="53"/>
      <x:c r="K1357" s="53"/>
      <x:c r="L1357" s="53"/>
      <x:c r="M1357" s="53"/>
      <x:c r="N1357" s="53"/>
      <x:c r="O1357" s="53"/>
      <x:c r="P1357" s="53"/>
      <x:c r="Q1357" s="53"/>
      <x:c r="R1357" s="53"/>
      <x:c r="S1357" s="53"/>
      <x:c r="T1357" s="53"/>
      <x:c r="U1357" s="53"/>
      <x:c r="V1357" s="53"/>
      <x:c r="W1357" s="53"/>
      <x:c r="X1357" s="53"/>
      <x:c r="Y1357" s="53"/>
      <x:c r="Z1357" s="53"/>
      <x:c r="AA1357" s="53"/>
      <x:c r="AB1357" s="53"/>
      <x:c r="AC1357" s="53"/>
      <x:c r="AD1357" s="53"/>
      <x:c r="AE1357" s="53"/>
      <x:c r="AF1357" s="53"/>
    </x:row>
    <x:row r="1358">
      <x:c r="A1358" s="53"/>
      <x:c r="B1358" s="53"/>
      <x:c r="C1358" s="53"/>
      <x:c r="D1358" s="53"/>
      <x:c r="E1358" s="53"/>
      <x:c r="F1358" s="53"/>
      <x:c r="G1358" s="53"/>
      <x:c r="H1358" s="53"/>
      <x:c r="I1358" s="53"/>
      <x:c r="J1358" s="53"/>
      <x:c r="K1358" s="53"/>
      <x:c r="L1358" s="53"/>
      <x:c r="M1358" s="53"/>
      <x:c r="N1358" s="53"/>
      <x:c r="O1358" s="53"/>
      <x:c r="P1358" s="53"/>
      <x:c r="Q1358" s="53"/>
      <x:c r="R1358" s="53"/>
      <x:c r="S1358" s="53"/>
      <x:c r="T1358" s="53"/>
      <x:c r="U1358" s="53"/>
      <x:c r="V1358" s="53"/>
      <x:c r="W1358" s="53"/>
      <x:c r="X1358" s="53"/>
      <x:c r="Y1358" s="53"/>
      <x:c r="Z1358" s="53"/>
      <x:c r="AA1358" s="53"/>
      <x:c r="AB1358" s="53"/>
      <x:c r="AC1358" s="53"/>
      <x:c r="AD1358" s="53"/>
      <x:c r="AE1358" s="53"/>
      <x:c r="AF1358" s="53"/>
    </x:row>
    <x:row r="1359">
      <x:c r="A1359" s="53"/>
      <x:c r="B1359" s="53"/>
      <x:c r="C1359" s="53"/>
      <x:c r="D1359" s="53"/>
      <x:c r="E1359" s="53"/>
      <x:c r="F1359" s="53"/>
      <x:c r="G1359" s="53"/>
      <x:c r="H1359" s="53"/>
      <x:c r="I1359" s="53"/>
      <x:c r="J1359" s="53"/>
      <x:c r="K1359" s="53"/>
      <x:c r="L1359" s="53"/>
      <x:c r="M1359" s="53"/>
      <x:c r="N1359" s="53"/>
      <x:c r="O1359" s="53"/>
      <x:c r="P1359" s="53"/>
      <x:c r="Q1359" s="53"/>
      <x:c r="R1359" s="53"/>
      <x:c r="S1359" s="53"/>
      <x:c r="T1359" s="53"/>
      <x:c r="U1359" s="53"/>
      <x:c r="V1359" s="53"/>
      <x:c r="W1359" s="53"/>
      <x:c r="X1359" s="53"/>
      <x:c r="Y1359" s="53"/>
      <x:c r="Z1359" s="53"/>
      <x:c r="AA1359" s="53"/>
      <x:c r="AB1359" s="53"/>
      <x:c r="AC1359" s="53"/>
      <x:c r="AD1359" s="53"/>
      <x:c r="AE1359" s="53"/>
      <x:c r="AF1359" s="53"/>
    </x:row>
    <x:row r="1360">
      <x:c r="A1360" s="53"/>
      <x:c r="B1360" s="53"/>
      <x:c r="C1360" s="53"/>
      <x:c r="D1360" s="53"/>
      <x:c r="E1360" s="53"/>
      <x:c r="F1360" s="53"/>
      <x:c r="G1360" s="53"/>
      <x:c r="H1360" s="53"/>
      <x:c r="I1360" s="53"/>
      <x:c r="J1360" s="53"/>
      <x:c r="K1360" s="53"/>
      <x:c r="L1360" s="53"/>
      <x:c r="M1360" s="53"/>
      <x:c r="N1360" s="53"/>
      <x:c r="O1360" s="53"/>
      <x:c r="P1360" s="53"/>
      <x:c r="Q1360" s="53"/>
      <x:c r="R1360" s="53"/>
      <x:c r="S1360" s="53"/>
      <x:c r="T1360" s="53"/>
      <x:c r="U1360" s="53"/>
      <x:c r="V1360" s="53"/>
      <x:c r="W1360" s="53"/>
      <x:c r="X1360" s="53"/>
      <x:c r="Y1360" s="53"/>
      <x:c r="Z1360" s="53"/>
      <x:c r="AA1360" s="53"/>
      <x:c r="AB1360" s="53"/>
      <x:c r="AC1360" s="53"/>
      <x:c r="AD1360" s="53"/>
      <x:c r="AE1360" s="53"/>
      <x:c r="AF1360" s="53"/>
    </x:row>
    <x:row r="1361">
      <x:c r="A1361" s="53"/>
      <x:c r="B1361" s="53"/>
      <x:c r="C1361" s="53"/>
      <x:c r="D1361" s="53"/>
      <x:c r="E1361" s="53"/>
      <x:c r="F1361" s="53"/>
      <x:c r="G1361" s="53"/>
      <x:c r="H1361" s="53"/>
      <x:c r="I1361" s="53"/>
      <x:c r="J1361" s="53"/>
      <x:c r="K1361" s="53"/>
      <x:c r="L1361" s="53"/>
      <x:c r="M1361" s="53"/>
      <x:c r="N1361" s="53"/>
      <x:c r="O1361" s="53"/>
      <x:c r="P1361" s="53"/>
      <x:c r="Q1361" s="53"/>
      <x:c r="R1361" s="53"/>
      <x:c r="S1361" s="53"/>
      <x:c r="T1361" s="53"/>
      <x:c r="U1361" s="53"/>
      <x:c r="V1361" s="53"/>
      <x:c r="W1361" s="53"/>
      <x:c r="X1361" s="53"/>
      <x:c r="Y1361" s="53"/>
      <x:c r="Z1361" s="53"/>
      <x:c r="AA1361" s="53"/>
      <x:c r="AB1361" s="53"/>
      <x:c r="AC1361" s="53"/>
      <x:c r="AD1361" s="53"/>
      <x:c r="AE1361" s="53"/>
      <x:c r="AF1361" s="53"/>
    </x:row>
    <x:row r="1362">
      <x:c r="A1362" s="53"/>
      <x:c r="B1362" s="53"/>
      <x:c r="C1362" s="53"/>
      <x:c r="D1362" s="53"/>
      <x:c r="E1362" s="53"/>
      <x:c r="F1362" s="53"/>
      <x:c r="G1362" s="53"/>
      <x:c r="H1362" s="53"/>
      <x:c r="I1362" s="53"/>
      <x:c r="J1362" s="53"/>
      <x:c r="K1362" s="53"/>
      <x:c r="L1362" s="53"/>
      <x:c r="M1362" s="53"/>
      <x:c r="N1362" s="53"/>
      <x:c r="O1362" s="53"/>
      <x:c r="P1362" s="53"/>
      <x:c r="Q1362" s="53"/>
      <x:c r="R1362" s="53"/>
      <x:c r="S1362" s="53"/>
      <x:c r="T1362" s="53"/>
      <x:c r="U1362" s="53"/>
      <x:c r="V1362" s="53"/>
      <x:c r="W1362" s="53"/>
      <x:c r="X1362" s="53"/>
      <x:c r="Y1362" s="53"/>
      <x:c r="Z1362" s="53"/>
      <x:c r="AA1362" s="53"/>
      <x:c r="AB1362" s="53"/>
      <x:c r="AC1362" s="53"/>
      <x:c r="AD1362" s="53"/>
      <x:c r="AE1362" s="53"/>
      <x:c r="AF1362" s="53"/>
    </x:row>
    <x:row r="1363">
      <x:c r="A1363" s="53"/>
      <x:c r="B1363" s="53"/>
      <x:c r="C1363" s="53"/>
      <x:c r="D1363" s="53"/>
      <x:c r="E1363" s="53"/>
      <x:c r="F1363" s="53"/>
      <x:c r="G1363" s="53"/>
      <x:c r="H1363" s="53"/>
      <x:c r="I1363" s="53"/>
      <x:c r="J1363" s="53"/>
      <x:c r="K1363" s="53"/>
      <x:c r="L1363" s="53"/>
      <x:c r="M1363" s="53"/>
      <x:c r="N1363" s="53"/>
      <x:c r="O1363" s="53"/>
      <x:c r="P1363" s="53"/>
      <x:c r="Q1363" s="53"/>
      <x:c r="R1363" s="53"/>
      <x:c r="S1363" s="53"/>
      <x:c r="T1363" s="53"/>
      <x:c r="U1363" s="53"/>
      <x:c r="V1363" s="53"/>
      <x:c r="W1363" s="53"/>
      <x:c r="X1363" s="53"/>
      <x:c r="Y1363" s="53"/>
      <x:c r="Z1363" s="53"/>
      <x:c r="AA1363" s="53"/>
      <x:c r="AB1363" s="53"/>
      <x:c r="AC1363" s="53"/>
      <x:c r="AD1363" s="53"/>
      <x:c r="AE1363" s="53"/>
      <x:c r="AF1363" s="53"/>
    </x:row>
    <x:row r="1364">
      <x:c r="A1364" s="53"/>
      <x:c r="B1364" s="53"/>
      <x:c r="C1364" s="53"/>
      <x:c r="D1364" s="53"/>
      <x:c r="E1364" s="53"/>
      <x:c r="F1364" s="53"/>
      <x:c r="G1364" s="53"/>
      <x:c r="H1364" s="53"/>
      <x:c r="I1364" s="53"/>
      <x:c r="J1364" s="53"/>
      <x:c r="K1364" s="53"/>
      <x:c r="L1364" s="53"/>
      <x:c r="M1364" s="53"/>
      <x:c r="N1364" s="53"/>
      <x:c r="O1364" s="53"/>
      <x:c r="P1364" s="53"/>
      <x:c r="Q1364" s="53"/>
      <x:c r="R1364" s="53"/>
      <x:c r="S1364" s="53"/>
      <x:c r="T1364" s="53"/>
      <x:c r="U1364" s="53"/>
      <x:c r="V1364" s="53"/>
      <x:c r="W1364" s="53"/>
      <x:c r="X1364" s="53"/>
      <x:c r="Y1364" s="53"/>
      <x:c r="Z1364" s="53"/>
      <x:c r="AA1364" s="53"/>
      <x:c r="AB1364" s="53"/>
      <x:c r="AC1364" s="53"/>
      <x:c r="AD1364" s="53"/>
      <x:c r="AE1364" s="53"/>
      <x:c r="AF1364" s="53"/>
    </x:row>
    <x:row r="1365">
      <x:c r="A1365" s="53"/>
      <x:c r="B1365" s="53"/>
      <x:c r="C1365" s="53"/>
      <x:c r="D1365" s="53"/>
      <x:c r="E1365" s="53"/>
      <x:c r="F1365" s="53"/>
      <x:c r="G1365" s="53"/>
      <x:c r="H1365" s="53"/>
      <x:c r="I1365" s="53"/>
      <x:c r="J1365" s="53"/>
      <x:c r="K1365" s="53"/>
      <x:c r="L1365" s="53"/>
      <x:c r="M1365" s="53"/>
      <x:c r="N1365" s="53"/>
      <x:c r="O1365" s="53"/>
      <x:c r="P1365" s="53"/>
      <x:c r="Q1365" s="53"/>
      <x:c r="R1365" s="53"/>
      <x:c r="S1365" s="53"/>
      <x:c r="T1365" s="53"/>
      <x:c r="U1365" s="53"/>
      <x:c r="V1365" s="53"/>
      <x:c r="W1365" s="53"/>
      <x:c r="X1365" s="53"/>
      <x:c r="Y1365" s="53"/>
      <x:c r="Z1365" s="53"/>
      <x:c r="AA1365" s="53"/>
      <x:c r="AB1365" s="53"/>
      <x:c r="AC1365" s="53"/>
      <x:c r="AD1365" s="53"/>
      <x:c r="AE1365" s="53"/>
      <x:c r="AF1365" s="53"/>
    </x:row>
    <x:row r="1366">
      <x:c r="A1366" s="53"/>
      <x:c r="B1366" s="53"/>
      <x:c r="C1366" s="53"/>
      <x:c r="D1366" s="53"/>
      <x:c r="E1366" s="53"/>
      <x:c r="F1366" s="53"/>
      <x:c r="G1366" s="53"/>
      <x:c r="H1366" s="53"/>
      <x:c r="I1366" s="53"/>
      <x:c r="J1366" s="53"/>
      <x:c r="K1366" s="53"/>
      <x:c r="L1366" s="53"/>
      <x:c r="M1366" s="53"/>
      <x:c r="N1366" s="53"/>
      <x:c r="O1366" s="53"/>
      <x:c r="P1366" s="53"/>
      <x:c r="Q1366" s="53"/>
      <x:c r="R1366" s="53"/>
      <x:c r="S1366" s="53"/>
      <x:c r="T1366" s="53"/>
      <x:c r="U1366" s="53"/>
      <x:c r="V1366" s="53"/>
      <x:c r="W1366" s="53"/>
      <x:c r="X1366" s="53"/>
      <x:c r="Y1366" s="53"/>
      <x:c r="Z1366" s="53"/>
      <x:c r="AA1366" s="53"/>
      <x:c r="AB1366" s="53"/>
      <x:c r="AC1366" s="53"/>
      <x:c r="AD1366" s="53"/>
      <x:c r="AE1366" s="53"/>
      <x:c r="AF1366" s="53"/>
    </x:row>
    <x:row r="1367">
      <x:c r="A1367" s="53"/>
      <x:c r="B1367" s="53"/>
      <x:c r="C1367" s="53"/>
      <x:c r="D1367" s="53"/>
      <x:c r="E1367" s="53"/>
      <x:c r="F1367" s="53"/>
      <x:c r="G1367" s="53"/>
      <x:c r="H1367" s="53"/>
      <x:c r="I1367" s="53"/>
      <x:c r="J1367" s="53"/>
      <x:c r="K1367" s="53"/>
      <x:c r="L1367" s="53"/>
      <x:c r="M1367" s="53"/>
      <x:c r="N1367" s="53"/>
      <x:c r="O1367" s="53"/>
      <x:c r="P1367" s="53"/>
      <x:c r="Q1367" s="53"/>
      <x:c r="R1367" s="53"/>
      <x:c r="S1367" s="53"/>
      <x:c r="T1367" s="53"/>
      <x:c r="U1367" s="53"/>
      <x:c r="V1367" s="53"/>
      <x:c r="W1367" s="53"/>
      <x:c r="X1367" s="53"/>
      <x:c r="Y1367" s="53"/>
      <x:c r="Z1367" s="53"/>
      <x:c r="AA1367" s="53"/>
      <x:c r="AB1367" s="53"/>
      <x:c r="AC1367" s="53"/>
      <x:c r="AD1367" s="53"/>
      <x:c r="AE1367" s="53"/>
      <x:c r="AF1367" s="53"/>
    </x:row>
    <x:row r="1368">
      <x:c r="A1368" s="53"/>
      <x:c r="B1368" s="53"/>
      <x:c r="C1368" s="53"/>
      <x:c r="D1368" s="53"/>
      <x:c r="E1368" s="53"/>
      <x:c r="F1368" s="53"/>
      <x:c r="G1368" s="53"/>
      <x:c r="H1368" s="53"/>
      <x:c r="I1368" s="53"/>
      <x:c r="J1368" s="53"/>
      <x:c r="K1368" s="53"/>
      <x:c r="L1368" s="53"/>
      <x:c r="M1368" s="53"/>
      <x:c r="N1368" s="53"/>
      <x:c r="O1368" s="53"/>
      <x:c r="P1368" s="53"/>
      <x:c r="Q1368" s="53"/>
      <x:c r="R1368" s="53"/>
      <x:c r="S1368" s="53"/>
      <x:c r="T1368" s="53"/>
      <x:c r="U1368" s="53"/>
      <x:c r="V1368" s="53"/>
      <x:c r="W1368" s="53"/>
      <x:c r="X1368" s="53"/>
      <x:c r="Y1368" s="53"/>
      <x:c r="Z1368" s="53"/>
      <x:c r="AA1368" s="53"/>
      <x:c r="AB1368" s="53"/>
      <x:c r="AC1368" s="53"/>
      <x:c r="AD1368" s="53"/>
      <x:c r="AE1368" s="53"/>
      <x:c r="AF1368" s="53"/>
    </x:row>
    <x:row r="1369">
      <x:c r="A1369" s="53"/>
      <x:c r="B1369" s="53"/>
      <x:c r="C1369" s="53"/>
      <x:c r="D1369" s="53"/>
      <x:c r="E1369" s="53"/>
      <x:c r="F1369" s="53"/>
      <x:c r="G1369" s="53"/>
      <x:c r="H1369" s="53"/>
      <x:c r="I1369" s="53"/>
      <x:c r="J1369" s="53"/>
      <x:c r="K1369" s="53"/>
      <x:c r="L1369" s="53"/>
      <x:c r="M1369" s="53"/>
      <x:c r="N1369" s="53"/>
      <x:c r="O1369" s="53"/>
      <x:c r="P1369" s="53"/>
      <x:c r="Q1369" s="53"/>
      <x:c r="R1369" s="53"/>
      <x:c r="S1369" s="53"/>
      <x:c r="T1369" s="53"/>
      <x:c r="U1369" s="53"/>
      <x:c r="V1369" s="53"/>
      <x:c r="W1369" s="53"/>
      <x:c r="X1369" s="53"/>
      <x:c r="Y1369" s="53"/>
      <x:c r="Z1369" s="53"/>
      <x:c r="AA1369" s="53"/>
      <x:c r="AB1369" s="53"/>
      <x:c r="AC1369" s="53"/>
      <x:c r="AD1369" s="53"/>
      <x:c r="AE1369" s="53"/>
      <x:c r="AF1369" s="53"/>
    </x:row>
    <x:row r="1370">
      <x:c r="A1370" s="53"/>
      <x:c r="B1370" s="53"/>
      <x:c r="C1370" s="53"/>
      <x:c r="D1370" s="53"/>
      <x:c r="E1370" s="53"/>
      <x:c r="F1370" s="53"/>
      <x:c r="G1370" s="53"/>
      <x:c r="H1370" s="53"/>
      <x:c r="I1370" s="53"/>
      <x:c r="J1370" s="53"/>
      <x:c r="K1370" s="53"/>
      <x:c r="L1370" s="53"/>
      <x:c r="M1370" s="53"/>
      <x:c r="N1370" s="53"/>
      <x:c r="O1370" s="53"/>
      <x:c r="P1370" s="53"/>
      <x:c r="Q1370" s="53"/>
      <x:c r="R1370" s="53"/>
      <x:c r="S1370" s="53"/>
      <x:c r="T1370" s="53"/>
      <x:c r="U1370" s="53"/>
      <x:c r="V1370" s="53"/>
      <x:c r="W1370" s="53"/>
      <x:c r="X1370" s="53"/>
      <x:c r="Y1370" s="53"/>
      <x:c r="Z1370" s="53"/>
      <x:c r="AA1370" s="53"/>
      <x:c r="AB1370" s="53"/>
      <x:c r="AC1370" s="53"/>
      <x:c r="AD1370" s="53"/>
      <x:c r="AE1370" s="53"/>
      <x:c r="AF1370" s="53"/>
    </x:row>
    <x:row r="1371">
      <x:c r="A1371" s="53"/>
      <x:c r="B1371" s="53"/>
      <x:c r="C1371" s="53"/>
      <x:c r="D1371" s="53"/>
      <x:c r="E1371" s="53"/>
      <x:c r="F1371" s="53"/>
      <x:c r="G1371" s="53"/>
      <x:c r="H1371" s="53"/>
      <x:c r="I1371" s="53"/>
      <x:c r="J1371" s="53"/>
      <x:c r="K1371" s="53"/>
      <x:c r="L1371" s="53"/>
      <x:c r="M1371" s="53"/>
      <x:c r="N1371" s="53"/>
      <x:c r="O1371" s="53"/>
      <x:c r="P1371" s="53"/>
      <x:c r="Q1371" s="53"/>
      <x:c r="R1371" s="53"/>
      <x:c r="S1371" s="53"/>
      <x:c r="T1371" s="53"/>
      <x:c r="U1371" s="53"/>
      <x:c r="V1371" s="53"/>
      <x:c r="W1371" s="53"/>
      <x:c r="X1371" s="53"/>
      <x:c r="Y1371" s="53"/>
      <x:c r="Z1371" s="53"/>
      <x:c r="AA1371" s="53"/>
      <x:c r="AB1371" s="53"/>
      <x:c r="AC1371" s="53"/>
      <x:c r="AD1371" s="53"/>
      <x:c r="AE1371" s="53"/>
      <x:c r="AF1371" s="53"/>
    </x:row>
    <x:row r="1372">
      <x:c r="A1372" s="53"/>
      <x:c r="B1372" s="53"/>
      <x:c r="C1372" s="53"/>
      <x:c r="D1372" s="53"/>
      <x:c r="E1372" s="53"/>
      <x:c r="F1372" s="53"/>
      <x:c r="G1372" s="53"/>
      <x:c r="H1372" s="53"/>
      <x:c r="I1372" s="53"/>
      <x:c r="J1372" s="53"/>
      <x:c r="K1372" s="53"/>
      <x:c r="L1372" s="53"/>
      <x:c r="M1372" s="53"/>
      <x:c r="N1372" s="53"/>
      <x:c r="O1372" s="53"/>
      <x:c r="P1372" s="53"/>
      <x:c r="Q1372" s="53"/>
      <x:c r="R1372" s="53"/>
      <x:c r="S1372" s="53"/>
      <x:c r="T1372" s="53"/>
      <x:c r="U1372" s="53"/>
      <x:c r="V1372" s="53"/>
      <x:c r="W1372" s="53"/>
      <x:c r="X1372" s="53"/>
      <x:c r="Y1372" s="53"/>
      <x:c r="Z1372" s="53"/>
      <x:c r="AA1372" s="53"/>
      <x:c r="AB1372" s="53"/>
      <x:c r="AC1372" s="53"/>
      <x:c r="AD1372" s="53"/>
      <x:c r="AE1372" s="53"/>
      <x:c r="AF1372" s="53"/>
    </x:row>
    <x:row r="1373">
      <x:c r="A1373" s="53"/>
      <x:c r="B1373" s="53"/>
      <x:c r="C1373" s="53"/>
      <x:c r="D1373" s="53"/>
      <x:c r="E1373" s="53"/>
      <x:c r="F1373" s="53"/>
      <x:c r="G1373" s="53"/>
      <x:c r="H1373" s="53"/>
      <x:c r="I1373" s="53"/>
      <x:c r="J1373" s="53"/>
      <x:c r="K1373" s="53"/>
      <x:c r="L1373" s="53"/>
      <x:c r="M1373" s="53"/>
      <x:c r="N1373" s="53"/>
      <x:c r="O1373" s="53"/>
      <x:c r="P1373" s="53"/>
      <x:c r="Q1373" s="53"/>
      <x:c r="R1373" s="53"/>
      <x:c r="S1373" s="53"/>
      <x:c r="T1373" s="53"/>
      <x:c r="U1373" s="53"/>
      <x:c r="V1373" s="53"/>
      <x:c r="W1373" s="53"/>
      <x:c r="X1373" s="53"/>
      <x:c r="Y1373" s="53"/>
      <x:c r="Z1373" s="53"/>
      <x:c r="AA1373" s="53"/>
      <x:c r="AB1373" s="53"/>
      <x:c r="AC1373" s="53"/>
      <x:c r="AD1373" s="53"/>
      <x:c r="AE1373" s="53"/>
      <x:c r="AF1373" s="53"/>
    </x:row>
    <x:row r="1374">
      <x:c r="A1374" s="53"/>
      <x:c r="B1374" s="53"/>
      <x:c r="C1374" s="53"/>
      <x:c r="D1374" s="53"/>
      <x:c r="E1374" s="53"/>
      <x:c r="F1374" s="53"/>
      <x:c r="G1374" s="53"/>
      <x:c r="H1374" s="53"/>
      <x:c r="I1374" s="53"/>
      <x:c r="J1374" s="53"/>
      <x:c r="K1374" s="53"/>
      <x:c r="L1374" s="53"/>
      <x:c r="M1374" s="53"/>
      <x:c r="N1374" s="53"/>
      <x:c r="O1374" s="53"/>
      <x:c r="P1374" s="53"/>
      <x:c r="Q1374" s="53"/>
      <x:c r="R1374" s="53"/>
      <x:c r="S1374" s="53"/>
      <x:c r="T1374" s="53"/>
      <x:c r="U1374" s="53"/>
      <x:c r="V1374" s="53"/>
      <x:c r="W1374" s="53"/>
      <x:c r="X1374" s="53"/>
      <x:c r="Y1374" s="53"/>
      <x:c r="Z1374" s="53"/>
      <x:c r="AA1374" s="53"/>
      <x:c r="AB1374" s="53"/>
      <x:c r="AC1374" s="53"/>
      <x:c r="AD1374" s="53"/>
      <x:c r="AE1374" s="53"/>
      <x:c r="AF1374" s="53"/>
    </x:row>
    <x:row r="1375">
      <x:c r="A1375" s="53"/>
      <x:c r="B1375" s="53"/>
      <x:c r="C1375" s="53"/>
      <x:c r="D1375" s="53"/>
      <x:c r="E1375" s="53"/>
      <x:c r="F1375" s="53"/>
      <x:c r="G1375" s="53"/>
      <x:c r="H1375" s="53"/>
      <x:c r="I1375" s="53"/>
      <x:c r="J1375" s="53"/>
      <x:c r="K1375" s="53"/>
      <x:c r="L1375" s="53"/>
      <x:c r="M1375" s="53"/>
      <x:c r="N1375" s="53"/>
      <x:c r="O1375" s="53"/>
      <x:c r="P1375" s="53"/>
      <x:c r="Q1375" s="53"/>
      <x:c r="R1375" s="53"/>
      <x:c r="S1375" s="53"/>
      <x:c r="T1375" s="53"/>
      <x:c r="U1375" s="53"/>
      <x:c r="V1375" s="53"/>
      <x:c r="W1375" s="53"/>
      <x:c r="X1375" s="53"/>
      <x:c r="Y1375" s="53"/>
      <x:c r="Z1375" s="53"/>
      <x:c r="AA1375" s="53"/>
      <x:c r="AB1375" s="53"/>
      <x:c r="AC1375" s="53"/>
      <x:c r="AD1375" s="53"/>
      <x:c r="AE1375" s="53"/>
      <x:c r="AF1375" s="53"/>
    </x:row>
    <x:row r="1376">
      <x:c r="A1376" s="53"/>
      <x:c r="B1376" s="53"/>
      <x:c r="C1376" s="53"/>
      <x:c r="D1376" s="53"/>
      <x:c r="E1376" s="53"/>
      <x:c r="F1376" s="53"/>
      <x:c r="G1376" s="53"/>
      <x:c r="H1376" s="53"/>
      <x:c r="I1376" s="53"/>
      <x:c r="J1376" s="53"/>
      <x:c r="K1376" s="53"/>
      <x:c r="L1376" s="53"/>
      <x:c r="M1376" s="53"/>
      <x:c r="N1376" s="53"/>
      <x:c r="O1376" s="53"/>
      <x:c r="P1376" s="53"/>
      <x:c r="Q1376" s="53"/>
      <x:c r="R1376" s="53"/>
      <x:c r="S1376" s="53"/>
      <x:c r="T1376" s="53"/>
      <x:c r="U1376" s="53"/>
      <x:c r="V1376" s="53"/>
      <x:c r="W1376" s="53"/>
      <x:c r="X1376" s="53"/>
      <x:c r="Y1376" s="53"/>
      <x:c r="Z1376" s="53"/>
      <x:c r="AA1376" s="53"/>
      <x:c r="AB1376" s="53"/>
      <x:c r="AC1376" s="53"/>
      <x:c r="AD1376" s="53"/>
      <x:c r="AE1376" s="53"/>
      <x:c r="AF1376" s="53"/>
    </x:row>
    <x:row r="1377">
      <x:c r="A1377" s="53"/>
      <x:c r="B1377" s="53"/>
      <x:c r="C1377" s="53"/>
      <x:c r="D1377" s="53"/>
      <x:c r="E1377" s="53"/>
      <x:c r="F1377" s="53"/>
      <x:c r="G1377" s="53"/>
      <x:c r="H1377" s="53"/>
      <x:c r="I1377" s="53"/>
      <x:c r="J1377" s="53"/>
      <x:c r="K1377" s="53"/>
      <x:c r="L1377" s="53"/>
      <x:c r="M1377" s="53"/>
      <x:c r="N1377" s="53"/>
      <x:c r="O1377" s="53"/>
      <x:c r="P1377" s="53"/>
      <x:c r="Q1377" s="53"/>
      <x:c r="R1377" s="53"/>
      <x:c r="S1377" s="53"/>
      <x:c r="T1377" s="53"/>
      <x:c r="U1377" s="53"/>
      <x:c r="V1377" s="53"/>
      <x:c r="W1377" s="53"/>
      <x:c r="X1377" s="53"/>
      <x:c r="Y1377" s="53"/>
      <x:c r="Z1377" s="53"/>
      <x:c r="AA1377" s="53"/>
      <x:c r="AB1377" s="53"/>
      <x:c r="AC1377" s="53"/>
      <x:c r="AD1377" s="53"/>
      <x:c r="AE1377" s="53"/>
      <x:c r="AF1377" s="53"/>
    </x:row>
    <x:row r="1378">
      <x:c r="A1378" s="53"/>
      <x:c r="B1378" s="53"/>
      <x:c r="C1378" s="53"/>
      <x:c r="D1378" s="53"/>
      <x:c r="E1378" s="53"/>
      <x:c r="F1378" s="53"/>
      <x:c r="G1378" s="53"/>
      <x:c r="H1378" s="53"/>
      <x:c r="I1378" s="53"/>
      <x:c r="J1378" s="53"/>
      <x:c r="K1378" s="53"/>
      <x:c r="L1378" s="53"/>
      <x:c r="M1378" s="53"/>
      <x:c r="N1378" s="53"/>
      <x:c r="O1378" s="53"/>
      <x:c r="P1378" s="53"/>
      <x:c r="Q1378" s="53"/>
      <x:c r="R1378" s="53"/>
      <x:c r="S1378" s="53"/>
      <x:c r="T1378" s="53"/>
      <x:c r="U1378" s="53"/>
      <x:c r="V1378" s="53"/>
      <x:c r="W1378" s="53"/>
      <x:c r="X1378" s="53"/>
      <x:c r="Y1378" s="53"/>
      <x:c r="Z1378" s="53"/>
      <x:c r="AA1378" s="53"/>
      <x:c r="AB1378" s="53"/>
      <x:c r="AC1378" s="53"/>
      <x:c r="AD1378" s="53"/>
      <x:c r="AE1378" s="53"/>
      <x:c r="AF1378" s="53"/>
    </x:row>
    <x:row r="1379">
      <x:c r="A1379" s="53"/>
      <x:c r="B1379" s="53"/>
      <x:c r="C1379" s="53"/>
      <x:c r="D1379" s="53"/>
      <x:c r="E1379" s="53"/>
      <x:c r="F1379" s="53"/>
      <x:c r="G1379" s="53"/>
      <x:c r="H1379" s="53"/>
      <x:c r="I1379" s="53"/>
      <x:c r="J1379" s="53"/>
      <x:c r="K1379" s="53"/>
      <x:c r="L1379" s="53"/>
      <x:c r="M1379" s="53"/>
      <x:c r="N1379" s="53"/>
      <x:c r="O1379" s="53"/>
      <x:c r="P1379" s="53"/>
      <x:c r="Q1379" s="53"/>
      <x:c r="R1379" s="53"/>
      <x:c r="S1379" s="53"/>
      <x:c r="T1379" s="53"/>
      <x:c r="U1379" s="53"/>
      <x:c r="V1379" s="53"/>
      <x:c r="W1379" s="53"/>
      <x:c r="X1379" s="53"/>
      <x:c r="Y1379" s="53"/>
      <x:c r="Z1379" s="53"/>
      <x:c r="AA1379" s="53"/>
      <x:c r="AB1379" s="53"/>
      <x:c r="AC1379" s="53"/>
      <x:c r="AD1379" s="53"/>
      <x:c r="AE1379" s="53"/>
      <x:c r="AF1379" s="53"/>
    </x:row>
    <x:row r="1380">
      <x:c r="A1380" s="53"/>
      <x:c r="B1380" s="53"/>
      <x:c r="C1380" s="53"/>
      <x:c r="D1380" s="53"/>
      <x:c r="E1380" s="53"/>
      <x:c r="F1380" s="53"/>
      <x:c r="G1380" s="53"/>
      <x:c r="H1380" s="53"/>
      <x:c r="I1380" s="53"/>
      <x:c r="J1380" s="53"/>
      <x:c r="K1380" s="53"/>
      <x:c r="L1380" s="53"/>
      <x:c r="M1380" s="53"/>
      <x:c r="N1380" s="53"/>
      <x:c r="O1380" s="53"/>
      <x:c r="P1380" s="53"/>
      <x:c r="Q1380" s="53"/>
      <x:c r="R1380" s="53"/>
      <x:c r="S1380" s="53"/>
      <x:c r="T1380" s="53"/>
      <x:c r="U1380" s="53"/>
      <x:c r="V1380" s="53"/>
      <x:c r="W1380" s="53"/>
      <x:c r="X1380" s="53"/>
      <x:c r="Y1380" s="53"/>
      <x:c r="Z1380" s="53"/>
      <x:c r="AA1380" s="53"/>
      <x:c r="AB1380" s="53"/>
      <x:c r="AC1380" s="53"/>
      <x:c r="AD1380" s="53"/>
      <x:c r="AE1380" s="53"/>
      <x:c r="AF1380" s="53"/>
    </x:row>
    <x:row r="1381">
      <x:c r="A1381" s="53"/>
      <x:c r="B1381" s="53"/>
      <x:c r="C1381" s="53"/>
      <x:c r="D1381" s="53"/>
      <x:c r="E1381" s="53"/>
      <x:c r="F1381" s="53"/>
      <x:c r="G1381" s="53"/>
      <x:c r="H1381" s="53"/>
      <x:c r="I1381" s="53"/>
      <x:c r="J1381" s="53"/>
      <x:c r="K1381" s="53"/>
      <x:c r="L1381" s="53"/>
      <x:c r="M1381" s="53"/>
      <x:c r="N1381" s="53"/>
      <x:c r="O1381" s="53"/>
      <x:c r="P1381" s="53"/>
      <x:c r="Q1381" s="53"/>
      <x:c r="R1381" s="53"/>
      <x:c r="S1381" s="53"/>
      <x:c r="T1381" s="53"/>
      <x:c r="U1381" s="53"/>
      <x:c r="V1381" s="53"/>
      <x:c r="W1381" s="53"/>
      <x:c r="X1381" s="53"/>
      <x:c r="Y1381" s="53"/>
      <x:c r="Z1381" s="53"/>
      <x:c r="AA1381" s="53"/>
      <x:c r="AB1381" s="53"/>
      <x:c r="AC1381" s="53"/>
      <x:c r="AD1381" s="53"/>
      <x:c r="AE1381" s="53"/>
      <x:c r="AF1381" s="53"/>
    </x:row>
    <x:row r="1382">
      <x:c r="A1382" s="53"/>
      <x:c r="B1382" s="53"/>
      <x:c r="C1382" s="53"/>
      <x:c r="D1382" s="53"/>
      <x:c r="E1382" s="53"/>
      <x:c r="F1382" s="53"/>
      <x:c r="G1382" s="53"/>
      <x:c r="H1382" s="53"/>
      <x:c r="I1382" s="53"/>
      <x:c r="J1382" s="53"/>
      <x:c r="K1382" s="53"/>
      <x:c r="L1382" s="53"/>
      <x:c r="M1382" s="53"/>
      <x:c r="N1382" s="53"/>
      <x:c r="O1382" s="53"/>
      <x:c r="P1382" s="53"/>
      <x:c r="Q1382" s="53"/>
      <x:c r="R1382" s="53"/>
      <x:c r="S1382" s="53"/>
      <x:c r="T1382" s="53"/>
      <x:c r="U1382" s="53"/>
      <x:c r="V1382" s="53"/>
      <x:c r="W1382" s="53"/>
      <x:c r="X1382" s="53"/>
      <x:c r="Y1382" s="53"/>
      <x:c r="Z1382" s="53"/>
      <x:c r="AA1382" s="53"/>
      <x:c r="AB1382" s="53"/>
      <x:c r="AC1382" s="53"/>
      <x:c r="AD1382" s="53"/>
      <x:c r="AE1382" s="53"/>
      <x:c r="AF1382" s="53"/>
    </x:row>
    <x:row r="1383">
      <x:c r="A1383" s="53"/>
      <x:c r="B1383" s="53"/>
      <x:c r="C1383" s="53"/>
      <x:c r="D1383" s="53"/>
      <x:c r="E1383" s="53"/>
      <x:c r="F1383" s="53"/>
      <x:c r="G1383" s="53"/>
      <x:c r="H1383" s="53"/>
      <x:c r="I1383" s="53"/>
      <x:c r="J1383" s="53"/>
      <x:c r="K1383" s="53"/>
      <x:c r="L1383" s="53"/>
      <x:c r="M1383" s="53"/>
      <x:c r="N1383" s="53"/>
      <x:c r="O1383" s="53"/>
      <x:c r="P1383" s="53"/>
      <x:c r="Q1383" s="53"/>
      <x:c r="R1383" s="53"/>
      <x:c r="S1383" s="53"/>
      <x:c r="T1383" s="53"/>
      <x:c r="U1383" s="53"/>
      <x:c r="V1383" s="53"/>
      <x:c r="W1383" s="53"/>
      <x:c r="X1383" s="53"/>
      <x:c r="Y1383" s="53"/>
      <x:c r="Z1383" s="53"/>
      <x:c r="AA1383" s="53"/>
      <x:c r="AB1383" s="53"/>
      <x:c r="AC1383" s="53"/>
      <x:c r="AD1383" s="53"/>
      <x:c r="AE1383" s="53"/>
      <x:c r="AF1383" s="53"/>
    </x:row>
    <x:row r="1384">
      <x:c r="A1384" s="53"/>
      <x:c r="B1384" s="53"/>
      <x:c r="C1384" s="53"/>
      <x:c r="D1384" s="53"/>
      <x:c r="E1384" s="53"/>
      <x:c r="F1384" s="53"/>
      <x:c r="G1384" s="53"/>
      <x:c r="H1384" s="53"/>
      <x:c r="I1384" s="53"/>
      <x:c r="J1384" s="53"/>
      <x:c r="K1384" s="53"/>
      <x:c r="L1384" s="53"/>
      <x:c r="M1384" s="53"/>
      <x:c r="N1384" s="53"/>
      <x:c r="O1384" s="53"/>
      <x:c r="P1384" s="53"/>
      <x:c r="Q1384" s="53"/>
      <x:c r="R1384" s="53"/>
      <x:c r="S1384" s="53"/>
      <x:c r="T1384" s="53"/>
      <x:c r="U1384" s="53"/>
      <x:c r="V1384" s="53"/>
      <x:c r="W1384" s="53"/>
      <x:c r="X1384" s="53"/>
      <x:c r="Y1384" s="53"/>
      <x:c r="Z1384" s="53"/>
      <x:c r="AA1384" s="53"/>
      <x:c r="AB1384" s="53"/>
      <x:c r="AC1384" s="53"/>
      <x:c r="AD1384" s="53"/>
      <x:c r="AE1384" s="53"/>
      <x:c r="AF1384" s="53"/>
    </x:row>
    <x:row r="1385">
      <x:c r="A1385" s="53"/>
      <x:c r="B1385" s="53"/>
      <x:c r="C1385" s="53"/>
      <x:c r="D1385" s="53"/>
      <x:c r="E1385" s="53"/>
      <x:c r="F1385" s="53"/>
      <x:c r="G1385" s="53"/>
      <x:c r="H1385" s="53"/>
      <x:c r="I1385" s="53"/>
      <x:c r="J1385" s="53"/>
      <x:c r="K1385" s="53"/>
      <x:c r="L1385" s="53"/>
      <x:c r="M1385" s="53"/>
      <x:c r="N1385" s="53"/>
      <x:c r="O1385" s="53"/>
      <x:c r="P1385" s="53"/>
      <x:c r="Q1385" s="53"/>
      <x:c r="R1385" s="53"/>
      <x:c r="S1385" s="53"/>
      <x:c r="T1385" s="53"/>
      <x:c r="U1385" s="53"/>
      <x:c r="V1385" s="53"/>
      <x:c r="W1385" s="53"/>
      <x:c r="X1385" s="53"/>
      <x:c r="Y1385" s="53"/>
      <x:c r="Z1385" s="53"/>
      <x:c r="AA1385" s="53"/>
      <x:c r="AB1385" s="53"/>
      <x:c r="AC1385" s="53"/>
      <x:c r="AD1385" s="53"/>
      <x:c r="AE1385" s="53"/>
      <x:c r="AF1385" s="53"/>
    </x:row>
    <x:row r="1386">
      <x:c r="A1386" s="53"/>
      <x:c r="B1386" s="53"/>
      <x:c r="C1386" s="53"/>
      <x:c r="D1386" s="53"/>
      <x:c r="E1386" s="53"/>
      <x:c r="F1386" s="53"/>
      <x:c r="G1386" s="53"/>
      <x:c r="H1386" s="53"/>
      <x:c r="I1386" s="53"/>
      <x:c r="J1386" s="53"/>
      <x:c r="K1386" s="53"/>
      <x:c r="L1386" s="53"/>
      <x:c r="M1386" s="53"/>
      <x:c r="N1386" s="53"/>
      <x:c r="O1386" s="53"/>
      <x:c r="P1386" s="53"/>
      <x:c r="Q1386" s="53"/>
      <x:c r="R1386" s="53"/>
      <x:c r="S1386" s="53"/>
      <x:c r="T1386" s="53"/>
      <x:c r="U1386" s="53"/>
      <x:c r="V1386" s="53"/>
      <x:c r="W1386" s="53"/>
      <x:c r="X1386" s="53"/>
      <x:c r="Y1386" s="53"/>
      <x:c r="Z1386" s="53"/>
      <x:c r="AA1386" s="53"/>
      <x:c r="AB1386" s="53"/>
      <x:c r="AC1386" s="53"/>
      <x:c r="AD1386" s="53"/>
      <x:c r="AE1386" s="53"/>
      <x:c r="AF1386" s="53"/>
    </x:row>
    <x:row r="1387">
      <x:c r="A1387" s="53"/>
      <x:c r="B1387" s="53"/>
      <x:c r="C1387" s="53"/>
      <x:c r="D1387" s="53"/>
      <x:c r="E1387" s="53"/>
      <x:c r="F1387" s="53"/>
      <x:c r="G1387" s="53"/>
      <x:c r="H1387" s="53"/>
      <x:c r="I1387" s="53"/>
      <x:c r="J1387" s="53"/>
      <x:c r="K1387" s="53"/>
      <x:c r="L1387" s="53"/>
      <x:c r="M1387" s="53"/>
      <x:c r="N1387" s="53"/>
      <x:c r="O1387" s="53"/>
      <x:c r="P1387" s="53"/>
      <x:c r="Q1387" s="53"/>
      <x:c r="R1387" s="53"/>
      <x:c r="S1387" s="53"/>
      <x:c r="T1387" s="53"/>
      <x:c r="U1387" s="53"/>
      <x:c r="V1387" s="53"/>
      <x:c r="W1387" s="53"/>
      <x:c r="X1387" s="53"/>
      <x:c r="Y1387" s="53"/>
      <x:c r="Z1387" s="53"/>
      <x:c r="AA1387" s="53"/>
      <x:c r="AB1387" s="53"/>
      <x:c r="AC1387" s="53"/>
      <x:c r="AD1387" s="53"/>
      <x:c r="AE1387" s="53"/>
      <x:c r="AF1387" s="53"/>
    </x:row>
    <x:row r="1388">
      <x:c r="A1388" s="53"/>
      <x:c r="B1388" s="53"/>
      <x:c r="C1388" s="53"/>
      <x:c r="D1388" s="53"/>
      <x:c r="E1388" s="53"/>
      <x:c r="F1388" s="53"/>
      <x:c r="G1388" s="53"/>
      <x:c r="H1388" s="53"/>
      <x:c r="I1388" s="53"/>
      <x:c r="J1388" s="53"/>
      <x:c r="K1388" s="53"/>
      <x:c r="L1388" s="53"/>
      <x:c r="M1388" s="53"/>
      <x:c r="N1388" s="53"/>
      <x:c r="O1388" s="53"/>
      <x:c r="P1388" s="53"/>
      <x:c r="Q1388" s="53"/>
      <x:c r="R1388" s="53"/>
      <x:c r="S1388" s="53"/>
      <x:c r="T1388" s="53"/>
      <x:c r="U1388" s="53"/>
      <x:c r="V1388" s="53"/>
      <x:c r="W1388" s="53"/>
      <x:c r="X1388" s="53"/>
      <x:c r="Y1388" s="53"/>
      <x:c r="Z1388" s="53"/>
      <x:c r="AA1388" s="53"/>
      <x:c r="AB1388" s="53"/>
      <x:c r="AC1388" s="53"/>
      <x:c r="AD1388" s="53"/>
      <x:c r="AE1388" s="53"/>
      <x:c r="AF1388" s="53"/>
    </x:row>
    <x:row r="1389">
      <x:c r="A1389" s="53"/>
      <x:c r="B1389" s="53"/>
      <x:c r="C1389" s="53"/>
      <x:c r="D1389" s="53"/>
      <x:c r="E1389" s="53"/>
      <x:c r="F1389" s="53"/>
      <x:c r="G1389" s="53"/>
      <x:c r="H1389" s="53"/>
      <x:c r="I1389" s="53"/>
      <x:c r="J1389" s="53"/>
      <x:c r="K1389" s="53"/>
      <x:c r="L1389" s="53"/>
      <x:c r="M1389" s="53"/>
      <x:c r="N1389" s="53"/>
      <x:c r="O1389" s="53"/>
      <x:c r="P1389" s="53"/>
      <x:c r="Q1389" s="53"/>
      <x:c r="R1389" s="53"/>
      <x:c r="S1389" s="53"/>
      <x:c r="T1389" s="53"/>
      <x:c r="U1389" s="53"/>
      <x:c r="V1389" s="53"/>
      <x:c r="W1389" s="53"/>
      <x:c r="X1389" s="53"/>
      <x:c r="Y1389" s="53"/>
      <x:c r="Z1389" s="53"/>
      <x:c r="AA1389" s="53"/>
      <x:c r="AB1389" s="53"/>
      <x:c r="AC1389" s="53"/>
      <x:c r="AD1389" s="53"/>
      <x:c r="AE1389" s="53"/>
      <x:c r="AF1389" s="53"/>
    </x:row>
    <x:row r="1390">
      <x:c r="A1390" s="53"/>
      <x:c r="B1390" s="53"/>
      <x:c r="C1390" s="53"/>
      <x:c r="D1390" s="53"/>
      <x:c r="E1390" s="53"/>
      <x:c r="F1390" s="53"/>
      <x:c r="G1390" s="53"/>
      <x:c r="H1390" s="53"/>
      <x:c r="I1390" s="53"/>
      <x:c r="J1390" s="53"/>
      <x:c r="K1390" s="53"/>
      <x:c r="L1390" s="53"/>
      <x:c r="M1390" s="53"/>
      <x:c r="N1390" s="53"/>
      <x:c r="O1390" s="53"/>
      <x:c r="P1390" s="53"/>
      <x:c r="Q1390" s="53"/>
      <x:c r="R1390" s="53"/>
      <x:c r="S1390" s="53"/>
      <x:c r="T1390" s="53"/>
      <x:c r="U1390" s="53"/>
      <x:c r="V1390" s="53"/>
      <x:c r="W1390" s="53"/>
      <x:c r="X1390" s="53"/>
      <x:c r="Y1390" s="53"/>
      <x:c r="Z1390" s="53"/>
      <x:c r="AA1390" s="53"/>
      <x:c r="AB1390" s="53"/>
      <x:c r="AC1390" s="53"/>
      <x:c r="AD1390" s="53"/>
      <x:c r="AE1390" s="53"/>
      <x:c r="AF1390" s="53"/>
    </x:row>
    <x:row r="1391">
      <x:c r="A1391" s="53"/>
      <x:c r="B1391" s="53"/>
      <x:c r="C1391" s="53"/>
      <x:c r="D1391" s="53"/>
      <x:c r="E1391" s="53"/>
      <x:c r="F1391" s="53"/>
      <x:c r="G1391" s="53"/>
      <x:c r="H1391" s="53"/>
      <x:c r="I1391" s="53"/>
      <x:c r="J1391" s="53"/>
      <x:c r="K1391" s="53"/>
      <x:c r="L1391" s="53"/>
      <x:c r="M1391" s="53"/>
      <x:c r="N1391" s="53"/>
      <x:c r="O1391" s="53"/>
      <x:c r="P1391" s="53"/>
      <x:c r="Q1391" s="53"/>
      <x:c r="R1391" s="53"/>
      <x:c r="S1391" s="53"/>
      <x:c r="T1391" s="53"/>
      <x:c r="U1391" s="53"/>
      <x:c r="V1391" s="53"/>
      <x:c r="W1391" s="53"/>
      <x:c r="X1391" s="53"/>
      <x:c r="Y1391" s="53"/>
      <x:c r="Z1391" s="53"/>
      <x:c r="AA1391" s="53"/>
      <x:c r="AB1391" s="53"/>
      <x:c r="AC1391" s="53"/>
      <x:c r="AD1391" s="53"/>
      <x:c r="AE1391" s="53"/>
      <x:c r="AF1391" s="53"/>
    </x:row>
    <x:row r="1392">
      <x:c r="A1392" s="53"/>
      <x:c r="B1392" s="53"/>
      <x:c r="C1392" s="53"/>
      <x:c r="D1392" s="53"/>
      <x:c r="E1392" s="53"/>
      <x:c r="F1392" s="53"/>
      <x:c r="G1392" s="53"/>
      <x:c r="H1392" s="53"/>
      <x:c r="I1392" s="53"/>
      <x:c r="J1392" s="53"/>
      <x:c r="K1392" s="53"/>
      <x:c r="L1392" s="53"/>
      <x:c r="M1392" s="53"/>
      <x:c r="N1392" s="53"/>
      <x:c r="O1392" s="53"/>
      <x:c r="P1392" s="53"/>
      <x:c r="Q1392" s="53"/>
      <x:c r="R1392" s="53"/>
      <x:c r="S1392" s="53"/>
      <x:c r="T1392" s="53"/>
      <x:c r="U1392" s="53"/>
      <x:c r="V1392" s="53"/>
      <x:c r="W1392" s="53"/>
      <x:c r="X1392" s="53"/>
      <x:c r="Y1392" s="53"/>
      <x:c r="Z1392" s="53"/>
      <x:c r="AA1392" s="53"/>
      <x:c r="AB1392" s="53"/>
      <x:c r="AC1392" s="53"/>
      <x:c r="AD1392" s="53"/>
      <x:c r="AE1392" s="53"/>
      <x:c r="AF1392" s="53"/>
    </x:row>
    <x:row r="1393">
      <x:c r="A1393" s="53"/>
      <x:c r="B1393" s="53"/>
      <x:c r="C1393" s="53"/>
      <x:c r="D1393" s="53"/>
      <x:c r="E1393" s="53"/>
      <x:c r="F1393" s="53"/>
      <x:c r="G1393" s="53"/>
      <x:c r="H1393" s="53"/>
      <x:c r="I1393" s="53"/>
      <x:c r="J1393" s="53"/>
      <x:c r="K1393" s="53"/>
      <x:c r="L1393" s="53"/>
      <x:c r="M1393" s="53"/>
      <x:c r="N1393" s="53"/>
      <x:c r="O1393" s="53"/>
      <x:c r="P1393" s="53"/>
      <x:c r="Q1393" s="53"/>
      <x:c r="R1393" s="53"/>
      <x:c r="S1393" s="53"/>
      <x:c r="T1393" s="53"/>
      <x:c r="U1393" s="53"/>
      <x:c r="V1393" s="53"/>
      <x:c r="W1393" s="53"/>
      <x:c r="X1393" s="53"/>
      <x:c r="Y1393" s="53"/>
      <x:c r="Z1393" s="53"/>
      <x:c r="AA1393" s="53"/>
      <x:c r="AB1393" s="53"/>
      <x:c r="AC1393" s="53"/>
      <x:c r="AD1393" s="53"/>
      <x:c r="AE1393" s="53"/>
      <x:c r="AF1393" s="53"/>
    </x:row>
    <x:row r="1394">
      <x:c r="A1394" s="53"/>
      <x:c r="B1394" s="53"/>
      <x:c r="C1394" s="53"/>
      <x:c r="D1394" s="53"/>
      <x:c r="E1394" s="53"/>
      <x:c r="F1394" s="53"/>
      <x:c r="G1394" s="53"/>
      <x:c r="H1394" s="53"/>
      <x:c r="I1394" s="53"/>
      <x:c r="J1394" s="53"/>
      <x:c r="K1394" s="53"/>
      <x:c r="L1394" s="53"/>
      <x:c r="M1394" s="53"/>
      <x:c r="N1394" s="53"/>
      <x:c r="O1394" s="53"/>
      <x:c r="P1394" s="53"/>
      <x:c r="Q1394" s="53"/>
      <x:c r="R1394" s="53"/>
      <x:c r="S1394" s="53"/>
      <x:c r="T1394" s="53"/>
      <x:c r="U1394" s="53"/>
      <x:c r="V1394" s="53"/>
      <x:c r="W1394" s="53"/>
      <x:c r="X1394" s="53"/>
      <x:c r="Y1394" s="53"/>
      <x:c r="Z1394" s="53"/>
      <x:c r="AA1394" s="53"/>
      <x:c r="AB1394" s="53"/>
      <x:c r="AC1394" s="53"/>
      <x:c r="AD1394" s="53"/>
      <x:c r="AE1394" s="53"/>
      <x:c r="AF1394" s="53"/>
    </x:row>
    <x:row r="1395">
      <x:c r="A1395" s="53"/>
      <x:c r="B1395" s="53"/>
      <x:c r="C1395" s="53"/>
      <x:c r="D1395" s="53"/>
      <x:c r="E1395" s="53"/>
      <x:c r="F1395" s="53"/>
      <x:c r="G1395" s="53"/>
      <x:c r="H1395" s="53"/>
      <x:c r="I1395" s="53"/>
      <x:c r="J1395" s="53"/>
      <x:c r="K1395" s="53"/>
      <x:c r="L1395" s="53"/>
      <x:c r="M1395" s="53"/>
      <x:c r="N1395" s="53"/>
      <x:c r="O1395" s="53"/>
      <x:c r="P1395" s="53"/>
      <x:c r="Q1395" s="53"/>
      <x:c r="R1395" s="53"/>
      <x:c r="S1395" s="53"/>
      <x:c r="T1395" s="53"/>
      <x:c r="U1395" s="53"/>
      <x:c r="V1395" s="53"/>
      <x:c r="W1395" s="53"/>
      <x:c r="X1395" s="53"/>
      <x:c r="Y1395" s="53"/>
      <x:c r="Z1395" s="53"/>
      <x:c r="AA1395" s="53"/>
      <x:c r="AB1395" s="53"/>
      <x:c r="AC1395" s="53"/>
      <x:c r="AD1395" s="53"/>
      <x:c r="AE1395" s="53"/>
      <x:c r="AF1395" s="53"/>
    </x:row>
    <x:row r="1396">
      <x:c r="A1396" s="53"/>
      <x:c r="B1396" s="53"/>
      <x:c r="C1396" s="53"/>
      <x:c r="D1396" s="53"/>
      <x:c r="E1396" s="53"/>
      <x:c r="F1396" s="53"/>
      <x:c r="G1396" s="53"/>
      <x:c r="H1396" s="53"/>
      <x:c r="I1396" s="53"/>
      <x:c r="J1396" s="53"/>
      <x:c r="K1396" s="53"/>
      <x:c r="L1396" s="53"/>
      <x:c r="M1396" s="53"/>
      <x:c r="N1396" s="53"/>
      <x:c r="O1396" s="53"/>
      <x:c r="P1396" s="53"/>
      <x:c r="Q1396" s="53"/>
      <x:c r="R1396" s="53"/>
      <x:c r="S1396" s="53"/>
      <x:c r="T1396" s="53"/>
      <x:c r="U1396" s="53"/>
      <x:c r="V1396" s="53"/>
      <x:c r="W1396" s="53"/>
      <x:c r="X1396" s="53"/>
      <x:c r="Y1396" s="53"/>
      <x:c r="Z1396" s="53"/>
      <x:c r="AA1396" s="53"/>
      <x:c r="AB1396" s="53"/>
      <x:c r="AC1396" s="53"/>
      <x:c r="AD1396" s="53"/>
      <x:c r="AE1396" s="53"/>
      <x:c r="AF1396" s="53"/>
    </x:row>
    <x:row r="1397">
      <x:c r="A1397" s="53"/>
      <x:c r="B1397" s="53"/>
      <x:c r="C1397" s="53"/>
      <x:c r="D1397" s="53"/>
      <x:c r="E1397" s="53"/>
      <x:c r="F1397" s="53"/>
      <x:c r="G1397" s="53"/>
      <x:c r="H1397" s="53"/>
      <x:c r="I1397" s="53"/>
      <x:c r="J1397" s="53"/>
      <x:c r="K1397" s="53"/>
      <x:c r="L1397" s="53"/>
      <x:c r="M1397" s="53"/>
      <x:c r="N1397" s="53"/>
      <x:c r="O1397" s="53"/>
      <x:c r="P1397" s="53"/>
      <x:c r="Q1397" s="53"/>
      <x:c r="R1397" s="53"/>
      <x:c r="S1397" s="53"/>
      <x:c r="T1397" s="53"/>
      <x:c r="U1397" s="53"/>
      <x:c r="V1397" s="53"/>
      <x:c r="W1397" s="53"/>
      <x:c r="X1397" s="53"/>
      <x:c r="Y1397" s="53"/>
      <x:c r="Z1397" s="53"/>
      <x:c r="AA1397" s="53"/>
      <x:c r="AB1397" s="53"/>
      <x:c r="AC1397" s="53"/>
      <x:c r="AD1397" s="53"/>
      <x:c r="AE1397" s="53"/>
      <x:c r="AF1397" s="53"/>
    </x:row>
    <x:row r="1398">
      <x:c r="A1398" s="53"/>
      <x:c r="B1398" s="53"/>
      <x:c r="C1398" s="53"/>
      <x:c r="D1398" s="53"/>
      <x:c r="E1398" s="53"/>
      <x:c r="F1398" s="53"/>
      <x:c r="G1398" s="53"/>
      <x:c r="H1398" s="53"/>
      <x:c r="I1398" s="53"/>
      <x:c r="J1398" s="53"/>
      <x:c r="K1398" s="53"/>
      <x:c r="L1398" s="53"/>
      <x:c r="M1398" s="53"/>
      <x:c r="N1398" s="53"/>
      <x:c r="O1398" s="53"/>
      <x:c r="P1398" s="53"/>
      <x:c r="Q1398" s="53"/>
      <x:c r="R1398" s="53"/>
      <x:c r="S1398" s="53"/>
      <x:c r="T1398" s="53"/>
      <x:c r="U1398" s="53"/>
      <x:c r="V1398" s="53"/>
      <x:c r="W1398" s="53"/>
      <x:c r="X1398" s="53"/>
      <x:c r="Y1398" s="53"/>
      <x:c r="Z1398" s="53"/>
      <x:c r="AA1398" s="53"/>
      <x:c r="AB1398" s="53"/>
      <x:c r="AC1398" s="53"/>
      <x:c r="AD1398" s="53"/>
      <x:c r="AE1398" s="53"/>
      <x:c r="AF1398" s="53"/>
    </x:row>
    <x:row r="1399">
      <x:c r="A1399" s="53"/>
      <x:c r="B1399" s="53"/>
      <x:c r="C1399" s="53"/>
      <x:c r="D1399" s="53"/>
      <x:c r="E1399" s="53"/>
      <x:c r="F1399" s="53"/>
      <x:c r="G1399" s="53"/>
      <x:c r="H1399" s="53"/>
      <x:c r="I1399" s="53"/>
      <x:c r="J1399" s="53"/>
      <x:c r="K1399" s="53"/>
      <x:c r="L1399" s="53"/>
      <x:c r="M1399" s="53"/>
      <x:c r="N1399" s="53"/>
      <x:c r="O1399" s="53"/>
      <x:c r="P1399" s="53"/>
      <x:c r="Q1399" s="53"/>
      <x:c r="R1399" s="53"/>
      <x:c r="S1399" s="53"/>
      <x:c r="T1399" s="53"/>
      <x:c r="U1399" s="53"/>
      <x:c r="V1399" s="53"/>
      <x:c r="W1399" s="53"/>
      <x:c r="X1399" s="53"/>
      <x:c r="Y1399" s="53"/>
      <x:c r="Z1399" s="53"/>
      <x:c r="AA1399" s="53"/>
      <x:c r="AB1399" s="53"/>
      <x:c r="AC1399" s="53"/>
      <x:c r="AD1399" s="53"/>
      <x:c r="AE1399" s="53"/>
      <x:c r="AF1399" s="53"/>
    </x:row>
    <x:row r="1400">
      <x:c r="A1400" s="53"/>
      <x:c r="B1400" s="53"/>
      <x:c r="C1400" s="53"/>
      <x:c r="D1400" s="53"/>
      <x:c r="E1400" s="53"/>
      <x:c r="F1400" s="53"/>
      <x:c r="G1400" s="53"/>
      <x:c r="H1400" s="53"/>
      <x:c r="I1400" s="53"/>
      <x:c r="J1400" s="53"/>
      <x:c r="K1400" s="53"/>
      <x:c r="L1400" s="53"/>
      <x:c r="M1400" s="53"/>
      <x:c r="N1400" s="53"/>
      <x:c r="O1400" s="53"/>
      <x:c r="P1400" s="53"/>
      <x:c r="Q1400" s="53"/>
      <x:c r="R1400" s="53"/>
      <x:c r="S1400" s="53"/>
      <x:c r="T1400" s="53"/>
      <x:c r="U1400" s="53"/>
      <x:c r="V1400" s="53"/>
      <x:c r="W1400" s="53"/>
      <x:c r="X1400" s="53"/>
      <x:c r="Y1400" s="53"/>
      <x:c r="Z1400" s="53"/>
      <x:c r="AA1400" s="53"/>
      <x:c r="AB1400" s="53"/>
      <x:c r="AC1400" s="53"/>
      <x:c r="AD1400" s="53"/>
      <x:c r="AE1400" s="53"/>
      <x:c r="AF1400" s="53"/>
    </x:row>
    <x:row r="1401">
      <x:c r="A1401" s="53"/>
      <x:c r="B1401" s="53"/>
      <x:c r="C1401" s="53"/>
      <x:c r="D1401" s="53"/>
      <x:c r="E1401" s="53"/>
      <x:c r="F1401" s="53"/>
      <x:c r="G1401" s="53"/>
      <x:c r="H1401" s="53"/>
      <x:c r="I1401" s="53"/>
      <x:c r="J1401" s="53"/>
      <x:c r="K1401" s="53"/>
      <x:c r="L1401" s="53"/>
      <x:c r="M1401" s="53"/>
      <x:c r="N1401" s="53"/>
      <x:c r="O1401" s="53"/>
      <x:c r="P1401" s="53"/>
      <x:c r="Q1401" s="53"/>
      <x:c r="R1401" s="53"/>
      <x:c r="S1401" s="53"/>
      <x:c r="T1401" s="53"/>
      <x:c r="U1401" s="53"/>
      <x:c r="V1401" s="53"/>
      <x:c r="W1401" s="53"/>
      <x:c r="X1401" s="53"/>
      <x:c r="Y1401" s="53"/>
      <x:c r="Z1401" s="53"/>
      <x:c r="AA1401" s="53"/>
      <x:c r="AB1401" s="53"/>
      <x:c r="AC1401" s="53"/>
      <x:c r="AD1401" s="53"/>
      <x:c r="AE1401" s="53"/>
      <x:c r="AF1401" s="53"/>
    </x:row>
    <x:row r="1402">
      <x:c r="A1402" s="53"/>
      <x:c r="B1402" s="53"/>
      <x:c r="C1402" s="53"/>
      <x:c r="D1402" s="53"/>
      <x:c r="E1402" s="53"/>
      <x:c r="F1402" s="53"/>
      <x:c r="G1402" s="53"/>
      <x:c r="H1402" s="53"/>
      <x:c r="I1402" s="53"/>
      <x:c r="J1402" s="53"/>
      <x:c r="K1402" s="53"/>
      <x:c r="L1402" s="53"/>
      <x:c r="M1402" s="53"/>
      <x:c r="N1402" s="53"/>
      <x:c r="O1402" s="53"/>
      <x:c r="P1402" s="53"/>
      <x:c r="Q1402" s="53"/>
      <x:c r="R1402" s="53"/>
      <x:c r="S1402" s="53"/>
      <x:c r="T1402" s="53"/>
      <x:c r="U1402" s="53"/>
      <x:c r="V1402" s="53"/>
      <x:c r="W1402" s="53"/>
      <x:c r="X1402" s="53"/>
      <x:c r="Y1402" s="53"/>
      <x:c r="Z1402" s="53"/>
      <x:c r="AA1402" s="53"/>
      <x:c r="AB1402" s="53"/>
      <x:c r="AC1402" s="53"/>
      <x:c r="AD1402" s="53"/>
      <x:c r="AE1402" s="53"/>
      <x:c r="AF1402" s="53"/>
    </x:row>
    <x:row r="1403">
      <x:c r="A1403" s="53"/>
      <x:c r="B1403" s="53"/>
      <x:c r="C1403" s="53"/>
      <x:c r="D1403" s="53"/>
      <x:c r="E1403" s="53"/>
      <x:c r="F1403" s="53"/>
      <x:c r="G1403" s="53"/>
      <x:c r="H1403" s="53"/>
      <x:c r="I1403" s="53"/>
      <x:c r="J1403" s="53"/>
      <x:c r="K1403" s="53"/>
      <x:c r="L1403" s="53"/>
      <x:c r="M1403" s="53"/>
      <x:c r="N1403" s="53"/>
      <x:c r="O1403" s="53"/>
      <x:c r="P1403" s="53"/>
      <x:c r="Q1403" s="53"/>
      <x:c r="R1403" s="53"/>
      <x:c r="S1403" s="53"/>
      <x:c r="T1403" s="53"/>
      <x:c r="U1403" s="53"/>
      <x:c r="V1403" s="53"/>
      <x:c r="W1403" s="53"/>
      <x:c r="X1403" s="53"/>
      <x:c r="Y1403" s="53"/>
      <x:c r="Z1403" s="53"/>
      <x:c r="AA1403" s="53"/>
      <x:c r="AB1403" s="53"/>
      <x:c r="AC1403" s="53"/>
      <x:c r="AD1403" s="53"/>
      <x:c r="AE1403" s="53"/>
      <x:c r="AF1403" s="53"/>
    </x:row>
    <x:row r="1404">
      <x:c r="A1404" s="53"/>
      <x:c r="B1404" s="53"/>
      <x:c r="C1404" s="53"/>
      <x:c r="D1404" s="53"/>
      <x:c r="E1404" s="53"/>
      <x:c r="F1404" s="53"/>
      <x:c r="G1404" s="53"/>
      <x:c r="H1404" s="53"/>
      <x:c r="I1404" s="53"/>
      <x:c r="J1404" s="53"/>
      <x:c r="K1404" s="53"/>
      <x:c r="L1404" s="53"/>
      <x:c r="M1404" s="53"/>
      <x:c r="N1404" s="53"/>
      <x:c r="O1404" s="53"/>
      <x:c r="P1404" s="53"/>
      <x:c r="Q1404" s="53"/>
      <x:c r="R1404" s="53"/>
      <x:c r="S1404" s="53"/>
      <x:c r="T1404" s="53"/>
      <x:c r="U1404" s="53"/>
      <x:c r="V1404" s="53"/>
      <x:c r="W1404" s="53"/>
      <x:c r="X1404" s="53"/>
      <x:c r="Y1404" s="53"/>
      <x:c r="Z1404" s="53"/>
      <x:c r="AA1404" s="53"/>
      <x:c r="AB1404" s="53"/>
      <x:c r="AC1404" s="53"/>
      <x:c r="AD1404" s="53"/>
      <x:c r="AE1404" s="53"/>
      <x:c r="AF1404" s="53"/>
    </x:row>
    <x:row r="1405">
      <x:c r="A1405" s="53"/>
      <x:c r="B1405" s="53"/>
      <x:c r="C1405" s="53"/>
      <x:c r="D1405" s="53"/>
      <x:c r="E1405" s="53"/>
      <x:c r="F1405" s="53"/>
      <x:c r="G1405" s="53"/>
      <x:c r="H1405" s="53"/>
      <x:c r="I1405" s="53"/>
      <x:c r="J1405" s="53"/>
      <x:c r="K1405" s="53"/>
      <x:c r="L1405" s="53"/>
      <x:c r="M1405" s="53"/>
      <x:c r="N1405" s="53"/>
      <x:c r="O1405" s="53"/>
      <x:c r="P1405" s="53"/>
      <x:c r="Q1405" s="53"/>
      <x:c r="R1405" s="53"/>
      <x:c r="S1405" s="53"/>
      <x:c r="T1405" s="53"/>
      <x:c r="U1405" s="53"/>
      <x:c r="V1405" s="53"/>
      <x:c r="W1405" s="53"/>
      <x:c r="X1405" s="53"/>
      <x:c r="Y1405" s="53"/>
      <x:c r="Z1405" s="53"/>
      <x:c r="AA1405" s="53"/>
      <x:c r="AB1405" s="53"/>
      <x:c r="AC1405" s="53"/>
      <x:c r="AD1405" s="53"/>
      <x:c r="AE1405" s="53"/>
      <x:c r="AF1405" s="53"/>
    </x:row>
    <x:row r="1406">
      <x:c r="A1406" s="53"/>
      <x:c r="B1406" s="53"/>
      <x:c r="C1406" s="53"/>
      <x:c r="D1406" s="53"/>
      <x:c r="E1406" s="53"/>
      <x:c r="F1406" s="53"/>
      <x:c r="G1406" s="53"/>
      <x:c r="H1406" s="53"/>
      <x:c r="I1406" s="53"/>
      <x:c r="J1406" s="53"/>
      <x:c r="K1406" s="53"/>
      <x:c r="L1406" s="53"/>
      <x:c r="M1406" s="53"/>
      <x:c r="N1406" s="53"/>
      <x:c r="O1406" s="53"/>
      <x:c r="P1406" s="53"/>
      <x:c r="Q1406" s="53"/>
      <x:c r="R1406" s="53"/>
      <x:c r="S1406" s="53"/>
      <x:c r="T1406" s="53"/>
      <x:c r="U1406" s="53"/>
      <x:c r="V1406" s="53"/>
      <x:c r="W1406" s="53"/>
      <x:c r="X1406" s="53"/>
      <x:c r="Y1406" s="53"/>
      <x:c r="Z1406" s="53"/>
      <x:c r="AA1406" s="53"/>
      <x:c r="AB1406" s="53"/>
      <x:c r="AC1406" s="53"/>
      <x:c r="AD1406" s="53"/>
      <x:c r="AE1406" s="53"/>
      <x:c r="AF1406" s="53"/>
    </x:row>
    <x:row r="1407">
      <x:c r="A1407" s="53"/>
      <x:c r="B1407" s="53"/>
      <x:c r="C1407" s="53"/>
      <x:c r="D1407" s="53"/>
      <x:c r="E1407" s="53"/>
      <x:c r="F1407" s="53"/>
      <x:c r="G1407" s="53"/>
      <x:c r="H1407" s="53"/>
      <x:c r="I1407" s="53"/>
      <x:c r="J1407" s="53"/>
      <x:c r="K1407" s="53"/>
      <x:c r="L1407" s="53"/>
      <x:c r="M1407" s="53"/>
      <x:c r="N1407" s="53"/>
      <x:c r="O1407" s="53"/>
      <x:c r="P1407" s="53"/>
      <x:c r="Q1407" s="53"/>
      <x:c r="R1407" s="53"/>
      <x:c r="S1407" s="53"/>
      <x:c r="T1407" s="53"/>
      <x:c r="U1407" s="53"/>
      <x:c r="V1407" s="53"/>
      <x:c r="W1407" s="53"/>
      <x:c r="X1407" s="53"/>
      <x:c r="Y1407" s="53"/>
      <x:c r="Z1407" s="53"/>
      <x:c r="AA1407" s="53"/>
      <x:c r="AB1407" s="53"/>
      <x:c r="AC1407" s="53"/>
      <x:c r="AD1407" s="53"/>
      <x:c r="AE1407" s="53"/>
      <x:c r="AF1407" s="53"/>
    </x:row>
    <x:row r="1408">
      <x:c r="A1408" s="53"/>
      <x:c r="B1408" s="53"/>
      <x:c r="C1408" s="53"/>
      <x:c r="D1408" s="53"/>
      <x:c r="E1408" s="53"/>
      <x:c r="F1408" s="53"/>
      <x:c r="G1408" s="53"/>
      <x:c r="H1408" s="53"/>
      <x:c r="I1408" s="53"/>
      <x:c r="J1408" s="53"/>
      <x:c r="K1408" s="53"/>
      <x:c r="L1408" s="53"/>
      <x:c r="M1408" s="53"/>
      <x:c r="N1408" s="53"/>
      <x:c r="O1408" s="53"/>
      <x:c r="P1408" s="53"/>
      <x:c r="Q1408" s="53"/>
      <x:c r="R1408" s="53"/>
      <x:c r="S1408" s="53"/>
      <x:c r="T1408" s="53"/>
      <x:c r="U1408" s="53"/>
      <x:c r="V1408" s="53"/>
      <x:c r="W1408" s="53"/>
      <x:c r="X1408" s="53"/>
      <x:c r="Y1408" s="53"/>
      <x:c r="Z1408" s="53"/>
      <x:c r="AA1408" s="53"/>
      <x:c r="AB1408" s="53"/>
      <x:c r="AC1408" s="53"/>
      <x:c r="AD1408" s="53"/>
      <x:c r="AE1408" s="53"/>
      <x:c r="AF1408" s="53"/>
    </x:row>
    <x:row r="1409">
      <x:c r="A1409" s="53"/>
      <x:c r="B1409" s="53"/>
      <x:c r="C1409" s="53"/>
      <x:c r="D1409" s="53"/>
      <x:c r="E1409" s="53"/>
      <x:c r="F1409" s="53"/>
      <x:c r="G1409" s="53"/>
      <x:c r="H1409" s="53"/>
      <x:c r="I1409" s="53"/>
      <x:c r="J1409" s="53"/>
      <x:c r="K1409" s="53"/>
      <x:c r="L1409" s="53"/>
      <x:c r="M1409" s="53"/>
      <x:c r="N1409" s="53"/>
      <x:c r="O1409" s="53"/>
      <x:c r="P1409" s="53"/>
      <x:c r="Q1409" s="53"/>
      <x:c r="R1409" s="53"/>
      <x:c r="S1409" s="53"/>
      <x:c r="T1409" s="53"/>
      <x:c r="U1409" s="53"/>
      <x:c r="V1409" s="53"/>
      <x:c r="W1409" s="53"/>
      <x:c r="X1409" s="53"/>
      <x:c r="Y1409" s="53"/>
      <x:c r="Z1409" s="53"/>
      <x:c r="AA1409" s="53"/>
      <x:c r="AB1409" s="53"/>
      <x:c r="AC1409" s="53"/>
      <x:c r="AD1409" s="53"/>
      <x:c r="AE1409" s="53"/>
      <x:c r="AF1409" s="53"/>
    </x:row>
    <x:row r="1410">
      <x:c r="A1410" s="53"/>
      <x:c r="B1410" s="53"/>
      <x:c r="C1410" s="53"/>
      <x:c r="D1410" s="53"/>
      <x:c r="E1410" s="53"/>
      <x:c r="F1410" s="53"/>
      <x:c r="G1410" s="53"/>
      <x:c r="H1410" s="53"/>
      <x:c r="I1410" s="53"/>
      <x:c r="J1410" s="53"/>
      <x:c r="K1410" s="53"/>
      <x:c r="L1410" s="53"/>
      <x:c r="M1410" s="53"/>
      <x:c r="N1410" s="53"/>
      <x:c r="O1410" s="53"/>
      <x:c r="P1410" s="53"/>
      <x:c r="Q1410" s="53"/>
      <x:c r="R1410" s="53"/>
      <x:c r="S1410" s="53"/>
      <x:c r="T1410" s="53"/>
      <x:c r="U1410" s="53"/>
      <x:c r="V1410" s="53"/>
      <x:c r="W1410" s="53"/>
      <x:c r="X1410" s="53"/>
      <x:c r="Y1410" s="53"/>
      <x:c r="Z1410" s="53"/>
      <x:c r="AA1410" s="53"/>
      <x:c r="AB1410" s="53"/>
      <x:c r="AC1410" s="53"/>
      <x:c r="AD1410" s="53"/>
      <x:c r="AE1410" s="53"/>
      <x:c r="AF1410" s="53"/>
    </x:row>
    <x:row r="1411">
      <x:c r="A1411" s="53"/>
      <x:c r="B1411" s="53"/>
      <x:c r="C1411" s="53"/>
      <x:c r="D1411" s="53"/>
      <x:c r="E1411" s="53"/>
      <x:c r="F1411" s="53"/>
      <x:c r="G1411" s="53"/>
      <x:c r="H1411" s="53"/>
      <x:c r="I1411" s="53"/>
      <x:c r="J1411" s="53"/>
      <x:c r="K1411" s="53"/>
      <x:c r="L1411" s="53"/>
      <x:c r="M1411" s="53"/>
      <x:c r="N1411" s="53"/>
      <x:c r="O1411" s="53"/>
      <x:c r="P1411" s="53"/>
      <x:c r="Q1411" s="53"/>
      <x:c r="R1411" s="53"/>
      <x:c r="S1411" s="53"/>
      <x:c r="T1411" s="53"/>
      <x:c r="U1411" s="53"/>
      <x:c r="V1411" s="53"/>
      <x:c r="W1411" s="53"/>
      <x:c r="X1411" s="53"/>
      <x:c r="Y1411" s="53"/>
      <x:c r="Z1411" s="53"/>
      <x:c r="AA1411" s="53"/>
      <x:c r="AB1411" s="53"/>
      <x:c r="AC1411" s="53"/>
      <x:c r="AD1411" s="53"/>
      <x:c r="AE1411" s="53"/>
      <x:c r="AF1411" s="53"/>
    </x:row>
    <x:row r="1412">
      <x:c r="A1412" s="53"/>
      <x:c r="B1412" s="53"/>
      <x:c r="C1412" s="53"/>
      <x:c r="D1412" s="53"/>
      <x:c r="E1412" s="53"/>
      <x:c r="F1412" s="53"/>
      <x:c r="G1412" s="53"/>
      <x:c r="H1412" s="53"/>
      <x:c r="I1412" s="53"/>
      <x:c r="J1412" s="53"/>
      <x:c r="K1412" s="53"/>
      <x:c r="L1412" s="53"/>
      <x:c r="M1412" s="53"/>
      <x:c r="N1412" s="53"/>
      <x:c r="O1412" s="53"/>
      <x:c r="P1412" s="53"/>
      <x:c r="Q1412" s="53"/>
      <x:c r="R1412" s="53"/>
      <x:c r="S1412" s="53"/>
      <x:c r="T1412" s="53"/>
      <x:c r="U1412" s="53"/>
      <x:c r="V1412" s="53"/>
      <x:c r="W1412" s="53"/>
      <x:c r="X1412" s="53"/>
      <x:c r="Y1412" s="53"/>
      <x:c r="Z1412" s="53"/>
      <x:c r="AA1412" s="53"/>
      <x:c r="AB1412" s="53"/>
      <x:c r="AC1412" s="53"/>
      <x:c r="AD1412" s="53"/>
      <x:c r="AE1412" s="53"/>
      <x:c r="AF1412" s="53"/>
    </x:row>
    <x:row r="1413">
      <x:c r="A1413" s="53"/>
      <x:c r="B1413" s="53"/>
      <x:c r="C1413" s="53"/>
      <x:c r="D1413" s="53"/>
      <x:c r="E1413" s="53"/>
      <x:c r="F1413" s="53"/>
      <x:c r="G1413" s="53"/>
      <x:c r="H1413" s="53"/>
      <x:c r="I1413" s="53"/>
      <x:c r="J1413" s="53"/>
      <x:c r="K1413" s="53"/>
      <x:c r="L1413" s="53"/>
      <x:c r="M1413" s="53"/>
      <x:c r="N1413" s="53"/>
      <x:c r="O1413" s="53"/>
      <x:c r="P1413" s="53"/>
      <x:c r="Q1413" s="53"/>
      <x:c r="R1413" s="53"/>
      <x:c r="S1413" s="53"/>
      <x:c r="T1413" s="53"/>
      <x:c r="U1413" s="53"/>
      <x:c r="V1413" s="53"/>
      <x:c r="W1413" s="53"/>
      <x:c r="X1413" s="53"/>
      <x:c r="Y1413" s="53"/>
      <x:c r="Z1413" s="53"/>
      <x:c r="AA1413" s="53"/>
      <x:c r="AB1413" s="53"/>
      <x:c r="AC1413" s="53"/>
      <x:c r="AD1413" s="53"/>
      <x:c r="AE1413" s="53"/>
      <x:c r="AF1413" s="53"/>
    </x:row>
    <x:row r="1414">
      <x:c r="A1414" s="53"/>
      <x:c r="B1414" s="53"/>
      <x:c r="C1414" s="53"/>
      <x:c r="D1414" s="53"/>
      <x:c r="E1414" s="53"/>
      <x:c r="F1414" s="53"/>
      <x:c r="G1414" s="53"/>
      <x:c r="H1414" s="53"/>
      <x:c r="I1414" s="53"/>
      <x:c r="J1414" s="53"/>
      <x:c r="K1414" s="53"/>
      <x:c r="L1414" s="53"/>
      <x:c r="M1414" s="53"/>
      <x:c r="N1414" s="53"/>
      <x:c r="O1414" s="53"/>
      <x:c r="P1414" s="53"/>
      <x:c r="Q1414" s="53"/>
      <x:c r="R1414" s="53"/>
      <x:c r="S1414" s="53"/>
      <x:c r="T1414" s="53"/>
      <x:c r="U1414" s="53"/>
      <x:c r="V1414" s="53"/>
      <x:c r="W1414" s="53"/>
      <x:c r="X1414" s="53"/>
      <x:c r="Y1414" s="53"/>
      <x:c r="Z1414" s="53"/>
      <x:c r="AA1414" s="53"/>
      <x:c r="AB1414" s="53"/>
      <x:c r="AC1414" s="53"/>
      <x:c r="AD1414" s="53"/>
      <x:c r="AE1414" s="53"/>
      <x:c r="AF1414" s="53"/>
    </x:row>
    <x:row r="1415">
      <x:c r="A1415" s="53"/>
      <x:c r="B1415" s="53"/>
      <x:c r="C1415" s="53"/>
      <x:c r="D1415" s="53"/>
      <x:c r="E1415" s="53"/>
      <x:c r="F1415" s="53"/>
      <x:c r="G1415" s="53"/>
      <x:c r="H1415" s="53"/>
      <x:c r="I1415" s="53"/>
      <x:c r="J1415" s="53"/>
      <x:c r="K1415" s="53"/>
      <x:c r="L1415" s="53"/>
      <x:c r="M1415" s="53"/>
      <x:c r="N1415" s="53"/>
      <x:c r="O1415" s="53"/>
      <x:c r="P1415" s="53"/>
      <x:c r="Q1415" s="53"/>
      <x:c r="R1415" s="53"/>
      <x:c r="S1415" s="53"/>
      <x:c r="T1415" s="53"/>
      <x:c r="U1415" s="53"/>
      <x:c r="V1415" s="53"/>
      <x:c r="W1415" s="53"/>
      <x:c r="X1415" s="53"/>
      <x:c r="Y1415" s="53"/>
      <x:c r="Z1415" s="53"/>
      <x:c r="AA1415" s="53"/>
      <x:c r="AB1415" s="53"/>
      <x:c r="AC1415" s="53"/>
      <x:c r="AD1415" s="53"/>
      <x:c r="AE1415" s="53"/>
      <x:c r="AF1415" s="53"/>
    </x:row>
    <x:row r="1416">
      <x:c r="A1416" s="53"/>
      <x:c r="B1416" s="53"/>
      <x:c r="C1416" s="53"/>
      <x:c r="D1416" s="53"/>
      <x:c r="E1416" s="53"/>
      <x:c r="F1416" s="53"/>
      <x:c r="G1416" s="53"/>
      <x:c r="H1416" s="53"/>
      <x:c r="I1416" s="53"/>
      <x:c r="J1416" s="53"/>
      <x:c r="K1416" s="53"/>
      <x:c r="L1416" s="53"/>
      <x:c r="M1416" s="53"/>
      <x:c r="N1416" s="53"/>
      <x:c r="O1416" s="53"/>
      <x:c r="P1416" s="53"/>
      <x:c r="Q1416" s="53"/>
      <x:c r="R1416" s="53"/>
      <x:c r="S1416" s="53"/>
      <x:c r="T1416" s="53"/>
      <x:c r="U1416" s="53"/>
      <x:c r="V1416" s="53"/>
      <x:c r="W1416" s="53"/>
      <x:c r="X1416" s="53"/>
      <x:c r="Y1416" s="53"/>
      <x:c r="Z1416" s="53"/>
      <x:c r="AA1416" s="53"/>
      <x:c r="AB1416" s="53"/>
      <x:c r="AC1416" s="53"/>
      <x:c r="AD1416" s="53"/>
      <x:c r="AE1416" s="53"/>
      <x:c r="AF1416" s="53"/>
    </x:row>
    <x:row r="1417">
      <x:c r="A1417" s="53"/>
      <x:c r="B1417" s="53"/>
      <x:c r="C1417" s="53"/>
      <x:c r="D1417" s="53"/>
      <x:c r="E1417" s="53"/>
      <x:c r="F1417" s="53"/>
      <x:c r="G1417" s="53"/>
      <x:c r="H1417" s="53"/>
      <x:c r="I1417" s="53"/>
      <x:c r="J1417" s="53"/>
      <x:c r="K1417" s="53"/>
      <x:c r="L1417" s="53"/>
      <x:c r="M1417" s="53"/>
      <x:c r="N1417" s="53"/>
      <x:c r="O1417" s="53"/>
      <x:c r="P1417" s="53"/>
      <x:c r="Q1417" s="53"/>
      <x:c r="R1417" s="53"/>
      <x:c r="S1417" s="53"/>
      <x:c r="T1417" s="53"/>
      <x:c r="U1417" s="53"/>
      <x:c r="V1417" s="53"/>
      <x:c r="W1417" s="53"/>
      <x:c r="X1417" s="53"/>
      <x:c r="Y1417" s="53"/>
      <x:c r="Z1417" s="53"/>
      <x:c r="AA1417" s="53"/>
      <x:c r="AB1417" s="53"/>
      <x:c r="AC1417" s="53"/>
      <x:c r="AD1417" s="53"/>
      <x:c r="AE1417" s="53"/>
      <x:c r="AF1417" s="53"/>
    </x:row>
    <x:row r="1418">
      <x:c r="A1418" s="53"/>
      <x:c r="B1418" s="53"/>
      <x:c r="C1418" s="53"/>
      <x:c r="D1418" s="53"/>
      <x:c r="E1418" s="53"/>
      <x:c r="F1418" s="53"/>
      <x:c r="G1418" s="53"/>
      <x:c r="H1418" s="53"/>
      <x:c r="I1418" s="53"/>
      <x:c r="J1418" s="53"/>
      <x:c r="K1418" s="53"/>
      <x:c r="L1418" s="53"/>
      <x:c r="M1418" s="53"/>
      <x:c r="N1418" s="53"/>
      <x:c r="O1418" s="53"/>
      <x:c r="P1418" s="53"/>
      <x:c r="Q1418" s="53"/>
      <x:c r="R1418" s="53"/>
      <x:c r="S1418" s="53"/>
      <x:c r="T1418" s="53"/>
      <x:c r="U1418" s="53"/>
      <x:c r="V1418" s="53"/>
      <x:c r="W1418" s="53"/>
      <x:c r="X1418" s="53"/>
      <x:c r="Y1418" s="53"/>
      <x:c r="Z1418" s="53"/>
      <x:c r="AA1418" s="53"/>
      <x:c r="AB1418" s="53"/>
      <x:c r="AC1418" s="53"/>
      <x:c r="AD1418" s="53"/>
      <x:c r="AE1418" s="53"/>
      <x:c r="AF1418" s="53"/>
    </x:row>
    <x:row r="1419">
      <x:c r="A1419" s="53"/>
      <x:c r="B1419" s="53"/>
      <x:c r="C1419" s="53"/>
      <x:c r="D1419" s="53"/>
      <x:c r="E1419" s="53"/>
      <x:c r="F1419" s="53"/>
      <x:c r="G1419" s="53"/>
      <x:c r="H1419" s="53"/>
      <x:c r="I1419" s="53"/>
      <x:c r="J1419" s="53"/>
      <x:c r="K1419" s="53"/>
      <x:c r="L1419" s="53"/>
      <x:c r="M1419" s="53"/>
      <x:c r="N1419" s="53"/>
      <x:c r="O1419" s="53"/>
      <x:c r="P1419" s="53"/>
      <x:c r="Q1419" s="53"/>
      <x:c r="R1419" s="53"/>
      <x:c r="S1419" s="53"/>
      <x:c r="T1419" s="53"/>
      <x:c r="U1419" s="53"/>
      <x:c r="V1419" s="53"/>
      <x:c r="W1419" s="53"/>
      <x:c r="X1419" s="53"/>
      <x:c r="Y1419" s="53"/>
      <x:c r="Z1419" s="53"/>
      <x:c r="AA1419" s="53"/>
      <x:c r="AB1419" s="53"/>
      <x:c r="AC1419" s="53"/>
      <x:c r="AD1419" s="53"/>
      <x:c r="AE1419" s="53"/>
      <x:c r="AF1419" s="53"/>
    </x:row>
    <x:row r="1420">
      <x:c r="A1420" s="53"/>
      <x:c r="B1420" s="53"/>
      <x:c r="C1420" s="53"/>
      <x:c r="D1420" s="53"/>
      <x:c r="E1420" s="53"/>
      <x:c r="F1420" s="53"/>
      <x:c r="G1420" s="53"/>
      <x:c r="H1420" s="53"/>
      <x:c r="I1420" s="53"/>
      <x:c r="J1420" s="53"/>
      <x:c r="K1420" s="53"/>
      <x:c r="L1420" s="53"/>
      <x:c r="M1420" s="53"/>
      <x:c r="N1420" s="53"/>
      <x:c r="O1420" s="53"/>
      <x:c r="P1420" s="53"/>
      <x:c r="Q1420" s="53"/>
      <x:c r="R1420" s="53"/>
      <x:c r="S1420" s="53"/>
      <x:c r="T1420" s="53"/>
      <x:c r="U1420" s="53"/>
      <x:c r="V1420" s="53"/>
      <x:c r="W1420" s="53"/>
      <x:c r="X1420" s="53"/>
      <x:c r="Y1420" s="53"/>
      <x:c r="Z1420" s="53"/>
      <x:c r="AA1420" s="53"/>
      <x:c r="AB1420" s="53"/>
      <x:c r="AC1420" s="53"/>
      <x:c r="AD1420" s="53"/>
      <x:c r="AE1420" s="53"/>
      <x:c r="AF1420" s="53"/>
    </x:row>
    <x:row r="1421">
      <x:c r="A1421" s="53"/>
      <x:c r="B1421" s="53"/>
      <x:c r="C1421" s="53"/>
      <x:c r="D1421" s="53"/>
      <x:c r="E1421" s="53"/>
      <x:c r="F1421" s="53"/>
      <x:c r="G1421" s="53"/>
      <x:c r="H1421" s="53"/>
      <x:c r="I1421" s="53"/>
      <x:c r="J1421" s="53"/>
      <x:c r="K1421" s="53"/>
      <x:c r="L1421" s="53"/>
      <x:c r="M1421" s="53"/>
      <x:c r="N1421" s="53"/>
      <x:c r="O1421" s="53"/>
      <x:c r="P1421" s="53"/>
      <x:c r="Q1421" s="53"/>
      <x:c r="R1421" s="53"/>
      <x:c r="S1421" s="53"/>
      <x:c r="T1421" s="53"/>
      <x:c r="U1421" s="53"/>
      <x:c r="V1421" s="53"/>
      <x:c r="W1421" s="53"/>
      <x:c r="X1421" s="53"/>
      <x:c r="Y1421" s="53"/>
      <x:c r="Z1421" s="53"/>
      <x:c r="AA1421" s="53"/>
      <x:c r="AB1421" s="53"/>
      <x:c r="AC1421" s="53"/>
      <x:c r="AD1421" s="53"/>
      <x:c r="AE1421" s="53"/>
      <x:c r="AF1421" s="53"/>
    </x:row>
    <x:row r="1422">
      <x:c r="A1422" s="53"/>
      <x:c r="B1422" s="53"/>
      <x:c r="C1422" s="53"/>
      <x:c r="D1422" s="53"/>
      <x:c r="E1422" s="53"/>
      <x:c r="F1422" s="53"/>
      <x:c r="G1422" s="53"/>
      <x:c r="H1422" s="53"/>
      <x:c r="I1422" s="53"/>
      <x:c r="J1422" s="53"/>
      <x:c r="K1422" s="53"/>
      <x:c r="L1422" s="53"/>
      <x:c r="M1422" s="53"/>
      <x:c r="N1422" s="53"/>
      <x:c r="O1422" s="53"/>
      <x:c r="P1422" s="53"/>
      <x:c r="Q1422" s="53"/>
      <x:c r="R1422" s="53"/>
      <x:c r="S1422" s="53"/>
      <x:c r="T1422" s="53"/>
      <x:c r="U1422" s="53"/>
      <x:c r="V1422" s="53"/>
      <x:c r="W1422" s="53"/>
      <x:c r="X1422" s="53"/>
      <x:c r="Y1422" s="53"/>
      <x:c r="Z1422" s="53"/>
      <x:c r="AA1422" s="53"/>
      <x:c r="AB1422" s="53"/>
      <x:c r="AC1422" s="53"/>
      <x:c r="AD1422" s="53"/>
      <x:c r="AE1422" s="53"/>
      <x:c r="AF1422" s="53"/>
    </x:row>
    <x:row r="1423">
      <x:c r="A1423" s="53"/>
      <x:c r="B1423" s="53"/>
      <x:c r="C1423" s="53"/>
      <x:c r="D1423" s="53"/>
      <x:c r="E1423" s="53"/>
      <x:c r="F1423" s="53"/>
      <x:c r="G1423" s="53"/>
      <x:c r="H1423" s="53"/>
      <x:c r="I1423" s="53"/>
      <x:c r="J1423" s="53"/>
      <x:c r="K1423" s="53"/>
      <x:c r="L1423" s="53"/>
      <x:c r="M1423" s="53"/>
      <x:c r="N1423" s="53"/>
      <x:c r="O1423" s="53"/>
      <x:c r="P1423" s="53"/>
      <x:c r="Q1423" s="53"/>
      <x:c r="R1423" s="53"/>
      <x:c r="S1423" s="53"/>
      <x:c r="T1423" s="53"/>
      <x:c r="U1423" s="53"/>
      <x:c r="V1423" s="53"/>
      <x:c r="W1423" s="53"/>
      <x:c r="X1423" s="53"/>
      <x:c r="Y1423" s="53"/>
      <x:c r="Z1423" s="53"/>
      <x:c r="AA1423" s="53"/>
      <x:c r="AB1423" s="53"/>
      <x:c r="AC1423" s="53"/>
      <x:c r="AD1423" s="53"/>
      <x:c r="AE1423" s="53"/>
      <x:c r="AF1423" s="53"/>
    </x:row>
    <x:row r="1424">
      <x:c r="A1424" s="53"/>
      <x:c r="B1424" s="53"/>
      <x:c r="C1424" s="53"/>
      <x:c r="D1424" s="53"/>
      <x:c r="E1424" s="53"/>
      <x:c r="F1424" s="53"/>
      <x:c r="G1424" s="53"/>
      <x:c r="H1424" s="53"/>
      <x:c r="I1424" s="53"/>
      <x:c r="J1424" s="53"/>
      <x:c r="K1424" s="53"/>
      <x:c r="L1424" s="53"/>
      <x:c r="M1424" s="53"/>
      <x:c r="N1424" s="53"/>
      <x:c r="O1424" s="53"/>
      <x:c r="P1424" s="53"/>
      <x:c r="Q1424" s="53"/>
      <x:c r="R1424" s="53"/>
      <x:c r="S1424" s="53"/>
      <x:c r="T1424" s="53"/>
      <x:c r="U1424" s="53"/>
      <x:c r="V1424" s="53"/>
      <x:c r="W1424" s="53"/>
      <x:c r="X1424" s="53"/>
      <x:c r="Y1424" s="53"/>
      <x:c r="Z1424" s="53"/>
      <x:c r="AA1424" s="53"/>
      <x:c r="AB1424" s="53"/>
      <x:c r="AC1424" s="53"/>
      <x:c r="AD1424" s="53"/>
      <x:c r="AE1424" s="53"/>
      <x:c r="AF1424" s="53"/>
    </x:row>
    <x:row r="1425">
      <x:c r="A1425" s="53"/>
      <x:c r="B1425" s="53"/>
      <x:c r="C1425" s="53"/>
      <x:c r="D1425" s="53"/>
      <x:c r="E1425" s="53"/>
      <x:c r="F1425" s="53"/>
      <x:c r="G1425" s="53"/>
      <x:c r="H1425" s="53"/>
      <x:c r="I1425" s="53"/>
      <x:c r="J1425" s="53"/>
      <x:c r="K1425" s="53"/>
      <x:c r="L1425" s="53"/>
      <x:c r="M1425" s="53"/>
      <x:c r="N1425" s="53"/>
      <x:c r="O1425" s="53"/>
      <x:c r="P1425" s="53"/>
      <x:c r="Q1425" s="53"/>
      <x:c r="R1425" s="53"/>
      <x:c r="S1425" s="53"/>
      <x:c r="T1425" s="53"/>
      <x:c r="U1425" s="53"/>
      <x:c r="V1425" s="53"/>
      <x:c r="W1425" s="53"/>
      <x:c r="X1425" s="53"/>
      <x:c r="Y1425" s="53"/>
      <x:c r="Z1425" s="53"/>
      <x:c r="AA1425" s="53"/>
      <x:c r="AB1425" s="53"/>
      <x:c r="AC1425" s="53"/>
      <x:c r="AD1425" s="53"/>
      <x:c r="AE1425" s="53"/>
      <x:c r="AF1425" s="53"/>
    </x:row>
    <x:row r="1426">
      <x:c r="A1426" s="53"/>
      <x:c r="B1426" s="53"/>
      <x:c r="C1426" s="53"/>
      <x:c r="D1426" s="53"/>
      <x:c r="E1426" s="53"/>
      <x:c r="F1426" s="53"/>
      <x:c r="G1426" s="53"/>
      <x:c r="H1426" s="53"/>
      <x:c r="I1426" s="53"/>
      <x:c r="J1426" s="53"/>
      <x:c r="K1426" s="53"/>
      <x:c r="L1426" s="53"/>
      <x:c r="M1426" s="53"/>
      <x:c r="N1426" s="53"/>
      <x:c r="O1426" s="53"/>
      <x:c r="P1426" s="53"/>
      <x:c r="Q1426" s="53"/>
      <x:c r="R1426" s="53"/>
      <x:c r="S1426" s="53"/>
      <x:c r="T1426" s="53"/>
      <x:c r="U1426" s="53"/>
      <x:c r="V1426" s="53"/>
      <x:c r="W1426" s="53"/>
      <x:c r="X1426" s="53"/>
      <x:c r="Y1426" s="53"/>
      <x:c r="Z1426" s="53"/>
      <x:c r="AA1426" s="53"/>
      <x:c r="AB1426" s="53"/>
      <x:c r="AC1426" s="53"/>
      <x:c r="AD1426" s="53"/>
      <x:c r="AE1426" s="53"/>
      <x:c r="AF1426" s="53"/>
    </x:row>
    <x:row r="1427">
      <x:c r="A1427" s="53"/>
      <x:c r="B1427" s="53"/>
      <x:c r="C1427" s="53"/>
      <x:c r="D1427" s="53"/>
      <x:c r="E1427" s="53"/>
      <x:c r="F1427" s="53"/>
      <x:c r="G1427" s="53"/>
      <x:c r="H1427" s="53"/>
      <x:c r="I1427" s="53"/>
      <x:c r="J1427" s="53"/>
      <x:c r="K1427" s="53"/>
      <x:c r="L1427" s="53"/>
      <x:c r="M1427" s="53"/>
      <x:c r="N1427" s="53"/>
      <x:c r="O1427" s="53"/>
      <x:c r="P1427" s="53"/>
      <x:c r="Q1427" s="53"/>
      <x:c r="R1427" s="53"/>
      <x:c r="S1427" s="53"/>
      <x:c r="T1427" s="53"/>
      <x:c r="U1427" s="53"/>
      <x:c r="V1427" s="53"/>
      <x:c r="W1427" s="53"/>
      <x:c r="X1427" s="53"/>
      <x:c r="Y1427" s="53"/>
      <x:c r="Z1427" s="53"/>
      <x:c r="AA1427" s="53"/>
      <x:c r="AB1427" s="53"/>
      <x:c r="AC1427" s="53"/>
      <x:c r="AD1427" s="53"/>
      <x:c r="AE1427" s="53"/>
      <x:c r="AF1427" s="53"/>
    </x:row>
    <x:row r="1428">
      <x:c r="A1428" s="53"/>
      <x:c r="B1428" s="53"/>
      <x:c r="C1428" s="53"/>
      <x:c r="D1428" s="53"/>
      <x:c r="E1428" s="53"/>
      <x:c r="F1428" s="53"/>
      <x:c r="G1428" s="53"/>
      <x:c r="H1428" s="53"/>
      <x:c r="I1428" s="53"/>
      <x:c r="J1428" s="53"/>
      <x:c r="K1428" s="53"/>
      <x:c r="L1428" s="53"/>
      <x:c r="M1428" s="53"/>
      <x:c r="N1428" s="53"/>
      <x:c r="O1428" s="53"/>
      <x:c r="P1428" s="53"/>
      <x:c r="Q1428" s="53"/>
      <x:c r="R1428" s="53"/>
      <x:c r="S1428" s="53"/>
      <x:c r="T1428" s="53"/>
      <x:c r="U1428" s="53"/>
      <x:c r="V1428" s="53"/>
      <x:c r="W1428" s="53"/>
      <x:c r="X1428" s="53"/>
      <x:c r="Y1428" s="53"/>
      <x:c r="Z1428" s="53"/>
      <x:c r="AA1428" s="53"/>
      <x:c r="AB1428" s="53"/>
      <x:c r="AC1428" s="53"/>
      <x:c r="AD1428" s="53"/>
      <x:c r="AE1428" s="53"/>
      <x:c r="AF1428" s="53"/>
    </x:row>
    <x:row r="1429">
      <x:c r="A1429" s="53"/>
      <x:c r="B1429" s="53"/>
      <x:c r="C1429" s="53"/>
      <x:c r="D1429" s="53"/>
      <x:c r="E1429" s="53"/>
      <x:c r="F1429" s="53"/>
      <x:c r="G1429" s="53"/>
      <x:c r="H1429" s="53"/>
      <x:c r="I1429" s="53"/>
      <x:c r="J1429" s="53"/>
      <x:c r="K1429" s="53"/>
      <x:c r="L1429" s="53"/>
      <x:c r="M1429" s="53"/>
      <x:c r="N1429" s="53"/>
      <x:c r="O1429" s="53"/>
      <x:c r="P1429" s="53"/>
      <x:c r="Q1429" s="53"/>
      <x:c r="R1429" s="53"/>
      <x:c r="S1429" s="53"/>
      <x:c r="T1429" s="53"/>
      <x:c r="U1429" s="53"/>
      <x:c r="V1429" s="53"/>
      <x:c r="W1429" s="53"/>
      <x:c r="X1429" s="53"/>
      <x:c r="Y1429" s="53"/>
      <x:c r="Z1429" s="53"/>
      <x:c r="AA1429" s="53"/>
      <x:c r="AB1429" s="53"/>
      <x:c r="AC1429" s="53"/>
      <x:c r="AD1429" s="53"/>
      <x:c r="AE1429" s="53"/>
      <x:c r="AF1429" s="53"/>
    </x:row>
    <x:row r="1430">
      <x:c r="A1430" s="53"/>
      <x:c r="B1430" s="53"/>
      <x:c r="C1430" s="53"/>
      <x:c r="D1430" s="53"/>
      <x:c r="E1430" s="53"/>
      <x:c r="F1430" s="53"/>
      <x:c r="G1430" s="53"/>
      <x:c r="H1430" s="53"/>
      <x:c r="I1430" s="53"/>
      <x:c r="J1430" s="53"/>
      <x:c r="K1430" s="53"/>
      <x:c r="L1430" s="53"/>
      <x:c r="M1430" s="53"/>
      <x:c r="N1430" s="53"/>
      <x:c r="O1430" s="53"/>
      <x:c r="P1430" s="53"/>
      <x:c r="Q1430" s="53"/>
      <x:c r="R1430" s="53"/>
      <x:c r="S1430" s="53"/>
      <x:c r="T1430" s="53"/>
      <x:c r="U1430" s="53"/>
      <x:c r="V1430" s="53"/>
      <x:c r="W1430" s="53"/>
      <x:c r="X1430" s="53"/>
      <x:c r="Y1430" s="53"/>
      <x:c r="Z1430" s="53"/>
      <x:c r="AA1430" s="53"/>
      <x:c r="AB1430" s="53"/>
      <x:c r="AC1430" s="53"/>
      <x:c r="AD1430" s="53"/>
      <x:c r="AE1430" s="53"/>
      <x:c r="AF1430" s="53"/>
    </x:row>
    <x:row r="1431">
      <x:c r="A1431" s="53"/>
      <x:c r="B1431" s="53"/>
      <x:c r="C1431" s="53"/>
      <x:c r="D1431" s="53"/>
      <x:c r="E1431" s="53"/>
      <x:c r="F1431" s="53"/>
      <x:c r="G1431" s="53"/>
      <x:c r="H1431" s="53"/>
      <x:c r="I1431" s="53"/>
      <x:c r="J1431" s="53"/>
      <x:c r="K1431" s="53"/>
      <x:c r="L1431" s="53"/>
      <x:c r="M1431" s="53"/>
      <x:c r="N1431" s="53"/>
      <x:c r="O1431" s="53"/>
      <x:c r="P1431" s="53"/>
      <x:c r="Q1431" s="53"/>
      <x:c r="R1431" s="53"/>
      <x:c r="S1431" s="53"/>
      <x:c r="T1431" s="53"/>
      <x:c r="U1431" s="53"/>
      <x:c r="V1431" s="53"/>
      <x:c r="W1431" s="53"/>
      <x:c r="X1431" s="53"/>
      <x:c r="Y1431" s="53"/>
      <x:c r="Z1431" s="53"/>
      <x:c r="AA1431" s="53"/>
      <x:c r="AB1431" s="53"/>
      <x:c r="AC1431" s="53"/>
      <x:c r="AD1431" s="53"/>
      <x:c r="AE1431" s="53"/>
      <x:c r="AF1431" s="53"/>
    </x:row>
    <x:row r="1432">
      <x:c r="A1432" s="53"/>
      <x:c r="B1432" s="53"/>
      <x:c r="C1432" s="53"/>
      <x:c r="D1432" s="53"/>
      <x:c r="E1432" s="53"/>
      <x:c r="F1432" s="53"/>
      <x:c r="G1432" s="53"/>
      <x:c r="H1432" s="53"/>
      <x:c r="I1432" s="53"/>
      <x:c r="J1432" s="53"/>
      <x:c r="K1432" s="53"/>
      <x:c r="L1432" s="53"/>
      <x:c r="M1432" s="53"/>
      <x:c r="N1432" s="53"/>
      <x:c r="O1432" s="53"/>
      <x:c r="P1432" s="53"/>
      <x:c r="Q1432" s="53"/>
      <x:c r="R1432" s="53"/>
      <x:c r="S1432" s="53"/>
      <x:c r="T1432" s="53"/>
      <x:c r="U1432" s="53"/>
      <x:c r="V1432" s="53"/>
      <x:c r="W1432" s="53"/>
      <x:c r="X1432" s="53"/>
      <x:c r="Y1432" s="53"/>
      <x:c r="Z1432" s="53"/>
      <x:c r="AA1432" s="53"/>
      <x:c r="AB1432" s="53"/>
      <x:c r="AC1432" s="53"/>
      <x:c r="AD1432" s="53"/>
      <x:c r="AE1432" s="53"/>
      <x:c r="AF1432" s="53"/>
    </x:row>
    <x:row r="1433">
      <x:c r="A1433" s="53"/>
      <x:c r="B1433" s="53"/>
      <x:c r="C1433" s="53"/>
      <x:c r="D1433" s="53"/>
      <x:c r="E1433" s="53"/>
      <x:c r="F1433" s="53"/>
      <x:c r="G1433" s="53"/>
      <x:c r="H1433" s="53"/>
      <x:c r="I1433" s="53"/>
      <x:c r="J1433" s="53"/>
      <x:c r="K1433" s="53"/>
      <x:c r="L1433" s="53"/>
      <x:c r="M1433" s="53"/>
      <x:c r="N1433" s="53"/>
      <x:c r="O1433" s="53"/>
      <x:c r="P1433" s="53"/>
      <x:c r="Q1433" s="53"/>
      <x:c r="R1433" s="53"/>
      <x:c r="S1433" s="53"/>
      <x:c r="T1433" s="53"/>
      <x:c r="U1433" s="53"/>
      <x:c r="V1433" s="53"/>
      <x:c r="W1433" s="53"/>
      <x:c r="X1433" s="53"/>
      <x:c r="Y1433" s="53"/>
      <x:c r="Z1433" s="53"/>
      <x:c r="AA1433" s="53"/>
      <x:c r="AB1433" s="53"/>
      <x:c r="AC1433" s="53"/>
      <x:c r="AD1433" s="53"/>
      <x:c r="AE1433" s="53"/>
      <x:c r="AF1433" s="53"/>
    </x:row>
    <x:row r="1434">
      <x:c r="A1434" s="53"/>
      <x:c r="B1434" s="53"/>
      <x:c r="C1434" s="53"/>
      <x:c r="D1434" s="53"/>
      <x:c r="E1434" s="53"/>
      <x:c r="F1434" s="53"/>
      <x:c r="G1434" s="53"/>
      <x:c r="H1434" s="53"/>
      <x:c r="I1434" s="53"/>
      <x:c r="J1434" s="53"/>
      <x:c r="K1434" s="53"/>
      <x:c r="L1434" s="53"/>
      <x:c r="M1434" s="53"/>
      <x:c r="N1434" s="53"/>
      <x:c r="O1434" s="53"/>
      <x:c r="P1434" s="53"/>
      <x:c r="Q1434" s="53"/>
      <x:c r="R1434" s="53"/>
      <x:c r="S1434" s="53"/>
      <x:c r="T1434" s="53"/>
      <x:c r="U1434" s="53"/>
      <x:c r="V1434" s="53"/>
      <x:c r="W1434" s="53"/>
      <x:c r="X1434" s="53"/>
      <x:c r="Y1434" s="53"/>
      <x:c r="Z1434" s="53"/>
      <x:c r="AA1434" s="53"/>
      <x:c r="AB1434" s="53"/>
      <x:c r="AC1434" s="53"/>
      <x:c r="AD1434" s="53"/>
      <x:c r="AE1434" s="53"/>
      <x:c r="AF1434" s="53"/>
    </x:row>
    <x:row r="1435">
      <x:c r="A1435" s="53"/>
      <x:c r="B1435" s="53"/>
      <x:c r="C1435" s="53"/>
      <x:c r="D1435" s="53"/>
      <x:c r="E1435" s="53"/>
      <x:c r="F1435" s="53"/>
      <x:c r="G1435" s="53"/>
      <x:c r="H1435" s="53"/>
      <x:c r="I1435" s="53"/>
      <x:c r="J1435" s="53"/>
      <x:c r="K1435" s="53"/>
      <x:c r="L1435" s="53"/>
      <x:c r="M1435" s="53"/>
      <x:c r="N1435" s="53"/>
      <x:c r="O1435" s="53"/>
      <x:c r="P1435" s="53"/>
      <x:c r="Q1435" s="53"/>
      <x:c r="R1435" s="53"/>
      <x:c r="S1435" s="53"/>
      <x:c r="T1435" s="53"/>
      <x:c r="U1435" s="53"/>
      <x:c r="V1435" s="53"/>
      <x:c r="W1435" s="53"/>
      <x:c r="X1435" s="53"/>
      <x:c r="Y1435" s="53"/>
      <x:c r="Z1435" s="53"/>
      <x:c r="AA1435" s="53"/>
      <x:c r="AB1435" s="53"/>
      <x:c r="AC1435" s="53"/>
      <x:c r="AD1435" s="53"/>
      <x:c r="AE1435" s="53"/>
      <x:c r="AF1435" s="53"/>
    </x:row>
    <x:row r="1436">
      <x:c r="A1436" s="53"/>
      <x:c r="B1436" s="53"/>
      <x:c r="C1436" s="53"/>
      <x:c r="D1436" s="53"/>
      <x:c r="E1436" s="53"/>
      <x:c r="F1436" s="53"/>
      <x:c r="G1436" s="53"/>
      <x:c r="H1436" s="53"/>
      <x:c r="I1436" s="53"/>
      <x:c r="J1436" s="53"/>
      <x:c r="K1436" s="53"/>
      <x:c r="L1436" s="53"/>
      <x:c r="M1436" s="53"/>
      <x:c r="N1436" s="53"/>
      <x:c r="O1436" s="53"/>
      <x:c r="P1436" s="53"/>
      <x:c r="Q1436" s="53"/>
      <x:c r="R1436" s="53"/>
      <x:c r="S1436" s="53"/>
      <x:c r="T1436" s="53"/>
      <x:c r="U1436" s="53"/>
      <x:c r="V1436" s="53"/>
      <x:c r="W1436" s="53"/>
      <x:c r="X1436" s="53"/>
      <x:c r="Y1436" s="53"/>
      <x:c r="Z1436" s="53"/>
      <x:c r="AA1436" s="53"/>
      <x:c r="AB1436" s="53"/>
      <x:c r="AC1436" s="53"/>
      <x:c r="AD1436" s="53"/>
      <x:c r="AE1436" s="53"/>
      <x:c r="AF1436" s="53"/>
    </x:row>
    <x:row r="1437">
      <x:c r="A1437" s="53"/>
      <x:c r="B1437" s="53"/>
      <x:c r="C1437" s="53"/>
      <x:c r="D1437" s="53"/>
      <x:c r="E1437" s="53"/>
      <x:c r="F1437" s="53"/>
      <x:c r="G1437" s="53"/>
      <x:c r="H1437" s="53"/>
      <x:c r="I1437" s="53"/>
      <x:c r="J1437" s="53"/>
      <x:c r="K1437" s="53"/>
      <x:c r="L1437" s="53"/>
      <x:c r="M1437" s="53"/>
      <x:c r="N1437" s="53"/>
      <x:c r="O1437" s="53"/>
      <x:c r="P1437" s="53"/>
      <x:c r="Q1437" s="53"/>
      <x:c r="R1437" s="53"/>
      <x:c r="S1437" s="53"/>
      <x:c r="T1437" s="53"/>
      <x:c r="U1437" s="53"/>
      <x:c r="V1437" s="53"/>
      <x:c r="W1437" s="53"/>
      <x:c r="X1437" s="53"/>
      <x:c r="Y1437" s="53"/>
      <x:c r="Z1437" s="53"/>
      <x:c r="AA1437" s="53"/>
      <x:c r="AB1437" s="53"/>
      <x:c r="AC1437" s="53"/>
      <x:c r="AD1437" s="53"/>
      <x:c r="AE1437" s="53"/>
      <x:c r="AF1437" s="53"/>
    </x:row>
    <x:row r="1438">
      <x:c r="A1438" s="53"/>
      <x:c r="B1438" s="53"/>
      <x:c r="C1438" s="53"/>
      <x:c r="D1438" s="53"/>
      <x:c r="E1438" s="53"/>
      <x:c r="F1438" s="53"/>
      <x:c r="G1438" s="53"/>
      <x:c r="H1438" s="53"/>
      <x:c r="I1438" s="53"/>
      <x:c r="J1438" s="53"/>
      <x:c r="K1438" s="53"/>
      <x:c r="L1438" s="53"/>
      <x:c r="M1438" s="53"/>
      <x:c r="N1438" s="53"/>
      <x:c r="O1438" s="53"/>
      <x:c r="P1438" s="53"/>
      <x:c r="Q1438" s="53"/>
      <x:c r="R1438" s="53"/>
      <x:c r="S1438" s="53"/>
      <x:c r="T1438" s="53"/>
      <x:c r="U1438" s="53"/>
      <x:c r="V1438" s="53"/>
      <x:c r="W1438" s="53"/>
      <x:c r="X1438" s="53"/>
      <x:c r="Y1438" s="53"/>
      <x:c r="Z1438" s="53"/>
      <x:c r="AA1438" s="53"/>
      <x:c r="AB1438" s="53"/>
      <x:c r="AC1438" s="53"/>
      <x:c r="AD1438" s="53"/>
      <x:c r="AE1438" s="53"/>
      <x:c r="AF1438" s="53"/>
    </x:row>
    <x:row r="1439">
      <x:c r="A1439" s="53"/>
      <x:c r="B1439" s="53"/>
      <x:c r="C1439" s="53"/>
      <x:c r="D1439" s="53"/>
      <x:c r="E1439" s="53"/>
      <x:c r="F1439" s="53"/>
      <x:c r="G1439" s="53"/>
      <x:c r="H1439" s="53"/>
      <x:c r="I1439" s="53"/>
      <x:c r="J1439" s="53"/>
      <x:c r="K1439" s="53"/>
      <x:c r="L1439" s="53"/>
      <x:c r="M1439" s="53"/>
      <x:c r="N1439" s="53"/>
      <x:c r="O1439" s="53"/>
      <x:c r="P1439" s="53"/>
      <x:c r="Q1439" s="53"/>
      <x:c r="R1439" s="53"/>
      <x:c r="S1439" s="53"/>
      <x:c r="T1439" s="53"/>
      <x:c r="U1439" s="53"/>
      <x:c r="V1439" s="53"/>
      <x:c r="W1439" s="53"/>
      <x:c r="X1439" s="53"/>
      <x:c r="Y1439" s="53"/>
      <x:c r="Z1439" s="53"/>
      <x:c r="AA1439" s="53"/>
      <x:c r="AB1439" s="53"/>
      <x:c r="AC1439" s="53"/>
      <x:c r="AD1439" s="53"/>
      <x:c r="AE1439" s="53"/>
      <x:c r="AF1439" s="53"/>
    </x:row>
    <x:row r="1440">
      <x:c r="A1440" s="53"/>
      <x:c r="B1440" s="53"/>
      <x:c r="C1440" s="53"/>
      <x:c r="D1440" s="53"/>
      <x:c r="E1440" s="53"/>
      <x:c r="F1440" s="53"/>
      <x:c r="G1440" s="53"/>
      <x:c r="H1440" s="53"/>
      <x:c r="I1440" s="53"/>
      <x:c r="J1440" s="53"/>
      <x:c r="K1440" s="53"/>
      <x:c r="L1440" s="53"/>
      <x:c r="M1440" s="53"/>
      <x:c r="N1440" s="53"/>
      <x:c r="O1440" s="53"/>
      <x:c r="P1440" s="53"/>
      <x:c r="Q1440" s="53"/>
      <x:c r="R1440" s="53"/>
      <x:c r="S1440" s="53"/>
      <x:c r="T1440" s="53"/>
      <x:c r="U1440" s="53"/>
      <x:c r="V1440" s="53"/>
      <x:c r="W1440" s="53"/>
      <x:c r="X1440" s="53"/>
      <x:c r="Y1440" s="53"/>
      <x:c r="Z1440" s="53"/>
      <x:c r="AA1440" s="53"/>
      <x:c r="AB1440" s="53"/>
      <x:c r="AC1440" s="53"/>
      <x:c r="AD1440" s="53"/>
      <x:c r="AE1440" s="53"/>
      <x:c r="AF1440" s="53"/>
    </x:row>
    <x:row r="1441">
      <x:c r="A1441" s="53"/>
      <x:c r="B1441" s="53"/>
      <x:c r="C1441" s="53"/>
      <x:c r="D1441" s="53"/>
      <x:c r="E1441" s="53"/>
      <x:c r="F1441" s="53"/>
      <x:c r="G1441" s="53"/>
      <x:c r="H1441" s="53"/>
      <x:c r="I1441" s="53"/>
      <x:c r="J1441" s="53"/>
      <x:c r="K1441" s="53"/>
      <x:c r="L1441" s="53"/>
      <x:c r="M1441" s="53"/>
      <x:c r="N1441" s="53"/>
      <x:c r="O1441" s="53"/>
      <x:c r="P1441" s="53"/>
      <x:c r="Q1441" s="53"/>
      <x:c r="R1441" s="53"/>
      <x:c r="S1441" s="53"/>
      <x:c r="T1441" s="53"/>
      <x:c r="U1441" s="53"/>
      <x:c r="V1441" s="53"/>
      <x:c r="W1441" s="53"/>
      <x:c r="X1441" s="53"/>
      <x:c r="Y1441" s="53"/>
      <x:c r="Z1441" s="53"/>
      <x:c r="AA1441" s="53"/>
      <x:c r="AB1441" s="53"/>
      <x:c r="AC1441" s="53"/>
      <x:c r="AD1441" s="53"/>
      <x:c r="AE1441" s="53"/>
      <x:c r="AF1441" s="53"/>
    </x:row>
    <x:row r="1442">
      <x:c r="A1442" s="53"/>
      <x:c r="B1442" s="53"/>
      <x:c r="C1442" s="53"/>
      <x:c r="D1442" s="53"/>
      <x:c r="E1442" s="53"/>
      <x:c r="F1442" s="53"/>
      <x:c r="G1442" s="53"/>
      <x:c r="H1442" s="53"/>
      <x:c r="I1442" s="53"/>
      <x:c r="J1442" s="53"/>
      <x:c r="K1442" s="53"/>
      <x:c r="L1442" s="53"/>
      <x:c r="M1442" s="53"/>
      <x:c r="N1442" s="53"/>
      <x:c r="O1442" s="53"/>
      <x:c r="P1442" s="53"/>
      <x:c r="Q1442" s="53"/>
      <x:c r="R1442" s="53"/>
      <x:c r="S1442" s="53"/>
      <x:c r="T1442" s="53"/>
      <x:c r="U1442" s="53"/>
      <x:c r="V1442" s="53"/>
      <x:c r="W1442" s="53"/>
      <x:c r="X1442" s="53"/>
      <x:c r="Y1442" s="53"/>
      <x:c r="Z1442" s="53"/>
      <x:c r="AA1442" s="53"/>
      <x:c r="AB1442" s="53"/>
      <x:c r="AC1442" s="53"/>
      <x:c r="AD1442" s="53"/>
      <x:c r="AE1442" s="53"/>
      <x:c r="AF1442" s="53"/>
    </x:row>
    <x:row r="1443">
      <x:c r="A1443" s="53"/>
      <x:c r="B1443" s="53"/>
      <x:c r="C1443" s="53"/>
      <x:c r="D1443" s="53"/>
      <x:c r="E1443" s="53"/>
      <x:c r="F1443" s="53"/>
      <x:c r="G1443" s="53"/>
      <x:c r="H1443" s="53"/>
      <x:c r="I1443" s="53"/>
      <x:c r="J1443" s="53"/>
      <x:c r="K1443" s="53"/>
      <x:c r="L1443" s="53"/>
      <x:c r="M1443" s="53"/>
      <x:c r="N1443" s="53"/>
      <x:c r="O1443" s="53"/>
      <x:c r="P1443" s="53"/>
      <x:c r="Q1443" s="53"/>
      <x:c r="R1443" s="53"/>
      <x:c r="S1443" s="53"/>
      <x:c r="T1443" s="53"/>
      <x:c r="U1443" s="53"/>
      <x:c r="V1443" s="53"/>
      <x:c r="W1443" s="53"/>
      <x:c r="X1443" s="53"/>
      <x:c r="Y1443" s="53"/>
      <x:c r="Z1443" s="53"/>
      <x:c r="AA1443" s="53"/>
      <x:c r="AB1443" s="53"/>
      <x:c r="AC1443" s="53"/>
      <x:c r="AD1443" s="53"/>
      <x:c r="AE1443" s="53"/>
      <x:c r="AF1443" s="53"/>
    </x:row>
    <x:row r="1444">
      <x:c r="A1444" s="53"/>
      <x:c r="B1444" s="53"/>
      <x:c r="C1444" s="53"/>
      <x:c r="D1444" s="53"/>
      <x:c r="E1444" s="53"/>
      <x:c r="F1444" s="53"/>
      <x:c r="G1444" s="53"/>
      <x:c r="H1444" s="53"/>
      <x:c r="I1444" s="53"/>
      <x:c r="J1444" s="53"/>
      <x:c r="K1444" s="53"/>
      <x:c r="L1444" s="53"/>
      <x:c r="M1444" s="53"/>
      <x:c r="N1444" s="53"/>
      <x:c r="O1444" s="53"/>
      <x:c r="P1444" s="53"/>
      <x:c r="Q1444" s="53"/>
      <x:c r="R1444" s="53"/>
      <x:c r="S1444" s="53"/>
      <x:c r="T1444" s="53"/>
      <x:c r="U1444" s="53"/>
      <x:c r="V1444" s="53"/>
      <x:c r="W1444" s="53"/>
      <x:c r="X1444" s="53"/>
      <x:c r="Y1444" s="53"/>
      <x:c r="Z1444" s="53"/>
      <x:c r="AA1444" s="53"/>
      <x:c r="AB1444" s="53"/>
      <x:c r="AC1444" s="53"/>
      <x:c r="AD1444" s="53"/>
      <x:c r="AE1444" s="53"/>
      <x:c r="AF1444" s="53"/>
    </x:row>
    <x:row r="1445">
      <x:c r="A1445" s="53"/>
      <x:c r="B1445" s="53"/>
      <x:c r="C1445" s="53"/>
      <x:c r="D1445" s="53"/>
      <x:c r="E1445" s="53"/>
      <x:c r="F1445" s="53"/>
      <x:c r="G1445" s="53"/>
      <x:c r="H1445" s="53"/>
      <x:c r="I1445" s="53"/>
      <x:c r="J1445" s="53"/>
      <x:c r="K1445" s="53"/>
      <x:c r="L1445" s="53"/>
      <x:c r="M1445" s="53"/>
      <x:c r="N1445" s="53"/>
      <x:c r="O1445" s="53"/>
      <x:c r="P1445" s="53"/>
      <x:c r="Q1445" s="53"/>
      <x:c r="R1445" s="53"/>
      <x:c r="S1445" s="53"/>
      <x:c r="T1445" s="53"/>
      <x:c r="U1445" s="53"/>
      <x:c r="V1445" s="53"/>
      <x:c r="W1445" s="53"/>
      <x:c r="X1445" s="53"/>
      <x:c r="Y1445" s="53"/>
      <x:c r="Z1445" s="53"/>
      <x:c r="AA1445" s="53"/>
      <x:c r="AB1445" s="53"/>
      <x:c r="AC1445" s="53"/>
      <x:c r="AD1445" s="53"/>
      <x:c r="AE1445" s="53"/>
      <x:c r="AF1445" s="53"/>
    </x:row>
    <x:row r="1446">
      <x:c r="A1446" s="53"/>
      <x:c r="B1446" s="53"/>
      <x:c r="C1446" s="53"/>
      <x:c r="D1446" s="53"/>
      <x:c r="E1446" s="53"/>
      <x:c r="F1446" s="53"/>
      <x:c r="G1446" s="53"/>
      <x:c r="H1446" s="53"/>
      <x:c r="I1446" s="53"/>
      <x:c r="J1446" s="53"/>
      <x:c r="K1446" s="53"/>
      <x:c r="L1446" s="53"/>
      <x:c r="M1446" s="53"/>
      <x:c r="N1446" s="53"/>
      <x:c r="O1446" s="53"/>
      <x:c r="P1446" s="53"/>
      <x:c r="Q1446" s="53"/>
      <x:c r="R1446" s="53"/>
      <x:c r="S1446" s="53"/>
      <x:c r="T1446" s="53"/>
      <x:c r="U1446" s="53"/>
      <x:c r="V1446" s="53"/>
      <x:c r="W1446" s="53"/>
      <x:c r="X1446" s="53"/>
      <x:c r="Y1446" s="53"/>
      <x:c r="Z1446" s="53"/>
      <x:c r="AA1446" s="53"/>
      <x:c r="AB1446" s="53"/>
      <x:c r="AC1446" s="53"/>
      <x:c r="AD1446" s="53"/>
      <x:c r="AE1446" s="53"/>
      <x:c r="AF1446" s="53"/>
    </x:row>
    <x:row r="1447">
      <x:c r="A1447" s="53"/>
      <x:c r="B1447" s="53"/>
      <x:c r="C1447" s="53"/>
      <x:c r="D1447" s="53"/>
      <x:c r="E1447" s="53"/>
      <x:c r="F1447" s="53"/>
      <x:c r="G1447" s="53"/>
      <x:c r="H1447" s="53"/>
      <x:c r="I1447" s="53"/>
      <x:c r="J1447" s="53"/>
      <x:c r="K1447" s="53"/>
      <x:c r="L1447" s="53"/>
      <x:c r="M1447" s="53"/>
      <x:c r="N1447" s="53"/>
      <x:c r="O1447" s="53"/>
      <x:c r="P1447" s="53"/>
      <x:c r="Q1447" s="53"/>
      <x:c r="R1447" s="53"/>
      <x:c r="S1447" s="53"/>
      <x:c r="T1447" s="53"/>
      <x:c r="U1447" s="53"/>
      <x:c r="V1447" s="53"/>
      <x:c r="W1447" s="53"/>
      <x:c r="X1447" s="53"/>
      <x:c r="Y1447" s="53"/>
      <x:c r="Z1447" s="53"/>
      <x:c r="AA1447" s="53"/>
      <x:c r="AB1447" s="53"/>
      <x:c r="AC1447" s="53"/>
      <x:c r="AD1447" s="53"/>
      <x:c r="AE1447" s="53"/>
      <x:c r="AF1447" s="53"/>
    </x:row>
    <x:row r="1448">
      <x:c r="A1448" s="53"/>
      <x:c r="B1448" s="53"/>
      <x:c r="C1448" s="53"/>
      <x:c r="D1448" s="53"/>
      <x:c r="E1448" s="53"/>
      <x:c r="F1448" s="53"/>
      <x:c r="G1448" s="53"/>
      <x:c r="H1448" s="53"/>
      <x:c r="I1448" s="53"/>
      <x:c r="J1448" s="53"/>
      <x:c r="K1448" s="53"/>
      <x:c r="L1448" s="53"/>
      <x:c r="M1448" s="53"/>
      <x:c r="N1448" s="53"/>
      <x:c r="O1448" s="53"/>
      <x:c r="P1448" s="53"/>
      <x:c r="Q1448" s="53"/>
      <x:c r="R1448" s="53"/>
      <x:c r="S1448" s="53"/>
      <x:c r="T1448" s="53"/>
      <x:c r="U1448" s="53"/>
      <x:c r="V1448" s="53"/>
      <x:c r="W1448" s="53"/>
      <x:c r="X1448" s="53"/>
      <x:c r="Y1448" s="53"/>
      <x:c r="Z1448" s="53"/>
      <x:c r="AA1448" s="53"/>
      <x:c r="AB1448" s="53"/>
      <x:c r="AC1448" s="53"/>
      <x:c r="AD1448" s="53"/>
      <x:c r="AE1448" s="53"/>
      <x:c r="AF1448" s="53"/>
    </x:row>
    <x:row r="1449">
      <x:c r="A1449" s="53"/>
      <x:c r="B1449" s="53"/>
      <x:c r="C1449" s="53"/>
      <x:c r="D1449" s="53"/>
      <x:c r="E1449" s="53"/>
      <x:c r="F1449" s="53"/>
      <x:c r="G1449" s="53"/>
      <x:c r="H1449" s="53"/>
      <x:c r="I1449" s="53"/>
      <x:c r="J1449" s="53"/>
      <x:c r="K1449" s="53"/>
      <x:c r="L1449" s="53"/>
      <x:c r="M1449" s="53"/>
      <x:c r="N1449" s="53"/>
      <x:c r="O1449" s="53"/>
      <x:c r="P1449" s="53"/>
      <x:c r="Q1449" s="53"/>
      <x:c r="R1449" s="53"/>
      <x:c r="S1449" s="53"/>
      <x:c r="T1449" s="53"/>
      <x:c r="U1449" s="53"/>
      <x:c r="V1449" s="53"/>
      <x:c r="W1449" s="53"/>
      <x:c r="X1449" s="53"/>
      <x:c r="Y1449" s="53"/>
      <x:c r="Z1449" s="53"/>
      <x:c r="AA1449" s="53"/>
      <x:c r="AB1449" s="53"/>
      <x:c r="AC1449" s="53"/>
      <x:c r="AD1449" s="53"/>
      <x:c r="AE1449" s="53"/>
      <x:c r="AF1449" s="53"/>
    </x:row>
    <x:row r="1450">
      <x:c r="A1450" s="53"/>
      <x:c r="B1450" s="53"/>
      <x:c r="C1450" s="53"/>
      <x:c r="D1450" s="53"/>
      <x:c r="E1450" s="53"/>
      <x:c r="F1450" s="53"/>
      <x:c r="G1450" s="53"/>
      <x:c r="H1450" s="53"/>
      <x:c r="I1450" s="53"/>
      <x:c r="J1450" s="53"/>
      <x:c r="K1450" s="53"/>
      <x:c r="L1450" s="53"/>
      <x:c r="M1450" s="53"/>
      <x:c r="N1450" s="53"/>
      <x:c r="O1450" s="53"/>
      <x:c r="P1450" s="53"/>
      <x:c r="Q1450" s="53"/>
      <x:c r="R1450" s="53"/>
      <x:c r="S1450" s="53"/>
      <x:c r="T1450" s="53"/>
      <x:c r="U1450" s="53"/>
      <x:c r="V1450" s="53"/>
      <x:c r="W1450" s="53"/>
      <x:c r="X1450" s="53"/>
      <x:c r="Y1450" s="53"/>
      <x:c r="Z1450" s="53"/>
      <x:c r="AA1450" s="53"/>
      <x:c r="AB1450" s="53"/>
      <x:c r="AC1450" s="53"/>
      <x:c r="AD1450" s="53"/>
      <x:c r="AE1450" s="53"/>
      <x:c r="AF1450" s="53"/>
    </x:row>
    <x:row r="1451">
      <x:c r="A1451" s="53"/>
      <x:c r="B1451" s="53"/>
      <x:c r="C1451" s="53"/>
      <x:c r="D1451" s="53"/>
      <x:c r="E1451" s="53"/>
      <x:c r="F1451" s="53"/>
      <x:c r="G1451" s="53"/>
      <x:c r="H1451" s="53"/>
      <x:c r="I1451" s="53"/>
      <x:c r="J1451" s="53"/>
      <x:c r="K1451" s="53"/>
      <x:c r="L1451" s="53"/>
      <x:c r="M1451" s="53"/>
      <x:c r="N1451" s="53"/>
      <x:c r="O1451" s="53"/>
      <x:c r="P1451" s="53"/>
      <x:c r="Q1451" s="53"/>
      <x:c r="R1451" s="53"/>
      <x:c r="S1451" s="53"/>
      <x:c r="T1451" s="53"/>
      <x:c r="U1451" s="53"/>
      <x:c r="V1451" s="53"/>
      <x:c r="W1451" s="53"/>
      <x:c r="X1451" s="53"/>
      <x:c r="Y1451" s="53"/>
      <x:c r="Z1451" s="53"/>
      <x:c r="AA1451" s="53"/>
      <x:c r="AB1451" s="53"/>
      <x:c r="AC1451" s="53"/>
      <x:c r="AD1451" s="53"/>
      <x:c r="AE1451" s="53"/>
      <x:c r="AF1451" s="53"/>
    </x:row>
    <x:row r="1452">
      <x:c r="A1452" s="53"/>
      <x:c r="B1452" s="53"/>
      <x:c r="C1452" s="53"/>
      <x:c r="D1452" s="53"/>
      <x:c r="E1452" s="53"/>
      <x:c r="F1452" s="53"/>
      <x:c r="G1452" s="53"/>
      <x:c r="H1452" s="53"/>
      <x:c r="I1452" s="53"/>
      <x:c r="J1452" s="53"/>
      <x:c r="K1452" s="53"/>
      <x:c r="L1452" s="53"/>
      <x:c r="M1452" s="53"/>
      <x:c r="N1452" s="53"/>
      <x:c r="O1452" s="53"/>
      <x:c r="P1452" s="53"/>
      <x:c r="Q1452" s="53"/>
      <x:c r="R1452" s="53"/>
      <x:c r="S1452" s="53"/>
      <x:c r="T1452" s="53"/>
      <x:c r="U1452" s="53"/>
      <x:c r="V1452" s="53"/>
      <x:c r="W1452" s="53"/>
      <x:c r="X1452" s="53"/>
      <x:c r="Y1452" s="53"/>
      <x:c r="Z1452" s="53"/>
      <x:c r="AA1452" s="53"/>
      <x:c r="AB1452" s="53"/>
      <x:c r="AC1452" s="53"/>
      <x:c r="AD1452" s="53"/>
      <x:c r="AE1452" s="53"/>
      <x:c r="AF1452" s="53"/>
    </x:row>
    <x:row r="1453">
      <x:c r="A1453" s="53"/>
      <x:c r="B1453" s="53"/>
      <x:c r="C1453" s="53"/>
      <x:c r="D1453" s="53"/>
      <x:c r="E1453" s="53"/>
      <x:c r="F1453" s="53"/>
      <x:c r="G1453" s="53"/>
      <x:c r="H1453" s="53"/>
      <x:c r="I1453" s="53"/>
      <x:c r="J1453" s="53"/>
      <x:c r="K1453" s="53"/>
      <x:c r="L1453" s="53"/>
      <x:c r="M1453" s="53"/>
      <x:c r="N1453" s="53"/>
      <x:c r="O1453" s="53"/>
      <x:c r="P1453" s="53"/>
      <x:c r="Q1453" s="53"/>
      <x:c r="R1453" s="53"/>
      <x:c r="S1453" s="53"/>
      <x:c r="T1453" s="53"/>
      <x:c r="U1453" s="53"/>
      <x:c r="V1453" s="53"/>
      <x:c r="W1453" s="53"/>
      <x:c r="X1453" s="53"/>
      <x:c r="Y1453" s="53"/>
      <x:c r="Z1453" s="53"/>
      <x:c r="AA1453" s="53"/>
      <x:c r="AB1453" s="53"/>
      <x:c r="AC1453" s="53"/>
      <x:c r="AD1453" s="53"/>
      <x:c r="AE1453" s="53"/>
      <x:c r="AF1453" s="53"/>
    </x:row>
    <x:row r="1454">
      <x:c r="A1454" s="53"/>
      <x:c r="B1454" s="53"/>
      <x:c r="C1454" s="53"/>
      <x:c r="D1454" s="53"/>
      <x:c r="E1454" s="53"/>
      <x:c r="F1454" s="53"/>
      <x:c r="G1454" s="53"/>
      <x:c r="H1454" s="53"/>
      <x:c r="I1454" s="53"/>
      <x:c r="J1454" s="53"/>
      <x:c r="K1454" s="53"/>
      <x:c r="L1454" s="53"/>
      <x:c r="M1454" s="53"/>
      <x:c r="N1454" s="53"/>
      <x:c r="O1454" s="53"/>
      <x:c r="P1454" s="53"/>
      <x:c r="Q1454" s="53"/>
      <x:c r="R1454" s="53"/>
      <x:c r="S1454" s="53"/>
      <x:c r="T1454" s="53"/>
      <x:c r="U1454" s="53"/>
      <x:c r="V1454" s="53"/>
      <x:c r="W1454" s="53"/>
      <x:c r="X1454" s="53"/>
      <x:c r="Y1454" s="53"/>
      <x:c r="Z1454" s="53"/>
      <x:c r="AA1454" s="53"/>
      <x:c r="AB1454" s="53"/>
      <x:c r="AC1454" s="53"/>
      <x:c r="AD1454" s="53"/>
      <x:c r="AE1454" s="53"/>
      <x:c r="AF1454" s="53"/>
    </x:row>
    <x:row r="1455">
      <x:c r="A1455" s="53"/>
      <x:c r="B1455" s="53"/>
      <x:c r="C1455" s="53"/>
      <x:c r="D1455" s="53"/>
      <x:c r="E1455" s="53"/>
      <x:c r="F1455" s="53"/>
      <x:c r="G1455" s="53"/>
      <x:c r="H1455" s="53"/>
      <x:c r="I1455" s="53"/>
      <x:c r="J1455" s="53"/>
      <x:c r="K1455" s="53"/>
      <x:c r="L1455" s="53"/>
      <x:c r="M1455" s="53"/>
      <x:c r="N1455" s="53"/>
      <x:c r="O1455" s="53"/>
      <x:c r="P1455" s="53"/>
      <x:c r="Q1455" s="53"/>
      <x:c r="R1455" s="53"/>
      <x:c r="S1455" s="53"/>
      <x:c r="T1455" s="53"/>
      <x:c r="U1455" s="53"/>
      <x:c r="V1455" s="53"/>
      <x:c r="W1455" s="53"/>
      <x:c r="X1455" s="53"/>
      <x:c r="Y1455" s="53"/>
      <x:c r="Z1455" s="53"/>
      <x:c r="AA1455" s="53"/>
      <x:c r="AB1455" s="53"/>
      <x:c r="AC1455" s="53"/>
      <x:c r="AD1455" s="53"/>
      <x:c r="AE1455" s="53"/>
      <x:c r="AF1455" s="53"/>
    </x:row>
    <x:row r="1456">
      <x:c r="A1456" s="53"/>
      <x:c r="B1456" s="53"/>
      <x:c r="C1456" s="53"/>
      <x:c r="D1456" s="53"/>
      <x:c r="E1456" s="53"/>
      <x:c r="F1456" s="53"/>
      <x:c r="G1456" s="53"/>
      <x:c r="H1456" s="53"/>
      <x:c r="I1456" s="53"/>
      <x:c r="J1456" s="53"/>
      <x:c r="K1456" s="53"/>
      <x:c r="L1456" s="53"/>
      <x:c r="M1456" s="53"/>
      <x:c r="N1456" s="53"/>
      <x:c r="O1456" s="53"/>
      <x:c r="P1456" s="53"/>
      <x:c r="Q1456" s="53"/>
      <x:c r="R1456" s="53"/>
      <x:c r="S1456" s="53"/>
      <x:c r="T1456" s="53"/>
      <x:c r="U1456" s="53"/>
      <x:c r="V1456" s="53"/>
      <x:c r="W1456" s="53"/>
      <x:c r="X1456" s="53"/>
      <x:c r="Y1456" s="53"/>
      <x:c r="Z1456" s="53"/>
      <x:c r="AA1456" s="53"/>
      <x:c r="AB1456" s="53"/>
      <x:c r="AC1456" s="53"/>
      <x:c r="AD1456" s="53"/>
      <x:c r="AE1456" s="53"/>
      <x:c r="AF1456" s="53"/>
    </x:row>
    <x:row r="1457">
      <x:c r="A1457" s="53"/>
      <x:c r="B1457" s="53"/>
      <x:c r="C1457" s="53"/>
      <x:c r="D1457" s="53"/>
      <x:c r="E1457" s="53"/>
      <x:c r="F1457" s="53"/>
      <x:c r="G1457" s="53"/>
      <x:c r="H1457" s="53"/>
      <x:c r="I1457" s="53"/>
      <x:c r="J1457" s="53"/>
      <x:c r="K1457" s="53"/>
      <x:c r="L1457" s="53"/>
      <x:c r="M1457" s="53"/>
      <x:c r="N1457" s="53"/>
      <x:c r="O1457" s="53"/>
      <x:c r="P1457" s="53"/>
      <x:c r="Q1457" s="53"/>
      <x:c r="R1457" s="53"/>
      <x:c r="S1457" s="53"/>
      <x:c r="T1457" s="53"/>
      <x:c r="U1457" s="53"/>
      <x:c r="V1457" s="53"/>
      <x:c r="W1457" s="53"/>
      <x:c r="X1457" s="53"/>
      <x:c r="Y1457" s="53"/>
      <x:c r="Z1457" s="53"/>
      <x:c r="AA1457" s="53"/>
      <x:c r="AB1457" s="53"/>
      <x:c r="AC1457" s="53"/>
      <x:c r="AD1457" s="53"/>
      <x:c r="AE1457" s="53"/>
      <x:c r="AF1457" s="53"/>
    </x:row>
    <x:row r="1458">
      <x:c r="A1458" s="53"/>
      <x:c r="B1458" s="53"/>
      <x:c r="C1458" s="53"/>
      <x:c r="D1458" s="53"/>
      <x:c r="E1458" s="53"/>
      <x:c r="F1458" s="53"/>
      <x:c r="G1458" s="53"/>
      <x:c r="H1458" s="53"/>
      <x:c r="I1458" s="53"/>
      <x:c r="J1458" s="53"/>
      <x:c r="K1458" s="53"/>
      <x:c r="L1458" s="53"/>
      <x:c r="M1458" s="53"/>
      <x:c r="N1458" s="53"/>
      <x:c r="O1458" s="53"/>
      <x:c r="P1458" s="53"/>
      <x:c r="Q1458" s="53"/>
      <x:c r="R1458" s="53"/>
      <x:c r="S1458" s="53"/>
      <x:c r="T1458" s="53"/>
      <x:c r="U1458" s="53"/>
      <x:c r="V1458" s="53"/>
      <x:c r="W1458" s="53"/>
      <x:c r="X1458" s="53"/>
      <x:c r="Y1458" s="53"/>
      <x:c r="Z1458" s="53"/>
      <x:c r="AA1458" s="53"/>
      <x:c r="AB1458" s="53"/>
      <x:c r="AC1458" s="53"/>
      <x:c r="AD1458" s="53"/>
      <x:c r="AE1458" s="53"/>
      <x:c r="AF1458" s="53"/>
    </x:row>
    <x:row r="1459">
      <x:c r="A1459" s="53"/>
      <x:c r="B1459" s="53"/>
      <x:c r="C1459" s="53"/>
      <x:c r="D1459" s="53"/>
      <x:c r="E1459" s="53"/>
      <x:c r="F1459" s="53"/>
      <x:c r="G1459" s="53"/>
      <x:c r="H1459" s="53"/>
      <x:c r="I1459" s="53"/>
      <x:c r="J1459" s="53"/>
      <x:c r="K1459" s="53"/>
      <x:c r="L1459" s="53"/>
      <x:c r="M1459" s="53"/>
      <x:c r="N1459" s="53"/>
      <x:c r="O1459" s="53"/>
      <x:c r="P1459" s="53"/>
      <x:c r="Q1459" s="53"/>
      <x:c r="R1459" s="53"/>
      <x:c r="S1459" s="53"/>
      <x:c r="T1459" s="53"/>
      <x:c r="U1459" s="53"/>
      <x:c r="V1459" s="53"/>
      <x:c r="W1459" s="53"/>
      <x:c r="X1459" s="53"/>
      <x:c r="Y1459" s="53"/>
      <x:c r="Z1459" s="53"/>
      <x:c r="AA1459" s="53"/>
      <x:c r="AB1459" s="53"/>
      <x:c r="AC1459" s="53"/>
      <x:c r="AD1459" s="53"/>
      <x:c r="AE1459" s="53"/>
      <x:c r="AF1459" s="53"/>
    </x:row>
    <x:row r="1460">
      <x:c r="A1460" s="53"/>
      <x:c r="B1460" s="53"/>
      <x:c r="C1460" s="53"/>
      <x:c r="D1460" s="53"/>
      <x:c r="E1460" s="53"/>
      <x:c r="F1460" s="53"/>
      <x:c r="G1460" s="53"/>
      <x:c r="H1460" s="53"/>
      <x:c r="I1460" s="53"/>
      <x:c r="J1460" s="53"/>
      <x:c r="K1460" s="53"/>
      <x:c r="L1460" s="53"/>
      <x:c r="M1460" s="53"/>
      <x:c r="N1460" s="53"/>
      <x:c r="O1460" s="53"/>
      <x:c r="P1460" s="53"/>
      <x:c r="Q1460" s="53"/>
      <x:c r="R1460" s="53"/>
      <x:c r="S1460" s="53"/>
      <x:c r="T1460" s="53"/>
      <x:c r="U1460" s="53"/>
      <x:c r="V1460" s="53"/>
      <x:c r="W1460" s="53"/>
      <x:c r="X1460" s="53"/>
      <x:c r="Y1460" s="53"/>
      <x:c r="Z1460" s="53"/>
      <x:c r="AA1460" s="53"/>
      <x:c r="AB1460" s="53"/>
      <x:c r="AC1460" s="53"/>
      <x:c r="AD1460" s="53"/>
      <x:c r="AE1460" s="53"/>
      <x:c r="AF1460" s="53"/>
    </x:row>
    <x:row r="1461">
      <x:c r="A1461" s="53"/>
      <x:c r="B1461" s="53"/>
      <x:c r="C1461" s="53"/>
      <x:c r="D1461" s="53"/>
      <x:c r="E1461" s="53"/>
      <x:c r="F1461" s="53"/>
      <x:c r="G1461" s="53"/>
      <x:c r="H1461" s="53"/>
      <x:c r="I1461" s="53"/>
      <x:c r="J1461" s="53"/>
      <x:c r="K1461" s="53"/>
      <x:c r="L1461" s="53"/>
      <x:c r="M1461" s="53"/>
      <x:c r="N1461" s="53"/>
      <x:c r="O1461" s="53"/>
      <x:c r="P1461" s="53"/>
      <x:c r="Q1461" s="53"/>
      <x:c r="R1461" s="53"/>
      <x:c r="S1461" s="53"/>
      <x:c r="T1461" s="53"/>
      <x:c r="U1461" s="53"/>
      <x:c r="V1461" s="53"/>
      <x:c r="W1461" s="53"/>
      <x:c r="X1461" s="53"/>
      <x:c r="Y1461" s="53"/>
      <x:c r="Z1461" s="53"/>
      <x:c r="AA1461" s="53"/>
      <x:c r="AB1461" s="53"/>
      <x:c r="AC1461" s="53"/>
      <x:c r="AD1461" s="53"/>
      <x:c r="AE1461" s="53"/>
      <x:c r="AF1461" s="53"/>
    </x:row>
    <x:row r="1462">
      <x:c r="A1462" s="53"/>
      <x:c r="B1462" s="53"/>
      <x:c r="C1462" s="53"/>
      <x:c r="D1462" s="53"/>
      <x:c r="E1462" s="53"/>
      <x:c r="F1462" s="53"/>
      <x:c r="G1462" s="53"/>
      <x:c r="H1462" s="53"/>
      <x:c r="I1462" s="53"/>
      <x:c r="J1462" s="53"/>
      <x:c r="K1462" s="53"/>
      <x:c r="L1462" s="53"/>
      <x:c r="M1462" s="53"/>
      <x:c r="N1462" s="53"/>
      <x:c r="O1462" s="53"/>
      <x:c r="P1462" s="53"/>
      <x:c r="Q1462" s="53"/>
      <x:c r="R1462" s="53"/>
      <x:c r="S1462" s="53"/>
      <x:c r="T1462" s="53"/>
      <x:c r="U1462" s="53"/>
      <x:c r="V1462" s="53"/>
      <x:c r="W1462" s="53"/>
      <x:c r="X1462" s="53"/>
      <x:c r="Y1462" s="53"/>
      <x:c r="Z1462" s="53"/>
      <x:c r="AA1462" s="53"/>
      <x:c r="AB1462" s="53"/>
      <x:c r="AC1462" s="53"/>
      <x:c r="AD1462" s="53"/>
      <x:c r="AE1462" s="53"/>
      <x:c r="AF1462" s="53"/>
    </x:row>
    <x:row r="1463">
      <x:c r="A1463" s="53"/>
      <x:c r="B1463" s="53"/>
      <x:c r="C1463" s="53"/>
      <x:c r="D1463" s="53"/>
      <x:c r="E1463" s="53"/>
      <x:c r="F1463" s="53"/>
      <x:c r="G1463" s="53"/>
      <x:c r="H1463" s="53"/>
      <x:c r="I1463" s="53"/>
      <x:c r="J1463" s="53"/>
      <x:c r="K1463" s="53"/>
      <x:c r="L1463" s="53"/>
      <x:c r="M1463" s="53"/>
      <x:c r="N1463" s="53"/>
      <x:c r="O1463" s="53"/>
      <x:c r="P1463" s="53"/>
      <x:c r="Q1463" s="53"/>
      <x:c r="R1463" s="53"/>
      <x:c r="S1463" s="53"/>
      <x:c r="T1463" s="53"/>
      <x:c r="U1463" s="53"/>
      <x:c r="V1463" s="53"/>
      <x:c r="W1463" s="53"/>
      <x:c r="X1463" s="53"/>
      <x:c r="Y1463" s="53"/>
      <x:c r="Z1463" s="53"/>
      <x:c r="AA1463" s="53"/>
      <x:c r="AB1463" s="53"/>
      <x:c r="AC1463" s="53"/>
      <x:c r="AD1463" s="53"/>
      <x:c r="AE1463" s="53"/>
      <x:c r="AF1463" s="53"/>
    </x:row>
    <x:row r="1464">
      <x:c r="A1464" s="53"/>
      <x:c r="B1464" s="53"/>
      <x:c r="C1464" s="53"/>
      <x:c r="D1464" s="53"/>
      <x:c r="E1464" s="53"/>
      <x:c r="F1464" s="53"/>
      <x:c r="G1464" s="53"/>
      <x:c r="H1464" s="53"/>
      <x:c r="I1464" s="53"/>
      <x:c r="J1464" s="53"/>
      <x:c r="K1464" s="53"/>
      <x:c r="L1464" s="53"/>
      <x:c r="M1464" s="53"/>
      <x:c r="N1464" s="53"/>
      <x:c r="O1464" s="53"/>
      <x:c r="P1464" s="53"/>
      <x:c r="Q1464" s="53"/>
      <x:c r="R1464" s="53"/>
      <x:c r="S1464" s="53"/>
      <x:c r="T1464" s="53"/>
      <x:c r="U1464" s="53"/>
      <x:c r="V1464" s="53"/>
      <x:c r="W1464" s="53"/>
      <x:c r="X1464" s="53"/>
      <x:c r="Y1464" s="53"/>
      <x:c r="Z1464" s="53"/>
      <x:c r="AA1464" s="53"/>
      <x:c r="AB1464" s="53"/>
      <x:c r="AC1464" s="53"/>
      <x:c r="AD1464" s="53"/>
      <x:c r="AE1464" s="53"/>
      <x:c r="AF1464" s="53"/>
    </x:row>
    <x:row r="1465">
      <x:c r="A1465" s="53"/>
      <x:c r="B1465" s="53"/>
      <x:c r="C1465" s="53"/>
      <x:c r="D1465" s="53"/>
      <x:c r="E1465" s="53"/>
      <x:c r="F1465" s="53"/>
      <x:c r="G1465" s="53"/>
      <x:c r="H1465" s="53"/>
      <x:c r="I1465" s="53"/>
      <x:c r="J1465" s="53"/>
      <x:c r="K1465" s="53"/>
      <x:c r="L1465" s="53"/>
      <x:c r="M1465" s="53"/>
      <x:c r="N1465" s="53"/>
      <x:c r="O1465" s="53"/>
      <x:c r="P1465" s="53"/>
      <x:c r="Q1465" s="53"/>
      <x:c r="R1465" s="53"/>
      <x:c r="S1465" s="53"/>
      <x:c r="T1465" s="53"/>
      <x:c r="U1465" s="53"/>
      <x:c r="V1465" s="53"/>
      <x:c r="W1465" s="53"/>
      <x:c r="X1465" s="53"/>
      <x:c r="Y1465" s="53"/>
      <x:c r="Z1465" s="53"/>
      <x:c r="AA1465" s="53"/>
      <x:c r="AB1465" s="53"/>
      <x:c r="AC1465" s="53"/>
      <x:c r="AD1465" s="53"/>
      <x:c r="AE1465" s="53"/>
      <x:c r="AF1465" s="53"/>
    </x:row>
    <x:row r="1466">
      <x:c r="A1466" s="53"/>
      <x:c r="B1466" s="53"/>
      <x:c r="C1466" s="53"/>
      <x:c r="D1466" s="53"/>
      <x:c r="E1466" s="53"/>
      <x:c r="F1466" s="53"/>
      <x:c r="G1466" s="53"/>
      <x:c r="H1466" s="53"/>
      <x:c r="I1466" s="53"/>
      <x:c r="J1466" s="53"/>
      <x:c r="K1466" s="53"/>
      <x:c r="L1466" s="53"/>
      <x:c r="M1466" s="53"/>
      <x:c r="N1466" s="53"/>
      <x:c r="O1466" s="53"/>
      <x:c r="P1466" s="53"/>
      <x:c r="Q1466" s="53"/>
      <x:c r="R1466" s="53"/>
      <x:c r="S1466" s="53"/>
      <x:c r="T1466" s="53"/>
      <x:c r="U1466" s="53"/>
      <x:c r="V1466" s="53"/>
      <x:c r="W1466" s="53"/>
      <x:c r="X1466" s="53"/>
      <x:c r="Y1466" s="53"/>
      <x:c r="Z1466" s="53"/>
      <x:c r="AA1466" s="53"/>
      <x:c r="AB1466" s="53"/>
      <x:c r="AC1466" s="53"/>
      <x:c r="AD1466" s="53"/>
      <x:c r="AE1466" s="53"/>
      <x:c r="AF1466" s="53"/>
    </x:row>
    <x:row r="1467">
      <x:c r="A1467" s="53"/>
      <x:c r="B1467" s="53"/>
      <x:c r="C1467" s="53"/>
      <x:c r="D1467" s="53"/>
      <x:c r="E1467" s="53"/>
      <x:c r="F1467" s="53"/>
      <x:c r="G1467" s="53"/>
      <x:c r="H1467" s="53"/>
      <x:c r="I1467" s="53"/>
      <x:c r="J1467" s="53"/>
      <x:c r="K1467" s="53"/>
      <x:c r="L1467" s="53"/>
      <x:c r="M1467" s="53"/>
      <x:c r="N1467" s="53"/>
      <x:c r="O1467" s="53"/>
      <x:c r="P1467" s="53"/>
      <x:c r="Q1467" s="53"/>
      <x:c r="R1467" s="53"/>
      <x:c r="S1467" s="53"/>
      <x:c r="T1467" s="53"/>
      <x:c r="U1467" s="53"/>
      <x:c r="V1467" s="53"/>
      <x:c r="W1467" s="53"/>
      <x:c r="X1467" s="53"/>
      <x:c r="Y1467" s="53"/>
      <x:c r="Z1467" s="53"/>
      <x:c r="AA1467" s="53"/>
      <x:c r="AB1467" s="53"/>
      <x:c r="AC1467" s="53"/>
      <x:c r="AD1467" s="53"/>
      <x:c r="AE1467" s="53"/>
      <x:c r="AF1467" s="53"/>
    </x:row>
    <x:row r="1468">
      <x:c r="A1468" s="53"/>
      <x:c r="B1468" s="53"/>
      <x:c r="C1468" s="53"/>
      <x:c r="D1468" s="53"/>
      <x:c r="E1468" s="53"/>
      <x:c r="F1468" s="53"/>
      <x:c r="G1468" s="53"/>
      <x:c r="H1468" s="53"/>
      <x:c r="I1468" s="53"/>
      <x:c r="J1468" s="53"/>
      <x:c r="K1468" s="53"/>
      <x:c r="L1468" s="53"/>
      <x:c r="M1468" s="53"/>
      <x:c r="N1468" s="53"/>
      <x:c r="O1468" s="53"/>
      <x:c r="P1468" s="53"/>
      <x:c r="Q1468" s="53"/>
      <x:c r="R1468" s="53"/>
      <x:c r="S1468" s="53"/>
      <x:c r="T1468" s="53"/>
      <x:c r="U1468" s="53"/>
      <x:c r="V1468" s="53"/>
      <x:c r="W1468" s="53"/>
      <x:c r="X1468" s="53"/>
      <x:c r="Y1468" s="53"/>
      <x:c r="Z1468" s="53"/>
      <x:c r="AA1468" s="53"/>
      <x:c r="AB1468" s="53"/>
      <x:c r="AC1468" s="53"/>
      <x:c r="AD1468" s="53"/>
      <x:c r="AE1468" s="53"/>
      <x:c r="AF1468" s="53"/>
    </x:row>
    <x:row r="1469">
      <x:c r="A1469" s="53"/>
      <x:c r="B1469" s="53"/>
      <x:c r="C1469" s="53"/>
      <x:c r="D1469" s="53"/>
      <x:c r="E1469" s="53"/>
      <x:c r="F1469" s="53"/>
      <x:c r="G1469" s="53"/>
      <x:c r="H1469" s="53"/>
      <x:c r="I1469" s="53"/>
      <x:c r="J1469" s="53"/>
      <x:c r="K1469" s="53"/>
      <x:c r="L1469" s="53"/>
      <x:c r="M1469" s="53"/>
      <x:c r="N1469" s="53"/>
      <x:c r="O1469" s="53"/>
      <x:c r="P1469" s="53"/>
      <x:c r="Q1469" s="53"/>
      <x:c r="R1469" s="53"/>
      <x:c r="S1469" s="53"/>
      <x:c r="T1469" s="53"/>
      <x:c r="U1469" s="53"/>
      <x:c r="V1469" s="53"/>
      <x:c r="W1469" s="53"/>
      <x:c r="X1469" s="53"/>
      <x:c r="Y1469" s="53"/>
      <x:c r="Z1469" s="53"/>
      <x:c r="AA1469" s="53"/>
      <x:c r="AB1469" s="53"/>
      <x:c r="AC1469" s="53"/>
      <x:c r="AD1469" s="53"/>
      <x:c r="AE1469" s="53"/>
      <x:c r="AF1469" s="53"/>
    </x:row>
    <x:row r="1470">
      <x:c r="A1470" s="53"/>
      <x:c r="B1470" s="53"/>
      <x:c r="C1470" s="53"/>
      <x:c r="D1470" s="53"/>
      <x:c r="E1470" s="53"/>
      <x:c r="F1470" s="53"/>
      <x:c r="G1470" s="53"/>
      <x:c r="H1470" s="53"/>
      <x:c r="I1470" s="53"/>
      <x:c r="J1470" s="53"/>
      <x:c r="K1470" s="53"/>
      <x:c r="L1470" s="53"/>
      <x:c r="M1470" s="53"/>
      <x:c r="N1470" s="53"/>
      <x:c r="O1470" s="53"/>
      <x:c r="P1470" s="53"/>
      <x:c r="Q1470" s="53"/>
      <x:c r="R1470" s="53"/>
      <x:c r="S1470" s="53"/>
      <x:c r="T1470" s="53"/>
      <x:c r="U1470" s="53"/>
      <x:c r="V1470" s="53"/>
      <x:c r="W1470" s="53"/>
      <x:c r="X1470" s="53"/>
      <x:c r="Y1470" s="53"/>
      <x:c r="Z1470" s="53"/>
      <x:c r="AA1470" s="53"/>
      <x:c r="AB1470" s="53"/>
      <x:c r="AC1470" s="53"/>
      <x:c r="AD1470" s="53"/>
      <x:c r="AE1470" s="53"/>
      <x:c r="AF1470" s="53"/>
    </x:row>
    <x:row r="1471">
      <x:c r="A1471" s="53"/>
      <x:c r="B1471" s="53"/>
      <x:c r="C1471" s="53"/>
      <x:c r="D1471" s="53"/>
      <x:c r="E1471" s="53"/>
      <x:c r="F1471" s="53"/>
      <x:c r="G1471" s="53"/>
      <x:c r="H1471" s="53"/>
      <x:c r="I1471" s="53"/>
      <x:c r="J1471" s="53"/>
      <x:c r="K1471" s="53"/>
      <x:c r="L1471" s="53"/>
      <x:c r="M1471" s="53"/>
      <x:c r="N1471" s="53"/>
      <x:c r="O1471" s="53"/>
      <x:c r="P1471" s="53"/>
      <x:c r="Q1471" s="53"/>
      <x:c r="R1471" s="53"/>
      <x:c r="S1471" s="53"/>
      <x:c r="T1471" s="53"/>
      <x:c r="U1471" s="53"/>
      <x:c r="V1471" s="53"/>
      <x:c r="W1471" s="53"/>
      <x:c r="X1471" s="53"/>
      <x:c r="Y1471" s="53"/>
      <x:c r="Z1471" s="53"/>
      <x:c r="AA1471" s="53"/>
      <x:c r="AB1471" s="53"/>
      <x:c r="AC1471" s="53"/>
      <x:c r="AD1471" s="53"/>
      <x:c r="AE1471" s="53"/>
      <x:c r="AF1471" s="53"/>
    </x:row>
    <x:row r="1472">
      <x:c r="A1472" s="53"/>
      <x:c r="B1472" s="53"/>
      <x:c r="C1472" s="53"/>
      <x:c r="D1472" s="53"/>
      <x:c r="E1472" s="53"/>
      <x:c r="F1472" s="53"/>
      <x:c r="G1472" s="53"/>
      <x:c r="H1472" s="53"/>
      <x:c r="I1472" s="53"/>
      <x:c r="J1472" s="53"/>
      <x:c r="K1472" s="53"/>
      <x:c r="L1472" s="53"/>
      <x:c r="M1472" s="53"/>
      <x:c r="N1472" s="53"/>
      <x:c r="O1472" s="53"/>
      <x:c r="P1472" s="53"/>
      <x:c r="Q1472" s="53"/>
      <x:c r="R1472" s="53"/>
      <x:c r="S1472" s="53"/>
      <x:c r="T1472" s="53"/>
      <x:c r="U1472" s="53"/>
      <x:c r="V1472" s="53"/>
      <x:c r="W1472" s="53"/>
      <x:c r="X1472" s="53"/>
      <x:c r="Y1472" s="53"/>
      <x:c r="Z1472" s="53"/>
      <x:c r="AA1472" s="53"/>
      <x:c r="AB1472" s="53"/>
      <x:c r="AC1472" s="53"/>
      <x:c r="AD1472" s="53"/>
      <x:c r="AE1472" s="53"/>
      <x:c r="AF1472" s="53"/>
    </x:row>
    <x:row r="1473">
      <x:c r="A1473" s="53"/>
      <x:c r="B1473" s="53"/>
      <x:c r="C1473" s="53"/>
      <x:c r="D1473" s="53"/>
      <x:c r="E1473" s="53"/>
      <x:c r="F1473" s="53"/>
      <x:c r="G1473" s="53"/>
      <x:c r="H1473" s="53"/>
      <x:c r="I1473" s="53"/>
      <x:c r="J1473" s="53"/>
      <x:c r="K1473" s="53"/>
      <x:c r="L1473" s="53"/>
      <x:c r="M1473" s="53"/>
      <x:c r="N1473" s="53"/>
      <x:c r="O1473" s="53"/>
      <x:c r="P1473" s="53"/>
      <x:c r="Q1473" s="53"/>
      <x:c r="R1473" s="53"/>
      <x:c r="S1473" s="53"/>
      <x:c r="T1473" s="53"/>
      <x:c r="U1473" s="53"/>
      <x:c r="V1473" s="53"/>
      <x:c r="W1473" s="53"/>
      <x:c r="X1473" s="53"/>
      <x:c r="Y1473" s="53"/>
      <x:c r="Z1473" s="53"/>
      <x:c r="AA1473" s="53"/>
      <x:c r="AB1473" s="53"/>
      <x:c r="AC1473" s="53"/>
      <x:c r="AD1473" s="53"/>
      <x:c r="AE1473" s="53"/>
      <x:c r="AF1473" s="53"/>
    </x:row>
    <x:row r="1474">
      <x:c r="A1474" s="53"/>
      <x:c r="B1474" s="53"/>
      <x:c r="C1474" s="53"/>
      <x:c r="D1474" s="53"/>
      <x:c r="E1474" s="53"/>
      <x:c r="F1474" s="53"/>
      <x:c r="G1474" s="53"/>
      <x:c r="H1474" s="53"/>
      <x:c r="I1474" s="53"/>
      <x:c r="J1474" s="53"/>
      <x:c r="K1474" s="53"/>
      <x:c r="L1474" s="53"/>
      <x:c r="M1474" s="53"/>
      <x:c r="N1474" s="53"/>
      <x:c r="O1474" s="53"/>
      <x:c r="P1474" s="53"/>
      <x:c r="Q1474" s="53"/>
      <x:c r="R1474" s="53"/>
      <x:c r="S1474" s="53"/>
      <x:c r="T1474" s="53"/>
      <x:c r="U1474" s="53"/>
      <x:c r="V1474" s="53"/>
      <x:c r="W1474" s="53"/>
      <x:c r="X1474" s="53"/>
      <x:c r="Y1474" s="53"/>
      <x:c r="Z1474" s="53"/>
      <x:c r="AA1474" s="53"/>
      <x:c r="AB1474" s="53"/>
      <x:c r="AC1474" s="53"/>
      <x:c r="AD1474" s="53"/>
      <x:c r="AE1474" s="53"/>
      <x:c r="AF1474" s="53"/>
    </x:row>
    <x:row r="1475">
      <x:c r="A1475" s="53"/>
      <x:c r="B1475" s="53"/>
      <x:c r="C1475" s="53"/>
      <x:c r="D1475" s="53"/>
      <x:c r="E1475" s="53"/>
      <x:c r="F1475" s="53"/>
      <x:c r="G1475" s="53"/>
      <x:c r="H1475" s="53"/>
      <x:c r="I1475" s="53"/>
      <x:c r="J1475" s="53"/>
      <x:c r="K1475" s="53"/>
      <x:c r="L1475" s="53"/>
      <x:c r="M1475" s="53"/>
      <x:c r="N1475" s="53"/>
      <x:c r="O1475" s="53"/>
      <x:c r="P1475" s="53"/>
      <x:c r="Q1475" s="53"/>
      <x:c r="R1475" s="53"/>
      <x:c r="S1475" s="53"/>
      <x:c r="T1475" s="53"/>
      <x:c r="U1475" s="53"/>
      <x:c r="V1475" s="53"/>
      <x:c r="W1475" s="53"/>
      <x:c r="X1475" s="53"/>
      <x:c r="Y1475" s="53"/>
      <x:c r="Z1475" s="53"/>
      <x:c r="AA1475" s="53"/>
      <x:c r="AB1475" s="53"/>
      <x:c r="AC1475" s="53"/>
      <x:c r="AD1475" s="53"/>
      <x:c r="AE1475" s="53"/>
      <x:c r="AF1475" s="53"/>
    </x:row>
    <x:row r="1476">
      <x:c r="A1476" s="53"/>
      <x:c r="B1476" s="53"/>
      <x:c r="C1476" s="53"/>
      <x:c r="D1476" s="53"/>
      <x:c r="E1476" s="53"/>
      <x:c r="F1476" s="53"/>
      <x:c r="G1476" s="53"/>
      <x:c r="H1476" s="53"/>
      <x:c r="I1476" s="53"/>
      <x:c r="J1476" s="53"/>
      <x:c r="K1476" s="53"/>
      <x:c r="L1476" s="53"/>
      <x:c r="M1476" s="53"/>
      <x:c r="N1476" s="53"/>
      <x:c r="O1476" s="53"/>
      <x:c r="P1476" s="53"/>
      <x:c r="Q1476" s="53"/>
      <x:c r="R1476" s="53"/>
      <x:c r="S1476" s="53"/>
      <x:c r="T1476" s="53"/>
      <x:c r="U1476" s="53"/>
      <x:c r="V1476" s="53"/>
      <x:c r="W1476" s="53"/>
      <x:c r="X1476" s="53"/>
      <x:c r="Y1476" s="53"/>
      <x:c r="Z1476" s="53"/>
      <x:c r="AA1476" s="53"/>
      <x:c r="AB1476" s="53"/>
      <x:c r="AC1476" s="53"/>
      <x:c r="AD1476" s="53"/>
      <x:c r="AE1476" s="53"/>
      <x:c r="AF1476" s="53"/>
    </x:row>
    <x:row r="1477">
      <x:c r="A1477" s="53"/>
      <x:c r="B1477" s="53"/>
      <x:c r="C1477" s="53"/>
      <x:c r="D1477" s="53"/>
      <x:c r="E1477" s="53"/>
      <x:c r="F1477" s="53"/>
      <x:c r="G1477" s="53"/>
      <x:c r="H1477" s="53"/>
      <x:c r="I1477" s="53"/>
      <x:c r="J1477" s="53"/>
      <x:c r="K1477" s="53"/>
      <x:c r="L1477" s="53"/>
      <x:c r="M1477" s="53"/>
      <x:c r="N1477" s="53"/>
      <x:c r="O1477" s="53"/>
      <x:c r="P1477" s="53"/>
      <x:c r="Q1477" s="53"/>
      <x:c r="R1477" s="53"/>
      <x:c r="S1477" s="53"/>
      <x:c r="T1477" s="53"/>
      <x:c r="U1477" s="53"/>
      <x:c r="V1477" s="53"/>
      <x:c r="W1477" s="53"/>
      <x:c r="X1477" s="53"/>
      <x:c r="Y1477" s="53"/>
      <x:c r="Z1477" s="53"/>
      <x:c r="AA1477" s="53"/>
      <x:c r="AB1477" s="53"/>
      <x:c r="AC1477" s="53"/>
      <x:c r="AD1477" s="53"/>
      <x:c r="AE1477" s="53"/>
      <x:c r="AF1477" s="53"/>
    </x:row>
    <x:row r="1478">
      <x:c r="A1478" s="53"/>
      <x:c r="B1478" s="53"/>
      <x:c r="C1478" s="53"/>
      <x:c r="D1478" s="53"/>
      <x:c r="E1478" s="53"/>
      <x:c r="F1478" s="53"/>
      <x:c r="G1478" s="53"/>
      <x:c r="H1478" s="53"/>
      <x:c r="I1478" s="53"/>
      <x:c r="J1478" s="53"/>
      <x:c r="K1478" s="53"/>
      <x:c r="L1478" s="53"/>
      <x:c r="M1478" s="53"/>
      <x:c r="N1478" s="53"/>
      <x:c r="O1478" s="53"/>
      <x:c r="P1478" s="53"/>
      <x:c r="Q1478" s="53"/>
      <x:c r="R1478" s="53"/>
      <x:c r="S1478" s="53"/>
      <x:c r="T1478" s="53"/>
      <x:c r="U1478" s="53"/>
      <x:c r="V1478" s="53"/>
      <x:c r="W1478" s="53"/>
      <x:c r="X1478" s="53"/>
      <x:c r="Y1478" s="53"/>
      <x:c r="Z1478" s="53"/>
      <x:c r="AA1478" s="53"/>
      <x:c r="AB1478" s="53"/>
      <x:c r="AC1478" s="53"/>
      <x:c r="AD1478" s="53"/>
      <x:c r="AE1478" s="53"/>
      <x:c r="AF1478" s="53"/>
    </x:row>
    <x:row r="1479">
      <x:c r="A1479" s="53"/>
      <x:c r="B1479" s="53"/>
      <x:c r="C1479" s="53"/>
      <x:c r="D1479" s="53"/>
      <x:c r="E1479" s="53"/>
      <x:c r="F1479" s="53"/>
      <x:c r="G1479" s="53"/>
      <x:c r="H1479" s="53"/>
      <x:c r="I1479" s="53"/>
      <x:c r="J1479" s="53"/>
      <x:c r="K1479" s="53"/>
      <x:c r="L1479" s="53"/>
      <x:c r="M1479" s="53"/>
      <x:c r="N1479" s="53"/>
      <x:c r="O1479" s="53"/>
      <x:c r="P1479" s="53"/>
      <x:c r="Q1479" s="53"/>
      <x:c r="R1479" s="53"/>
      <x:c r="S1479" s="53"/>
      <x:c r="T1479" s="53"/>
      <x:c r="U1479" s="53"/>
      <x:c r="V1479" s="53"/>
      <x:c r="W1479" s="53"/>
      <x:c r="X1479" s="53"/>
      <x:c r="Y1479" s="53"/>
      <x:c r="Z1479" s="53"/>
      <x:c r="AA1479" s="53"/>
      <x:c r="AB1479" s="53"/>
      <x:c r="AC1479" s="53"/>
      <x:c r="AD1479" s="53"/>
      <x:c r="AE1479" s="53"/>
      <x:c r="AF1479" s="53"/>
    </x:row>
    <x:row r="1480">
      <x:c r="A1480" s="53"/>
      <x:c r="B1480" s="53"/>
      <x:c r="C1480" s="53"/>
      <x:c r="D1480" s="53"/>
      <x:c r="E1480" s="53"/>
      <x:c r="F1480" s="53"/>
      <x:c r="G1480" s="53"/>
      <x:c r="H1480" s="53"/>
      <x:c r="I1480" s="53"/>
      <x:c r="J1480" s="53"/>
      <x:c r="K1480" s="53"/>
      <x:c r="L1480" s="53"/>
      <x:c r="M1480" s="53"/>
      <x:c r="N1480" s="53"/>
      <x:c r="O1480" s="53"/>
      <x:c r="P1480" s="53"/>
      <x:c r="Q1480" s="53"/>
      <x:c r="R1480" s="53"/>
      <x:c r="S1480" s="53"/>
      <x:c r="T1480" s="53"/>
      <x:c r="U1480" s="53"/>
      <x:c r="V1480" s="53"/>
      <x:c r="W1480" s="53"/>
      <x:c r="X1480" s="53"/>
      <x:c r="Y1480" s="53"/>
      <x:c r="Z1480" s="53"/>
      <x:c r="AA1480" s="53"/>
      <x:c r="AB1480" s="53"/>
      <x:c r="AC1480" s="53"/>
      <x:c r="AD1480" s="53"/>
      <x:c r="AE1480" s="53"/>
      <x:c r="AF1480" s="53"/>
    </x:row>
    <x:row r="1481">
      <x:c r="A1481" s="53"/>
      <x:c r="B1481" s="53"/>
      <x:c r="C1481" s="53"/>
      <x:c r="D1481" s="53"/>
      <x:c r="E1481" s="53"/>
      <x:c r="F1481" s="53"/>
      <x:c r="G1481" s="53"/>
      <x:c r="H1481" s="53"/>
      <x:c r="I1481" s="53"/>
      <x:c r="J1481" s="53"/>
      <x:c r="K1481" s="53"/>
      <x:c r="L1481" s="53"/>
      <x:c r="M1481" s="53"/>
      <x:c r="N1481" s="53"/>
      <x:c r="O1481" s="53"/>
      <x:c r="P1481" s="53"/>
      <x:c r="Q1481" s="53"/>
      <x:c r="R1481" s="53"/>
      <x:c r="S1481" s="53"/>
      <x:c r="T1481" s="53"/>
      <x:c r="U1481" s="53"/>
      <x:c r="V1481" s="53"/>
      <x:c r="W1481" s="53"/>
      <x:c r="X1481" s="53"/>
      <x:c r="Y1481" s="53"/>
      <x:c r="Z1481" s="53"/>
      <x:c r="AA1481" s="53"/>
      <x:c r="AB1481" s="53"/>
      <x:c r="AC1481" s="53"/>
      <x:c r="AD1481" s="53"/>
      <x:c r="AE1481" s="53"/>
      <x:c r="AF1481" s="53"/>
    </x:row>
    <x:row r="1482">
      <x:c r="A1482" s="53"/>
      <x:c r="B1482" s="53"/>
      <x:c r="C1482" s="53"/>
      <x:c r="D1482" s="53"/>
      <x:c r="E1482" s="53"/>
      <x:c r="F1482" s="53"/>
      <x:c r="G1482" s="53"/>
      <x:c r="H1482" s="53"/>
      <x:c r="I1482" s="53"/>
      <x:c r="J1482" s="53"/>
      <x:c r="K1482" s="53"/>
      <x:c r="L1482" s="53"/>
      <x:c r="M1482" s="53"/>
      <x:c r="N1482" s="53"/>
      <x:c r="O1482" s="53"/>
      <x:c r="P1482" s="53"/>
      <x:c r="Q1482" s="53"/>
      <x:c r="R1482" s="53"/>
      <x:c r="S1482" s="53"/>
      <x:c r="T1482" s="53"/>
      <x:c r="U1482" s="53"/>
      <x:c r="V1482" s="53"/>
      <x:c r="W1482" s="53"/>
      <x:c r="X1482" s="53"/>
      <x:c r="Y1482" s="53"/>
      <x:c r="Z1482" s="53"/>
      <x:c r="AA1482" s="53"/>
      <x:c r="AB1482" s="53"/>
      <x:c r="AC1482" s="53"/>
      <x:c r="AD1482" s="53"/>
      <x:c r="AE1482" s="53"/>
      <x:c r="AF1482" s="53"/>
    </x:row>
    <x:row r="1483">
      <x:c r="A1483" s="53"/>
      <x:c r="B1483" s="53"/>
      <x:c r="C1483" s="53"/>
      <x:c r="D1483" s="53"/>
      <x:c r="E1483" s="53"/>
      <x:c r="F1483" s="53"/>
      <x:c r="G1483" s="53"/>
      <x:c r="H1483" s="53"/>
      <x:c r="I1483" s="53"/>
      <x:c r="J1483" s="53"/>
      <x:c r="K1483" s="53"/>
      <x:c r="L1483" s="53"/>
      <x:c r="M1483" s="53"/>
      <x:c r="N1483" s="53"/>
      <x:c r="O1483" s="53"/>
      <x:c r="P1483" s="53"/>
      <x:c r="Q1483" s="53"/>
      <x:c r="R1483" s="53"/>
      <x:c r="S1483" s="53"/>
      <x:c r="T1483" s="53"/>
      <x:c r="U1483" s="53"/>
      <x:c r="V1483" s="53"/>
      <x:c r="W1483" s="53"/>
      <x:c r="X1483" s="53"/>
      <x:c r="Y1483" s="53"/>
      <x:c r="Z1483" s="53"/>
      <x:c r="AA1483" s="53"/>
      <x:c r="AB1483" s="53"/>
      <x:c r="AC1483" s="53"/>
      <x:c r="AD1483" s="53"/>
      <x:c r="AE1483" s="53"/>
      <x:c r="AF1483" s="53"/>
    </x:row>
    <x:row r="1484">
      <x:c r="A1484" s="53"/>
      <x:c r="B1484" s="53"/>
      <x:c r="C1484" s="53"/>
      <x:c r="D1484" s="53"/>
      <x:c r="E1484" s="53"/>
      <x:c r="F1484" s="53"/>
      <x:c r="G1484" s="53"/>
      <x:c r="H1484" s="53"/>
      <x:c r="I1484" s="53"/>
      <x:c r="J1484" s="53"/>
      <x:c r="K1484" s="53"/>
      <x:c r="L1484" s="53"/>
      <x:c r="M1484" s="53"/>
      <x:c r="N1484" s="53"/>
      <x:c r="O1484" s="53"/>
      <x:c r="P1484" s="53"/>
      <x:c r="Q1484" s="53"/>
      <x:c r="R1484" s="53"/>
      <x:c r="S1484" s="53"/>
      <x:c r="T1484" s="53"/>
      <x:c r="U1484" s="53"/>
      <x:c r="V1484" s="53"/>
      <x:c r="W1484" s="53"/>
      <x:c r="X1484" s="53"/>
      <x:c r="Y1484" s="53"/>
      <x:c r="Z1484" s="53"/>
      <x:c r="AA1484" s="53"/>
      <x:c r="AB1484" s="53"/>
      <x:c r="AC1484" s="53"/>
      <x:c r="AD1484" s="53"/>
      <x:c r="AE1484" s="53"/>
      <x:c r="AF1484" s="53"/>
    </x:row>
    <x:row r="1485">
      <x:c r="A1485" s="53"/>
      <x:c r="B1485" s="53"/>
      <x:c r="C1485" s="53"/>
      <x:c r="D1485" s="53"/>
      <x:c r="E1485" s="53"/>
      <x:c r="F1485" s="53"/>
      <x:c r="G1485" s="53"/>
      <x:c r="H1485" s="53"/>
      <x:c r="I1485" s="53"/>
      <x:c r="J1485" s="53"/>
      <x:c r="K1485" s="53"/>
      <x:c r="L1485" s="53"/>
      <x:c r="M1485" s="53"/>
      <x:c r="N1485" s="53"/>
      <x:c r="O1485" s="53"/>
      <x:c r="P1485" s="53"/>
      <x:c r="Q1485" s="53"/>
      <x:c r="R1485" s="53"/>
      <x:c r="S1485" s="53"/>
      <x:c r="T1485" s="53"/>
      <x:c r="U1485" s="53"/>
      <x:c r="V1485" s="53"/>
      <x:c r="W1485" s="53"/>
      <x:c r="X1485" s="53"/>
      <x:c r="Y1485" s="53"/>
      <x:c r="Z1485" s="53"/>
      <x:c r="AA1485" s="53"/>
      <x:c r="AB1485" s="53"/>
      <x:c r="AC1485" s="53"/>
      <x:c r="AD1485" s="53"/>
      <x:c r="AE1485" s="53"/>
      <x:c r="AF1485" s="53"/>
    </x:row>
    <x:row r="1486">
      <x:c r="A1486" s="53"/>
      <x:c r="B1486" s="53"/>
      <x:c r="C1486" s="53"/>
      <x:c r="D1486" s="53"/>
      <x:c r="E1486" s="53"/>
      <x:c r="F1486" s="53"/>
      <x:c r="G1486" s="53"/>
      <x:c r="H1486" s="53"/>
      <x:c r="I1486" s="53"/>
      <x:c r="J1486" s="53"/>
      <x:c r="K1486" s="53"/>
      <x:c r="L1486" s="53"/>
      <x:c r="M1486" s="53"/>
      <x:c r="N1486" s="53"/>
      <x:c r="O1486" s="53"/>
      <x:c r="P1486" s="53"/>
      <x:c r="Q1486" s="53"/>
      <x:c r="R1486" s="53"/>
      <x:c r="S1486" s="53"/>
      <x:c r="T1486" s="53"/>
      <x:c r="U1486" s="53"/>
      <x:c r="V1486" s="53"/>
      <x:c r="W1486" s="53"/>
      <x:c r="X1486" s="53"/>
      <x:c r="Y1486" s="53"/>
      <x:c r="Z1486" s="53"/>
      <x:c r="AA1486" s="53"/>
      <x:c r="AB1486" s="53"/>
      <x:c r="AC1486" s="53"/>
      <x:c r="AD1486" s="53"/>
      <x:c r="AE1486" s="53"/>
      <x:c r="AF1486" s="53"/>
    </x:row>
    <x:row r="1487">
      <x:c r="A1487" s="53"/>
      <x:c r="B1487" s="53"/>
      <x:c r="C1487" s="53"/>
      <x:c r="D1487" s="53"/>
      <x:c r="E1487" s="53"/>
      <x:c r="F1487" s="53"/>
      <x:c r="G1487" s="53"/>
      <x:c r="H1487" s="53"/>
      <x:c r="I1487" s="53"/>
      <x:c r="J1487" s="53"/>
      <x:c r="K1487" s="53"/>
      <x:c r="L1487" s="53"/>
      <x:c r="M1487" s="53"/>
      <x:c r="N1487" s="53"/>
      <x:c r="O1487" s="53"/>
      <x:c r="P1487" s="53"/>
      <x:c r="Q1487" s="53"/>
      <x:c r="R1487" s="53"/>
      <x:c r="S1487" s="53"/>
      <x:c r="T1487" s="53"/>
      <x:c r="U1487" s="53"/>
      <x:c r="V1487" s="53"/>
      <x:c r="W1487" s="53"/>
      <x:c r="X1487" s="53"/>
      <x:c r="Y1487" s="53"/>
      <x:c r="Z1487" s="53"/>
      <x:c r="AA1487" s="53"/>
      <x:c r="AB1487" s="53"/>
      <x:c r="AC1487" s="53"/>
      <x:c r="AD1487" s="53"/>
      <x:c r="AE1487" s="53"/>
      <x:c r="AF1487" s="53"/>
    </x:row>
    <x:row r="1488">
      <x:c r="A1488" s="53"/>
      <x:c r="B1488" s="53"/>
      <x:c r="C1488" s="53"/>
      <x:c r="D1488" s="53"/>
      <x:c r="E1488" s="53"/>
      <x:c r="F1488" s="53"/>
      <x:c r="G1488" s="53"/>
      <x:c r="H1488" s="53"/>
      <x:c r="I1488" s="53"/>
      <x:c r="J1488" s="53"/>
      <x:c r="K1488" s="53"/>
      <x:c r="L1488" s="53"/>
      <x:c r="M1488" s="53"/>
      <x:c r="N1488" s="53"/>
      <x:c r="O1488" s="53"/>
      <x:c r="P1488" s="53"/>
      <x:c r="Q1488" s="53"/>
      <x:c r="R1488" s="53"/>
      <x:c r="S1488" s="53"/>
      <x:c r="T1488" s="53"/>
      <x:c r="U1488" s="53"/>
      <x:c r="V1488" s="53"/>
      <x:c r="W1488" s="53"/>
      <x:c r="X1488" s="53"/>
      <x:c r="Y1488" s="53"/>
      <x:c r="Z1488" s="53"/>
      <x:c r="AA1488" s="53"/>
      <x:c r="AB1488" s="53"/>
      <x:c r="AC1488" s="53"/>
      <x:c r="AD1488" s="53"/>
      <x:c r="AE1488" s="53"/>
      <x:c r="AF1488" s="53"/>
    </x:row>
    <x:row r="1489">
      <x:c r="A1489" s="53"/>
      <x:c r="B1489" s="53"/>
      <x:c r="C1489" s="53"/>
      <x:c r="D1489" s="53"/>
      <x:c r="E1489" s="53"/>
      <x:c r="F1489" s="53"/>
      <x:c r="G1489" s="53"/>
      <x:c r="H1489" s="53"/>
      <x:c r="I1489" s="53"/>
      <x:c r="J1489" s="53"/>
      <x:c r="K1489" s="53"/>
      <x:c r="L1489" s="53"/>
      <x:c r="M1489" s="53"/>
      <x:c r="N1489" s="53"/>
      <x:c r="O1489" s="53"/>
      <x:c r="P1489" s="53"/>
      <x:c r="Q1489" s="53"/>
      <x:c r="R1489" s="53"/>
      <x:c r="S1489" s="53"/>
      <x:c r="T1489" s="53"/>
      <x:c r="U1489" s="53"/>
      <x:c r="V1489" s="53"/>
      <x:c r="W1489" s="53"/>
      <x:c r="X1489" s="53"/>
      <x:c r="Y1489" s="53"/>
      <x:c r="Z1489" s="53"/>
      <x:c r="AA1489" s="53"/>
      <x:c r="AB1489" s="53"/>
      <x:c r="AC1489" s="53"/>
      <x:c r="AD1489" s="53"/>
      <x:c r="AE1489" s="53"/>
      <x:c r="AF1489" s="53"/>
    </x:row>
    <x:row r="1490">
      <x:c r="A1490" s="53"/>
      <x:c r="B1490" s="53"/>
      <x:c r="C1490" s="53"/>
      <x:c r="D1490" s="53"/>
      <x:c r="E1490" s="53"/>
      <x:c r="F1490" s="53"/>
      <x:c r="G1490" s="53"/>
      <x:c r="H1490" s="53"/>
      <x:c r="I1490" s="53"/>
      <x:c r="J1490" s="53"/>
      <x:c r="K1490" s="53"/>
      <x:c r="L1490" s="53"/>
      <x:c r="M1490" s="53"/>
      <x:c r="N1490" s="53"/>
      <x:c r="O1490" s="53"/>
      <x:c r="P1490" s="53"/>
      <x:c r="Q1490" s="53"/>
      <x:c r="R1490" s="53"/>
      <x:c r="S1490" s="53"/>
      <x:c r="T1490" s="53"/>
      <x:c r="U1490" s="53"/>
      <x:c r="V1490" s="53"/>
      <x:c r="W1490" s="53"/>
      <x:c r="X1490" s="53"/>
      <x:c r="Y1490" s="53"/>
      <x:c r="Z1490" s="53"/>
      <x:c r="AA1490" s="53"/>
      <x:c r="AB1490" s="53"/>
      <x:c r="AC1490" s="53"/>
      <x:c r="AD1490" s="53"/>
      <x:c r="AE1490" s="53"/>
      <x:c r="AF1490" s="53"/>
    </x:row>
    <x:row r="1491">
      <x:c r="A1491" s="53"/>
      <x:c r="B1491" s="53"/>
      <x:c r="C1491" s="53"/>
      <x:c r="D1491" s="53"/>
      <x:c r="E1491" s="53"/>
      <x:c r="F1491" s="53"/>
      <x:c r="G1491" s="53"/>
      <x:c r="H1491" s="53"/>
      <x:c r="I1491" s="53"/>
      <x:c r="J1491" s="53"/>
      <x:c r="K1491" s="53"/>
      <x:c r="L1491" s="53"/>
      <x:c r="M1491" s="53"/>
      <x:c r="N1491" s="53"/>
      <x:c r="O1491" s="53"/>
      <x:c r="P1491" s="53"/>
      <x:c r="Q1491" s="53"/>
      <x:c r="R1491" s="53"/>
      <x:c r="S1491" s="53"/>
      <x:c r="T1491" s="53"/>
      <x:c r="U1491" s="53"/>
      <x:c r="V1491" s="53"/>
      <x:c r="W1491" s="53"/>
      <x:c r="X1491" s="53"/>
      <x:c r="Y1491" s="53"/>
      <x:c r="Z1491" s="53"/>
      <x:c r="AA1491" s="53"/>
      <x:c r="AB1491" s="53"/>
      <x:c r="AC1491" s="53"/>
      <x:c r="AD1491" s="53"/>
      <x:c r="AE1491" s="53"/>
      <x:c r="AF1491" s="53"/>
    </x:row>
    <x:row r="1492">
      <x:c r="A1492" s="53"/>
      <x:c r="B1492" s="53"/>
      <x:c r="C1492" s="53"/>
      <x:c r="D1492" s="53"/>
      <x:c r="E1492" s="53"/>
      <x:c r="F1492" s="53"/>
      <x:c r="G1492" s="53"/>
      <x:c r="H1492" s="53"/>
      <x:c r="I1492" s="53"/>
      <x:c r="J1492" s="53"/>
      <x:c r="K1492" s="53"/>
      <x:c r="L1492" s="53"/>
      <x:c r="M1492" s="53"/>
      <x:c r="N1492" s="53"/>
      <x:c r="O1492" s="53"/>
      <x:c r="P1492" s="53"/>
      <x:c r="Q1492" s="53"/>
      <x:c r="R1492" s="53"/>
      <x:c r="S1492" s="53"/>
      <x:c r="T1492" s="53"/>
      <x:c r="U1492" s="53"/>
      <x:c r="V1492" s="53"/>
      <x:c r="W1492" s="53"/>
      <x:c r="X1492" s="53"/>
      <x:c r="Y1492" s="53"/>
      <x:c r="Z1492" s="53"/>
      <x:c r="AA1492" s="53"/>
      <x:c r="AB1492" s="53"/>
      <x:c r="AC1492" s="53"/>
      <x:c r="AD1492" s="53"/>
      <x:c r="AE1492" s="53"/>
      <x:c r="AF1492" s="53"/>
    </x:row>
    <x:row r="1493">
      <x:c r="A1493" s="53"/>
      <x:c r="B1493" s="53"/>
      <x:c r="C1493" s="53"/>
      <x:c r="D1493" s="53"/>
      <x:c r="E1493" s="53"/>
      <x:c r="F1493" s="53"/>
      <x:c r="G1493" s="53"/>
      <x:c r="H1493" s="53"/>
      <x:c r="I1493" s="53"/>
      <x:c r="J1493" s="53"/>
      <x:c r="K1493" s="53"/>
      <x:c r="L1493" s="53"/>
      <x:c r="M1493" s="53"/>
      <x:c r="N1493" s="53"/>
      <x:c r="O1493" s="53"/>
      <x:c r="P1493" s="53"/>
      <x:c r="Q1493" s="53"/>
      <x:c r="R1493" s="53"/>
      <x:c r="S1493" s="53"/>
      <x:c r="T1493" s="53"/>
      <x:c r="U1493" s="53"/>
      <x:c r="V1493" s="53"/>
      <x:c r="W1493" s="53"/>
      <x:c r="X1493" s="53"/>
      <x:c r="Y1493" s="53"/>
      <x:c r="Z1493" s="53"/>
      <x:c r="AA1493" s="53"/>
      <x:c r="AB1493" s="53"/>
      <x:c r="AC1493" s="53"/>
      <x:c r="AD1493" s="53"/>
      <x:c r="AE1493" s="53"/>
      <x:c r="AF1493" s="53"/>
    </x:row>
    <x:row r="1494">
      <x:c r="A1494" s="53"/>
      <x:c r="B1494" s="53"/>
      <x:c r="C1494" s="53"/>
      <x:c r="D1494" s="53"/>
      <x:c r="E1494" s="53"/>
      <x:c r="F1494" s="53"/>
      <x:c r="G1494" s="53"/>
      <x:c r="H1494" s="53"/>
      <x:c r="I1494" s="53"/>
      <x:c r="J1494" s="53"/>
      <x:c r="K1494" s="53"/>
      <x:c r="L1494" s="53"/>
      <x:c r="M1494" s="53"/>
      <x:c r="N1494" s="53"/>
      <x:c r="O1494" s="53"/>
      <x:c r="P1494" s="53"/>
      <x:c r="Q1494" s="53"/>
      <x:c r="R1494" s="53"/>
      <x:c r="S1494" s="53"/>
      <x:c r="T1494" s="53"/>
      <x:c r="U1494" s="53"/>
      <x:c r="V1494" s="53"/>
      <x:c r="W1494" s="53"/>
      <x:c r="X1494" s="53"/>
      <x:c r="Y1494" s="53"/>
      <x:c r="Z1494" s="53"/>
      <x:c r="AA1494" s="53"/>
      <x:c r="AB1494" s="53"/>
      <x:c r="AC1494" s="53"/>
      <x:c r="AD1494" s="53"/>
      <x:c r="AE1494" s="53"/>
      <x:c r="AF1494" s="53"/>
    </x:row>
    <x:row r="1495">
      <x:c r="A1495" s="53"/>
      <x:c r="B1495" s="53"/>
      <x:c r="C1495" s="53"/>
      <x:c r="D1495" s="53"/>
      <x:c r="E1495" s="53"/>
      <x:c r="F1495" s="53"/>
      <x:c r="G1495" s="53"/>
      <x:c r="H1495" s="53"/>
      <x:c r="I1495" s="53"/>
      <x:c r="J1495" s="53"/>
      <x:c r="K1495" s="53"/>
      <x:c r="L1495" s="53"/>
      <x:c r="M1495" s="53"/>
      <x:c r="N1495" s="53"/>
      <x:c r="O1495" s="53"/>
      <x:c r="P1495" s="53"/>
      <x:c r="Q1495" s="53"/>
      <x:c r="R1495" s="53"/>
      <x:c r="S1495" s="53"/>
      <x:c r="T1495" s="53"/>
      <x:c r="U1495" s="53"/>
      <x:c r="V1495" s="53"/>
      <x:c r="W1495" s="53"/>
      <x:c r="X1495" s="53"/>
      <x:c r="Y1495" s="53"/>
      <x:c r="Z1495" s="53"/>
      <x:c r="AA1495" s="53"/>
      <x:c r="AB1495" s="53"/>
      <x:c r="AC1495" s="53"/>
      <x:c r="AD1495" s="53"/>
      <x:c r="AE1495" s="53"/>
      <x:c r="AF1495" s="53"/>
    </x:row>
    <x:row r="1496">
      <x:c r="A1496" s="53"/>
      <x:c r="B1496" s="53"/>
      <x:c r="C1496" s="53"/>
      <x:c r="D1496" s="53"/>
      <x:c r="E1496" s="53"/>
      <x:c r="F1496" s="53"/>
      <x:c r="G1496" s="53"/>
      <x:c r="H1496" s="53"/>
      <x:c r="I1496" s="53"/>
      <x:c r="J1496" s="53"/>
      <x:c r="K1496" s="53"/>
      <x:c r="L1496" s="53"/>
      <x:c r="M1496" s="53"/>
      <x:c r="N1496" s="53"/>
      <x:c r="O1496" s="53"/>
      <x:c r="P1496" s="53"/>
      <x:c r="Q1496" s="53"/>
      <x:c r="R1496" s="53"/>
      <x:c r="S1496" s="53"/>
      <x:c r="T1496" s="53"/>
      <x:c r="U1496" s="53"/>
      <x:c r="V1496" s="53"/>
      <x:c r="W1496" s="53"/>
      <x:c r="X1496" s="53"/>
      <x:c r="Y1496" s="53"/>
      <x:c r="Z1496" s="53"/>
      <x:c r="AA1496" s="53"/>
      <x:c r="AB1496" s="53"/>
      <x:c r="AC1496" s="53"/>
      <x:c r="AD1496" s="53"/>
      <x:c r="AE1496" s="53"/>
      <x:c r="AF1496" s="53"/>
    </x:row>
    <x:row r="1497">
      <x:c r="A1497" s="53"/>
      <x:c r="B1497" s="53"/>
      <x:c r="C1497" s="53"/>
      <x:c r="D1497" s="53"/>
      <x:c r="E1497" s="53"/>
      <x:c r="F1497" s="53"/>
      <x:c r="G1497" s="53"/>
      <x:c r="H1497" s="53"/>
      <x:c r="I1497" s="53"/>
      <x:c r="J1497" s="53"/>
      <x:c r="K1497" s="53"/>
      <x:c r="L1497" s="53"/>
      <x:c r="M1497" s="53"/>
      <x:c r="N1497" s="53"/>
      <x:c r="O1497" s="53"/>
      <x:c r="P1497" s="53"/>
      <x:c r="Q1497" s="53"/>
      <x:c r="R1497" s="53"/>
      <x:c r="S1497" s="53"/>
      <x:c r="T1497" s="53"/>
      <x:c r="U1497" s="53"/>
      <x:c r="V1497" s="53"/>
      <x:c r="W1497" s="53"/>
      <x:c r="X1497" s="53"/>
      <x:c r="Y1497" s="53"/>
      <x:c r="Z1497" s="53"/>
      <x:c r="AA1497" s="53"/>
      <x:c r="AB1497" s="53"/>
      <x:c r="AC1497" s="53"/>
      <x:c r="AD1497" s="53"/>
      <x:c r="AE1497" s="53"/>
      <x:c r="AF1497" s="53"/>
    </x:row>
    <x:row r="1498">
      <x:c r="A1498" s="53"/>
      <x:c r="B1498" s="53"/>
      <x:c r="C1498" s="53"/>
      <x:c r="D1498" s="53"/>
      <x:c r="E1498" s="53"/>
      <x:c r="F1498" s="53"/>
      <x:c r="G1498" s="53"/>
      <x:c r="H1498" s="53"/>
      <x:c r="I1498" s="53"/>
      <x:c r="J1498" s="53"/>
      <x:c r="K1498" s="53"/>
      <x:c r="L1498" s="53"/>
      <x:c r="M1498" s="53"/>
      <x:c r="N1498" s="53"/>
      <x:c r="O1498" s="53"/>
      <x:c r="P1498" s="53"/>
      <x:c r="Q1498" s="53"/>
      <x:c r="R1498" s="53"/>
      <x:c r="S1498" s="53"/>
      <x:c r="T1498" s="53"/>
      <x:c r="U1498" s="53"/>
      <x:c r="V1498" s="53"/>
      <x:c r="W1498" s="53"/>
      <x:c r="X1498" s="53"/>
      <x:c r="Y1498" s="53"/>
      <x:c r="Z1498" s="53"/>
      <x:c r="AA1498" s="53"/>
      <x:c r="AB1498" s="53"/>
      <x:c r="AC1498" s="53"/>
      <x:c r="AD1498" s="53"/>
      <x:c r="AE1498" s="53"/>
      <x:c r="AF1498" s="53"/>
    </x:row>
    <x:row r="1499">
      <x:c r="A1499" s="53"/>
      <x:c r="B1499" s="53"/>
      <x:c r="C1499" s="53"/>
      <x:c r="D1499" s="53"/>
      <x:c r="E1499" s="53"/>
      <x:c r="F1499" s="53"/>
      <x:c r="G1499" s="53"/>
      <x:c r="H1499" s="53"/>
      <x:c r="I1499" s="53"/>
      <x:c r="J1499" s="53"/>
      <x:c r="K1499" s="53"/>
      <x:c r="L1499" s="53"/>
      <x:c r="M1499" s="53"/>
      <x:c r="N1499" s="53"/>
      <x:c r="O1499" s="53"/>
      <x:c r="P1499" s="53"/>
      <x:c r="Q1499" s="53"/>
      <x:c r="R1499" s="53"/>
      <x:c r="S1499" s="53"/>
      <x:c r="T1499" s="53"/>
      <x:c r="U1499" s="53"/>
      <x:c r="V1499" s="53"/>
      <x:c r="W1499" s="53"/>
      <x:c r="X1499" s="53"/>
      <x:c r="Y1499" s="53"/>
      <x:c r="Z1499" s="53"/>
      <x:c r="AA1499" s="53"/>
      <x:c r="AB1499" s="53"/>
      <x:c r="AC1499" s="53"/>
      <x:c r="AD1499" s="53"/>
      <x:c r="AE1499" s="53"/>
      <x:c r="AF1499" s="53"/>
    </x:row>
    <x:row r="1500">
      <x:c r="A1500" s="53"/>
      <x:c r="B1500" s="53"/>
      <x:c r="C1500" s="53"/>
      <x:c r="D1500" s="53"/>
      <x:c r="E1500" s="53"/>
      <x:c r="F1500" s="53"/>
      <x:c r="G1500" s="53"/>
      <x:c r="H1500" s="53"/>
      <x:c r="I1500" s="53"/>
      <x:c r="J1500" s="53"/>
      <x:c r="K1500" s="53"/>
      <x:c r="L1500" s="53"/>
      <x:c r="M1500" s="53"/>
      <x:c r="N1500" s="53"/>
      <x:c r="O1500" s="53"/>
      <x:c r="P1500" s="53"/>
      <x:c r="Q1500" s="53"/>
      <x:c r="R1500" s="53"/>
      <x:c r="S1500" s="53"/>
      <x:c r="T1500" s="53"/>
      <x:c r="U1500" s="53"/>
      <x:c r="V1500" s="53"/>
      <x:c r="W1500" s="53"/>
      <x:c r="X1500" s="53"/>
      <x:c r="Y1500" s="53"/>
      <x:c r="Z1500" s="53"/>
      <x:c r="AA1500" s="53"/>
      <x:c r="AB1500" s="53"/>
      <x:c r="AC1500" s="53"/>
      <x:c r="AD1500" s="53"/>
      <x:c r="AE1500" s="53"/>
      <x:c r="AF1500" s="53"/>
    </x:row>
    <x:row r="1501">
      <x:c r="A1501" s="53"/>
      <x:c r="B1501" s="53"/>
      <x:c r="C1501" s="53"/>
      <x:c r="D1501" s="53"/>
      <x:c r="E1501" s="53"/>
      <x:c r="F1501" s="53"/>
      <x:c r="G1501" s="53"/>
      <x:c r="H1501" s="53"/>
      <x:c r="I1501" s="53"/>
      <x:c r="J1501" s="53"/>
      <x:c r="K1501" s="53"/>
      <x:c r="L1501" s="53"/>
      <x:c r="M1501" s="53"/>
      <x:c r="N1501" s="53"/>
      <x:c r="O1501" s="53"/>
      <x:c r="P1501" s="53"/>
      <x:c r="Q1501" s="53"/>
      <x:c r="R1501" s="53"/>
      <x:c r="S1501" s="53"/>
      <x:c r="T1501" s="53"/>
      <x:c r="U1501" s="53"/>
      <x:c r="V1501" s="53"/>
      <x:c r="W1501" s="53"/>
      <x:c r="X1501" s="53"/>
      <x:c r="Y1501" s="53"/>
      <x:c r="Z1501" s="53"/>
      <x:c r="AA1501" s="53"/>
      <x:c r="AB1501" s="53"/>
      <x:c r="AC1501" s="53"/>
      <x:c r="AD1501" s="53"/>
      <x:c r="AE1501" s="53"/>
      <x:c r="AF1501" s="53"/>
    </x:row>
    <x:row r="1502">
      <x:c r="A1502" s="53"/>
      <x:c r="B1502" s="53"/>
      <x:c r="C1502" s="53"/>
      <x:c r="D1502" s="53"/>
      <x:c r="E1502" s="53"/>
      <x:c r="F1502" s="53"/>
      <x:c r="G1502" s="53"/>
      <x:c r="H1502" s="53"/>
      <x:c r="I1502" s="53"/>
      <x:c r="J1502" s="53"/>
      <x:c r="K1502" s="53"/>
      <x:c r="L1502" s="53"/>
      <x:c r="M1502" s="53"/>
      <x:c r="N1502" s="53"/>
      <x:c r="O1502" s="53"/>
      <x:c r="P1502" s="53"/>
      <x:c r="Q1502" s="53"/>
      <x:c r="R1502" s="53"/>
      <x:c r="S1502" s="53"/>
      <x:c r="T1502" s="53"/>
      <x:c r="U1502" s="53"/>
      <x:c r="V1502" s="53"/>
      <x:c r="W1502" s="53"/>
      <x:c r="X1502" s="53"/>
      <x:c r="Y1502" s="53"/>
      <x:c r="Z1502" s="53"/>
      <x:c r="AA1502" s="53"/>
      <x:c r="AB1502" s="53"/>
      <x:c r="AC1502" s="53"/>
      <x:c r="AD1502" s="53"/>
      <x:c r="AE1502" s="53"/>
      <x:c r="AF1502" s="53"/>
    </x:row>
    <x:row r="1503">
      <x:c r="A1503" s="53"/>
      <x:c r="B1503" s="53"/>
      <x:c r="C1503" s="53"/>
      <x:c r="D1503" s="53"/>
      <x:c r="E1503" s="53"/>
      <x:c r="F1503" s="53"/>
      <x:c r="G1503" s="53"/>
      <x:c r="H1503" s="53"/>
      <x:c r="I1503" s="53"/>
      <x:c r="J1503" s="53"/>
      <x:c r="K1503" s="53"/>
      <x:c r="L1503" s="53"/>
      <x:c r="M1503" s="53"/>
      <x:c r="N1503" s="53"/>
      <x:c r="O1503" s="53"/>
      <x:c r="P1503" s="53"/>
      <x:c r="Q1503" s="53"/>
      <x:c r="R1503" s="53"/>
      <x:c r="S1503" s="53"/>
      <x:c r="T1503" s="53"/>
      <x:c r="U1503" s="53"/>
      <x:c r="V1503" s="53"/>
      <x:c r="W1503" s="53"/>
      <x:c r="X1503" s="53"/>
      <x:c r="Y1503" s="53"/>
      <x:c r="Z1503" s="53"/>
      <x:c r="AA1503" s="53"/>
      <x:c r="AB1503" s="53"/>
      <x:c r="AC1503" s="53"/>
      <x:c r="AD1503" s="53"/>
      <x:c r="AE1503" s="53"/>
      <x:c r="AF1503" s="53"/>
    </x:row>
    <x:row r="1504">
      <x:c r="A1504" s="53"/>
      <x:c r="B1504" s="53"/>
      <x:c r="C1504" s="53"/>
      <x:c r="D1504" s="53"/>
      <x:c r="E1504" s="53"/>
      <x:c r="F1504" s="53"/>
      <x:c r="G1504" s="53"/>
      <x:c r="H1504" s="53"/>
      <x:c r="I1504" s="53"/>
      <x:c r="J1504" s="53"/>
      <x:c r="K1504" s="53"/>
      <x:c r="L1504" s="53"/>
      <x:c r="M1504" s="53"/>
      <x:c r="N1504" s="53"/>
      <x:c r="O1504" s="53"/>
      <x:c r="P1504" s="53"/>
      <x:c r="Q1504" s="53"/>
      <x:c r="R1504" s="53"/>
      <x:c r="S1504" s="53"/>
      <x:c r="T1504" s="53"/>
      <x:c r="U1504" s="53"/>
      <x:c r="V1504" s="53"/>
      <x:c r="W1504" s="53"/>
      <x:c r="X1504" s="53"/>
      <x:c r="Y1504" s="53"/>
      <x:c r="Z1504" s="53"/>
      <x:c r="AA1504" s="53"/>
      <x:c r="AB1504" s="53"/>
      <x:c r="AC1504" s="53"/>
      <x:c r="AD1504" s="53"/>
      <x:c r="AE1504" s="53"/>
      <x:c r="AF1504" s="53"/>
    </x:row>
    <x:row r="1505">
      <x:c r="A1505" s="53"/>
      <x:c r="B1505" s="53"/>
      <x:c r="C1505" s="53"/>
      <x:c r="D1505" s="53"/>
      <x:c r="E1505" s="53"/>
      <x:c r="F1505" s="53"/>
      <x:c r="G1505" s="53"/>
      <x:c r="H1505" s="53"/>
      <x:c r="I1505" s="53"/>
      <x:c r="J1505" s="53"/>
      <x:c r="K1505" s="53"/>
      <x:c r="L1505" s="53"/>
      <x:c r="M1505" s="53"/>
      <x:c r="N1505" s="53"/>
      <x:c r="O1505" s="53"/>
      <x:c r="P1505" s="53"/>
      <x:c r="Q1505" s="53"/>
      <x:c r="R1505" s="53"/>
      <x:c r="S1505" s="53"/>
      <x:c r="T1505" s="53"/>
      <x:c r="U1505" s="53"/>
      <x:c r="V1505" s="53"/>
      <x:c r="W1505" s="53"/>
      <x:c r="X1505" s="53"/>
      <x:c r="Y1505" s="53"/>
      <x:c r="Z1505" s="53"/>
      <x:c r="AA1505" s="53"/>
      <x:c r="AB1505" s="53"/>
      <x:c r="AC1505" s="53"/>
      <x:c r="AD1505" s="53"/>
      <x:c r="AE1505" s="53"/>
      <x:c r="AF1505" s="53"/>
    </x:row>
    <x:row r="1506">
      <x:c r="A1506" s="53"/>
      <x:c r="B1506" s="53"/>
      <x:c r="C1506" s="53"/>
      <x:c r="D1506" s="53"/>
      <x:c r="E1506" s="53"/>
      <x:c r="F1506" s="53"/>
      <x:c r="G1506" s="53"/>
      <x:c r="H1506" s="53"/>
      <x:c r="I1506" s="53"/>
      <x:c r="J1506" s="53"/>
      <x:c r="K1506" s="53"/>
      <x:c r="L1506" s="53"/>
      <x:c r="M1506" s="53"/>
      <x:c r="N1506" s="53"/>
      <x:c r="O1506" s="53"/>
      <x:c r="P1506" s="53"/>
      <x:c r="Q1506" s="53"/>
      <x:c r="R1506" s="53"/>
      <x:c r="S1506" s="53"/>
      <x:c r="T1506" s="53"/>
      <x:c r="U1506" s="53"/>
      <x:c r="V1506" s="53"/>
      <x:c r="W1506" s="53"/>
      <x:c r="X1506" s="53"/>
      <x:c r="Y1506" s="53"/>
      <x:c r="Z1506" s="53"/>
      <x:c r="AA1506" s="53"/>
      <x:c r="AB1506" s="53"/>
      <x:c r="AC1506" s="53"/>
      <x:c r="AD1506" s="53"/>
      <x:c r="AE1506" s="53"/>
      <x:c r="AF1506" s="53"/>
    </x:row>
    <x:row r="1507">
      <x:c r="A1507" s="53"/>
      <x:c r="B1507" s="53"/>
      <x:c r="C1507" s="53"/>
      <x:c r="D1507" s="53"/>
      <x:c r="E1507" s="53"/>
      <x:c r="F1507" s="53"/>
      <x:c r="G1507" s="53"/>
      <x:c r="H1507" s="53"/>
      <x:c r="I1507" s="53"/>
      <x:c r="J1507" s="53"/>
      <x:c r="K1507" s="53"/>
      <x:c r="L1507" s="53"/>
      <x:c r="M1507" s="53"/>
      <x:c r="N1507" s="53"/>
      <x:c r="O1507" s="53"/>
      <x:c r="P1507" s="53"/>
      <x:c r="Q1507" s="53"/>
      <x:c r="R1507" s="53"/>
      <x:c r="S1507" s="53"/>
      <x:c r="T1507" s="53"/>
      <x:c r="U1507" s="53"/>
      <x:c r="V1507" s="53"/>
      <x:c r="W1507" s="53"/>
      <x:c r="X1507" s="53"/>
      <x:c r="Y1507" s="53"/>
      <x:c r="Z1507" s="53"/>
      <x:c r="AA1507" s="53"/>
      <x:c r="AB1507" s="53"/>
      <x:c r="AC1507" s="53"/>
      <x:c r="AD1507" s="53"/>
      <x:c r="AE1507" s="53"/>
      <x:c r="AF1507" s="53"/>
    </x:row>
    <x:row r="1508">
      <x:c r="A1508" s="53"/>
      <x:c r="B1508" s="53"/>
      <x:c r="C1508" s="53"/>
      <x:c r="D1508" s="53"/>
      <x:c r="E1508" s="53"/>
      <x:c r="F1508" s="53"/>
      <x:c r="G1508" s="53"/>
      <x:c r="H1508" s="53"/>
      <x:c r="I1508" s="53"/>
      <x:c r="J1508" s="53"/>
      <x:c r="K1508" s="53"/>
      <x:c r="L1508" s="53"/>
      <x:c r="M1508" s="53"/>
      <x:c r="N1508" s="53"/>
      <x:c r="O1508" s="53"/>
      <x:c r="P1508" s="53"/>
      <x:c r="Q1508" s="53"/>
      <x:c r="R1508" s="53"/>
      <x:c r="S1508" s="53"/>
      <x:c r="T1508" s="53"/>
      <x:c r="U1508" s="53"/>
      <x:c r="V1508" s="53"/>
      <x:c r="W1508" s="53"/>
      <x:c r="X1508" s="53"/>
      <x:c r="Y1508" s="53"/>
      <x:c r="Z1508" s="53"/>
      <x:c r="AA1508" s="53"/>
      <x:c r="AB1508" s="53"/>
      <x:c r="AC1508" s="53"/>
      <x:c r="AD1508" s="53"/>
      <x:c r="AE1508" s="53"/>
      <x:c r="AF1508" s="53"/>
    </x:row>
    <x:row r="1509">
      <x:c r="A1509" s="53"/>
      <x:c r="B1509" s="53"/>
      <x:c r="C1509" s="53"/>
      <x:c r="D1509" s="53"/>
      <x:c r="E1509" s="53"/>
      <x:c r="F1509" s="53"/>
      <x:c r="G1509" s="53"/>
      <x:c r="H1509" s="53"/>
      <x:c r="I1509" s="53"/>
      <x:c r="J1509" s="53"/>
      <x:c r="K1509" s="53"/>
      <x:c r="L1509" s="53"/>
      <x:c r="M1509" s="53"/>
      <x:c r="N1509" s="53"/>
      <x:c r="O1509" s="53"/>
      <x:c r="P1509" s="53"/>
      <x:c r="Q1509" s="53"/>
      <x:c r="R1509" s="53"/>
      <x:c r="S1509" s="53"/>
      <x:c r="T1509" s="53"/>
      <x:c r="U1509" s="53"/>
      <x:c r="V1509" s="53"/>
      <x:c r="W1509" s="53"/>
      <x:c r="X1509" s="53"/>
      <x:c r="Y1509" s="53"/>
      <x:c r="Z1509" s="53"/>
      <x:c r="AA1509" s="53"/>
      <x:c r="AB1509" s="53"/>
      <x:c r="AC1509" s="53"/>
      <x:c r="AD1509" s="53"/>
      <x:c r="AE1509" s="53"/>
      <x:c r="AF1509" s="53"/>
    </x:row>
    <x:row r="1510">
      <x:c r="A1510" s="53"/>
      <x:c r="B1510" s="53"/>
      <x:c r="C1510" s="53"/>
      <x:c r="D1510" s="53"/>
      <x:c r="E1510" s="53"/>
      <x:c r="F1510" s="53"/>
      <x:c r="G1510" s="53"/>
      <x:c r="H1510" s="53"/>
      <x:c r="I1510" s="53"/>
      <x:c r="J1510" s="53"/>
      <x:c r="K1510" s="53"/>
      <x:c r="L1510" s="53"/>
      <x:c r="M1510" s="53"/>
      <x:c r="N1510" s="53"/>
      <x:c r="O1510" s="53"/>
      <x:c r="P1510" s="53"/>
      <x:c r="Q1510" s="53"/>
      <x:c r="R1510" s="53"/>
      <x:c r="S1510" s="53"/>
      <x:c r="T1510" s="53"/>
      <x:c r="U1510" s="53"/>
      <x:c r="V1510" s="53"/>
      <x:c r="W1510" s="53"/>
      <x:c r="X1510" s="53"/>
      <x:c r="Y1510" s="53"/>
      <x:c r="Z1510" s="53"/>
      <x:c r="AA1510" s="53"/>
      <x:c r="AB1510" s="53"/>
      <x:c r="AC1510" s="53"/>
      <x:c r="AD1510" s="53"/>
      <x:c r="AE1510" s="53"/>
      <x:c r="AF1510" s="53"/>
    </x:row>
    <x:row r="1511">
      <x:c r="A1511" s="53"/>
      <x:c r="B1511" s="53"/>
      <x:c r="C1511" s="53"/>
      <x:c r="D1511" s="53"/>
      <x:c r="E1511" s="53"/>
      <x:c r="F1511" s="53"/>
      <x:c r="G1511" s="53"/>
      <x:c r="H1511" s="53"/>
      <x:c r="I1511" s="53"/>
      <x:c r="J1511" s="53"/>
      <x:c r="K1511" s="53"/>
      <x:c r="L1511" s="53"/>
      <x:c r="M1511" s="53"/>
      <x:c r="N1511" s="53"/>
      <x:c r="O1511" s="53"/>
      <x:c r="P1511" s="53"/>
      <x:c r="Q1511" s="53"/>
      <x:c r="R1511" s="53"/>
      <x:c r="S1511" s="53"/>
      <x:c r="T1511" s="53"/>
      <x:c r="U1511" s="53"/>
      <x:c r="V1511" s="53"/>
      <x:c r="W1511" s="53"/>
      <x:c r="X1511" s="53"/>
      <x:c r="Y1511" s="53"/>
      <x:c r="Z1511" s="53"/>
      <x:c r="AA1511" s="53"/>
      <x:c r="AB1511" s="53"/>
      <x:c r="AC1511" s="53"/>
      <x:c r="AD1511" s="53"/>
      <x:c r="AE1511" s="53"/>
      <x:c r="AF1511" s="53"/>
    </x:row>
    <x:row r="1512">
      <x:c r="A1512" s="53"/>
      <x:c r="B1512" s="53"/>
      <x:c r="C1512" s="53"/>
      <x:c r="D1512" s="53"/>
      <x:c r="E1512" s="53"/>
      <x:c r="F1512" s="53"/>
      <x:c r="G1512" s="53"/>
      <x:c r="H1512" s="53"/>
      <x:c r="I1512" s="53"/>
      <x:c r="J1512" s="53"/>
      <x:c r="K1512" s="53"/>
      <x:c r="L1512" s="53"/>
      <x:c r="M1512" s="53"/>
      <x:c r="N1512" s="53"/>
      <x:c r="O1512" s="53"/>
      <x:c r="P1512" s="53"/>
      <x:c r="Q1512" s="53"/>
      <x:c r="R1512" s="53"/>
      <x:c r="S1512" s="53"/>
      <x:c r="T1512" s="53"/>
      <x:c r="U1512" s="53"/>
      <x:c r="V1512" s="53"/>
      <x:c r="W1512" s="53"/>
      <x:c r="X1512" s="53"/>
      <x:c r="Y1512" s="53"/>
      <x:c r="Z1512" s="53"/>
      <x:c r="AA1512" s="53"/>
      <x:c r="AB1512" s="53"/>
      <x:c r="AC1512" s="53"/>
      <x:c r="AD1512" s="53"/>
      <x:c r="AE1512" s="53"/>
      <x:c r="AF1512" s="53"/>
    </x:row>
    <x:row r="1513">
      <x:c r="A1513" s="53"/>
      <x:c r="B1513" s="53"/>
      <x:c r="C1513" s="53"/>
      <x:c r="D1513" s="53"/>
      <x:c r="E1513" s="53"/>
      <x:c r="F1513" s="53"/>
      <x:c r="G1513" s="53"/>
      <x:c r="H1513" s="53"/>
      <x:c r="I1513" s="53"/>
      <x:c r="J1513" s="53"/>
      <x:c r="K1513" s="53"/>
      <x:c r="L1513" s="53"/>
      <x:c r="M1513" s="53"/>
      <x:c r="N1513" s="53"/>
      <x:c r="O1513" s="53"/>
      <x:c r="P1513" s="53"/>
      <x:c r="Q1513" s="53"/>
      <x:c r="R1513" s="53"/>
      <x:c r="S1513" s="53"/>
      <x:c r="T1513" s="53"/>
      <x:c r="U1513" s="53"/>
      <x:c r="V1513" s="53"/>
      <x:c r="W1513" s="53"/>
      <x:c r="X1513" s="53"/>
      <x:c r="Y1513" s="53"/>
      <x:c r="Z1513" s="53"/>
      <x:c r="AA1513" s="53"/>
      <x:c r="AB1513" s="53"/>
      <x:c r="AC1513" s="53"/>
      <x:c r="AD1513" s="53"/>
      <x:c r="AE1513" s="53"/>
      <x:c r="AF1513" s="53"/>
    </x:row>
    <x:row r="1514">
      <x:c r="A1514" s="53"/>
      <x:c r="B1514" s="53"/>
      <x:c r="C1514" s="53"/>
      <x:c r="D1514" s="53"/>
      <x:c r="E1514" s="53"/>
      <x:c r="F1514" s="53"/>
      <x:c r="G1514" s="53"/>
      <x:c r="H1514" s="53"/>
      <x:c r="I1514" s="53"/>
      <x:c r="J1514" s="53"/>
      <x:c r="K1514" s="53"/>
      <x:c r="L1514" s="53"/>
      <x:c r="M1514" s="53"/>
      <x:c r="N1514" s="53"/>
      <x:c r="O1514" s="53"/>
      <x:c r="P1514" s="53"/>
      <x:c r="Q1514" s="53"/>
      <x:c r="R1514" s="53"/>
      <x:c r="S1514" s="53"/>
      <x:c r="T1514" s="53"/>
      <x:c r="U1514" s="53"/>
      <x:c r="V1514" s="53"/>
      <x:c r="W1514" s="53"/>
      <x:c r="X1514" s="53"/>
      <x:c r="Y1514" s="53"/>
      <x:c r="Z1514" s="53"/>
      <x:c r="AA1514" s="53"/>
      <x:c r="AB1514" s="53"/>
      <x:c r="AC1514" s="53"/>
      <x:c r="AD1514" s="53"/>
      <x:c r="AE1514" s="53"/>
      <x:c r="AF1514" s="53"/>
    </x:row>
    <x:row r="1515">
      <x:c r="A1515" s="53"/>
      <x:c r="B1515" s="53"/>
      <x:c r="C1515" s="53"/>
      <x:c r="D1515" s="53"/>
      <x:c r="E1515" s="53"/>
      <x:c r="F1515" s="53"/>
      <x:c r="G1515" s="53"/>
      <x:c r="H1515" s="53"/>
      <x:c r="I1515" s="53"/>
      <x:c r="J1515" s="53"/>
      <x:c r="K1515" s="53"/>
      <x:c r="L1515" s="53"/>
      <x:c r="M1515" s="53"/>
      <x:c r="N1515" s="53"/>
      <x:c r="O1515" s="53"/>
      <x:c r="P1515" s="53"/>
      <x:c r="Q1515" s="53"/>
      <x:c r="R1515" s="53"/>
      <x:c r="S1515" s="53"/>
      <x:c r="T1515" s="53"/>
      <x:c r="U1515" s="53"/>
      <x:c r="V1515" s="53"/>
      <x:c r="W1515" s="53"/>
      <x:c r="X1515" s="53"/>
      <x:c r="Y1515" s="53"/>
      <x:c r="Z1515" s="53"/>
      <x:c r="AA1515" s="53"/>
      <x:c r="AB1515" s="53"/>
      <x:c r="AC1515" s="53"/>
      <x:c r="AD1515" s="53"/>
      <x:c r="AE1515" s="53"/>
      <x:c r="AF1515" s="53"/>
    </x:row>
    <x:row r="1516">
      <x:c r="A1516" s="53"/>
      <x:c r="B1516" s="53"/>
      <x:c r="C1516" s="53"/>
      <x:c r="D1516" s="53"/>
      <x:c r="E1516" s="53"/>
      <x:c r="F1516" s="53"/>
      <x:c r="G1516" s="53"/>
      <x:c r="H1516" s="53"/>
      <x:c r="I1516" s="53"/>
      <x:c r="J1516" s="53"/>
      <x:c r="K1516" s="53"/>
      <x:c r="L1516" s="53"/>
      <x:c r="M1516" s="53"/>
      <x:c r="N1516" s="53"/>
      <x:c r="O1516" s="53"/>
      <x:c r="P1516" s="53"/>
      <x:c r="Q1516" s="53"/>
      <x:c r="R1516" s="53"/>
      <x:c r="S1516" s="53"/>
      <x:c r="T1516" s="53"/>
      <x:c r="U1516" s="53"/>
      <x:c r="V1516" s="53"/>
      <x:c r="W1516" s="53"/>
      <x:c r="X1516" s="53"/>
      <x:c r="Y1516" s="53"/>
      <x:c r="Z1516" s="53"/>
      <x:c r="AA1516" s="53"/>
      <x:c r="AB1516" s="53"/>
      <x:c r="AC1516" s="53"/>
      <x:c r="AD1516" s="53"/>
      <x:c r="AE1516" s="53"/>
      <x:c r="AF1516" s="53"/>
    </x:row>
    <x:row r="1517">
      <x:c r="A1517" s="53"/>
      <x:c r="B1517" s="53"/>
      <x:c r="C1517" s="53"/>
      <x:c r="D1517" s="53"/>
      <x:c r="E1517" s="53"/>
      <x:c r="F1517" s="53"/>
      <x:c r="G1517" s="53"/>
      <x:c r="H1517" s="53"/>
      <x:c r="I1517" s="53"/>
      <x:c r="J1517" s="53"/>
      <x:c r="K1517" s="53"/>
      <x:c r="L1517" s="53"/>
      <x:c r="M1517" s="53"/>
      <x:c r="N1517" s="53"/>
      <x:c r="O1517" s="53"/>
      <x:c r="P1517" s="53"/>
      <x:c r="Q1517" s="53"/>
      <x:c r="R1517" s="53"/>
      <x:c r="S1517" s="53"/>
      <x:c r="T1517" s="53"/>
      <x:c r="U1517" s="53"/>
      <x:c r="V1517" s="53"/>
      <x:c r="W1517" s="53"/>
      <x:c r="X1517" s="53"/>
      <x:c r="Y1517" s="53"/>
      <x:c r="Z1517" s="53"/>
      <x:c r="AA1517" s="53"/>
      <x:c r="AB1517" s="53"/>
      <x:c r="AC1517" s="53"/>
      <x:c r="AD1517" s="53"/>
      <x:c r="AE1517" s="53"/>
      <x:c r="AF1517" s="53"/>
    </x:row>
    <x:row r="1518">
      <x:c r="A1518" s="53"/>
      <x:c r="B1518" s="53"/>
      <x:c r="C1518" s="53"/>
      <x:c r="D1518" s="53"/>
      <x:c r="E1518" s="53"/>
      <x:c r="F1518" s="53"/>
      <x:c r="G1518" s="53"/>
      <x:c r="H1518" s="53"/>
      <x:c r="I1518" s="53"/>
      <x:c r="J1518" s="53"/>
      <x:c r="K1518" s="53"/>
      <x:c r="L1518" s="53"/>
      <x:c r="M1518" s="53"/>
      <x:c r="N1518" s="53"/>
      <x:c r="O1518" s="53"/>
      <x:c r="P1518" s="53"/>
      <x:c r="Q1518" s="53"/>
      <x:c r="R1518" s="53"/>
      <x:c r="S1518" s="53"/>
      <x:c r="T1518" s="53"/>
      <x:c r="U1518" s="53"/>
      <x:c r="V1518" s="53"/>
      <x:c r="W1518" s="53"/>
      <x:c r="X1518" s="53"/>
      <x:c r="Y1518" s="53"/>
      <x:c r="Z1518" s="53"/>
      <x:c r="AA1518" s="53"/>
      <x:c r="AB1518" s="53"/>
      <x:c r="AC1518" s="53"/>
      <x:c r="AD1518" s="53"/>
      <x:c r="AE1518" s="53"/>
      <x:c r="AF1518" s="53"/>
    </x:row>
    <x:row r="1519">
      <x:c r="A1519" s="53"/>
      <x:c r="B1519" s="53"/>
      <x:c r="C1519" s="53"/>
      <x:c r="D1519" s="53"/>
      <x:c r="E1519" s="53"/>
      <x:c r="F1519" s="53"/>
      <x:c r="G1519" s="53"/>
      <x:c r="H1519" s="53"/>
      <x:c r="I1519" s="53"/>
      <x:c r="J1519" s="53"/>
      <x:c r="K1519" s="53"/>
      <x:c r="L1519" s="53"/>
      <x:c r="M1519" s="53"/>
      <x:c r="N1519" s="53"/>
      <x:c r="O1519" s="53"/>
      <x:c r="P1519" s="53"/>
      <x:c r="Q1519" s="53"/>
      <x:c r="R1519" s="53"/>
      <x:c r="S1519" s="53"/>
      <x:c r="T1519" s="53"/>
      <x:c r="U1519" s="53"/>
      <x:c r="V1519" s="53"/>
      <x:c r="W1519" s="53"/>
      <x:c r="X1519" s="53"/>
      <x:c r="Y1519" s="53"/>
      <x:c r="Z1519" s="53"/>
      <x:c r="AA1519" s="53"/>
      <x:c r="AB1519" s="53"/>
      <x:c r="AC1519" s="53"/>
      <x:c r="AD1519" s="53"/>
      <x:c r="AE1519" s="53"/>
      <x:c r="AF1519" s="53"/>
    </x:row>
    <x:row r="1520">
      <x:c r="A1520" s="53"/>
      <x:c r="B1520" s="53"/>
      <x:c r="C1520" s="53"/>
      <x:c r="D1520" s="53"/>
      <x:c r="E1520" s="53"/>
      <x:c r="F1520" s="53"/>
      <x:c r="G1520" s="53"/>
      <x:c r="H1520" s="53"/>
      <x:c r="I1520" s="53"/>
      <x:c r="J1520" s="53"/>
      <x:c r="K1520" s="53"/>
      <x:c r="L1520" s="53"/>
      <x:c r="M1520" s="53"/>
      <x:c r="N1520" s="53"/>
      <x:c r="O1520" s="53"/>
      <x:c r="P1520" s="53"/>
      <x:c r="Q1520" s="53"/>
      <x:c r="R1520" s="53"/>
      <x:c r="S1520" s="53"/>
      <x:c r="T1520" s="53"/>
      <x:c r="U1520" s="53"/>
      <x:c r="V1520" s="53"/>
      <x:c r="W1520" s="53"/>
      <x:c r="X1520" s="53"/>
      <x:c r="Y1520" s="53"/>
      <x:c r="Z1520" s="53"/>
      <x:c r="AA1520" s="53"/>
      <x:c r="AB1520" s="53"/>
      <x:c r="AC1520" s="53"/>
      <x:c r="AD1520" s="53"/>
      <x:c r="AE1520" s="53"/>
      <x:c r="AF1520" s="53"/>
    </x:row>
    <x:row r="1521">
      <x:c r="A1521" s="53"/>
      <x:c r="B1521" s="53"/>
      <x:c r="C1521" s="53"/>
      <x:c r="D1521" s="53"/>
      <x:c r="E1521" s="53"/>
      <x:c r="F1521" s="53"/>
      <x:c r="G1521" s="53"/>
      <x:c r="H1521" s="53"/>
      <x:c r="I1521" s="53"/>
      <x:c r="J1521" s="53"/>
      <x:c r="K1521" s="53"/>
      <x:c r="L1521" s="53"/>
      <x:c r="M1521" s="53"/>
      <x:c r="N1521" s="53"/>
      <x:c r="O1521" s="53"/>
      <x:c r="P1521" s="53"/>
      <x:c r="Q1521" s="53"/>
      <x:c r="R1521" s="53"/>
      <x:c r="S1521" s="53"/>
      <x:c r="T1521" s="53"/>
      <x:c r="U1521" s="53"/>
      <x:c r="V1521" s="53"/>
      <x:c r="W1521" s="53"/>
      <x:c r="X1521" s="53"/>
      <x:c r="Y1521" s="53"/>
      <x:c r="Z1521" s="53"/>
      <x:c r="AA1521" s="53"/>
      <x:c r="AB1521" s="53"/>
      <x:c r="AC1521" s="53"/>
      <x:c r="AD1521" s="53"/>
      <x:c r="AE1521" s="53"/>
      <x:c r="AF1521" s="53"/>
    </x:row>
    <x:row r="1522">
      <x:c r="A1522" s="53"/>
      <x:c r="B1522" s="53"/>
      <x:c r="C1522" s="53"/>
      <x:c r="D1522" s="53"/>
      <x:c r="E1522" s="53"/>
      <x:c r="F1522" s="53"/>
      <x:c r="G1522" s="53"/>
      <x:c r="H1522" s="53"/>
      <x:c r="I1522" s="53"/>
      <x:c r="J1522" s="53"/>
      <x:c r="K1522" s="53"/>
      <x:c r="L1522" s="53"/>
      <x:c r="M1522" s="53"/>
      <x:c r="N1522" s="53"/>
      <x:c r="O1522" s="53"/>
      <x:c r="P1522" s="53"/>
      <x:c r="Q1522" s="53"/>
      <x:c r="R1522" s="53"/>
      <x:c r="S1522" s="53"/>
      <x:c r="T1522" s="53"/>
      <x:c r="U1522" s="53"/>
      <x:c r="V1522" s="53"/>
      <x:c r="W1522" s="53"/>
      <x:c r="X1522" s="53"/>
      <x:c r="Y1522" s="53"/>
      <x:c r="Z1522" s="53"/>
      <x:c r="AA1522" s="53"/>
      <x:c r="AB1522" s="53"/>
      <x:c r="AC1522" s="53"/>
      <x:c r="AD1522" s="53"/>
      <x:c r="AE1522" s="53"/>
      <x:c r="AF1522" s="53"/>
    </x:row>
    <x:row r="1523">
      <x:c r="A1523" s="53"/>
      <x:c r="B1523" s="53"/>
      <x:c r="C1523" s="53"/>
      <x:c r="D1523" s="53"/>
      <x:c r="E1523" s="53"/>
      <x:c r="F1523" s="53"/>
      <x:c r="G1523" s="53"/>
      <x:c r="H1523" s="53"/>
      <x:c r="I1523" s="53"/>
      <x:c r="J1523" s="53"/>
      <x:c r="K1523" s="53"/>
      <x:c r="L1523" s="53"/>
      <x:c r="M1523" s="53"/>
      <x:c r="N1523" s="53"/>
      <x:c r="O1523" s="53"/>
      <x:c r="P1523" s="53"/>
      <x:c r="Q1523" s="53"/>
      <x:c r="R1523" s="53"/>
      <x:c r="S1523" s="53"/>
      <x:c r="T1523" s="53"/>
      <x:c r="U1523" s="53"/>
      <x:c r="V1523" s="53"/>
      <x:c r="W1523" s="53"/>
      <x:c r="X1523" s="53"/>
      <x:c r="Y1523" s="53"/>
      <x:c r="Z1523" s="53"/>
      <x:c r="AA1523" s="53"/>
      <x:c r="AB1523" s="53"/>
      <x:c r="AC1523" s="53"/>
      <x:c r="AD1523" s="53"/>
      <x:c r="AE1523" s="53"/>
      <x:c r="AF1523" s="53"/>
    </x:row>
    <x:row r="1524">
      <x:c r="A1524" s="53"/>
      <x:c r="B1524" s="53"/>
      <x:c r="C1524" s="53"/>
      <x:c r="D1524" s="53"/>
      <x:c r="E1524" s="53"/>
      <x:c r="F1524" s="53"/>
      <x:c r="G1524" s="53"/>
      <x:c r="H1524" s="53"/>
      <x:c r="I1524" s="53"/>
      <x:c r="J1524" s="53"/>
      <x:c r="K1524" s="53"/>
      <x:c r="L1524" s="53"/>
      <x:c r="M1524" s="53"/>
      <x:c r="N1524" s="53"/>
      <x:c r="O1524" s="53"/>
      <x:c r="P1524" s="53"/>
      <x:c r="Q1524" s="53"/>
      <x:c r="R1524" s="53"/>
      <x:c r="S1524" s="53"/>
      <x:c r="T1524" s="53"/>
      <x:c r="U1524" s="53"/>
      <x:c r="V1524" s="53"/>
      <x:c r="W1524" s="53"/>
      <x:c r="X1524" s="53"/>
      <x:c r="Y1524" s="53"/>
      <x:c r="Z1524" s="53"/>
      <x:c r="AA1524" s="53"/>
      <x:c r="AB1524" s="53"/>
      <x:c r="AC1524" s="53"/>
      <x:c r="AD1524" s="53"/>
      <x:c r="AE1524" s="53"/>
      <x:c r="AF1524" s="53"/>
    </x:row>
    <x:row r="1525">
      <x:c r="A1525" s="53"/>
      <x:c r="B1525" s="53"/>
      <x:c r="C1525" s="53"/>
      <x:c r="D1525" s="53"/>
      <x:c r="E1525" s="53"/>
      <x:c r="F1525" s="53"/>
      <x:c r="G1525" s="53"/>
      <x:c r="H1525" s="53"/>
      <x:c r="I1525" s="53"/>
      <x:c r="J1525" s="53"/>
      <x:c r="K1525" s="53"/>
      <x:c r="L1525" s="53"/>
      <x:c r="M1525" s="53"/>
      <x:c r="N1525" s="53"/>
      <x:c r="O1525" s="53"/>
      <x:c r="P1525" s="53"/>
      <x:c r="Q1525" s="53"/>
      <x:c r="R1525" s="53"/>
      <x:c r="S1525" s="53"/>
      <x:c r="T1525" s="53"/>
      <x:c r="U1525" s="53"/>
      <x:c r="V1525" s="53"/>
      <x:c r="W1525" s="53"/>
      <x:c r="X1525" s="53"/>
      <x:c r="Y1525" s="53"/>
      <x:c r="Z1525" s="53"/>
      <x:c r="AA1525" s="53"/>
      <x:c r="AB1525" s="53"/>
      <x:c r="AC1525" s="53"/>
      <x:c r="AD1525" s="53"/>
      <x:c r="AE1525" s="53"/>
      <x:c r="AF1525" s="53"/>
    </x:row>
    <x:row r="1526">
      <x:c r="A1526" s="53"/>
      <x:c r="B1526" s="53"/>
      <x:c r="C1526" s="53"/>
      <x:c r="D1526" s="53"/>
      <x:c r="E1526" s="53"/>
      <x:c r="F1526" s="53"/>
      <x:c r="G1526" s="53"/>
      <x:c r="H1526" s="53"/>
      <x:c r="I1526" s="53"/>
      <x:c r="J1526" s="53"/>
      <x:c r="K1526" s="53"/>
      <x:c r="L1526" s="53"/>
      <x:c r="M1526" s="53"/>
      <x:c r="N1526" s="53"/>
      <x:c r="O1526" s="53"/>
      <x:c r="P1526" s="53"/>
      <x:c r="Q1526" s="53"/>
      <x:c r="R1526" s="53"/>
      <x:c r="S1526" s="53"/>
      <x:c r="T1526" s="53"/>
      <x:c r="U1526" s="53"/>
      <x:c r="V1526" s="53"/>
      <x:c r="W1526" s="53"/>
      <x:c r="X1526" s="53"/>
      <x:c r="Y1526" s="53"/>
      <x:c r="Z1526" s="53"/>
      <x:c r="AA1526" s="53"/>
      <x:c r="AB1526" s="53"/>
      <x:c r="AC1526" s="53"/>
      <x:c r="AD1526" s="53"/>
      <x:c r="AE1526" s="53"/>
      <x:c r="AF1526" s="53"/>
    </x:row>
    <x:row r="1527">
      <x:c r="A1527" s="53"/>
      <x:c r="B1527" s="53"/>
      <x:c r="C1527" s="53"/>
      <x:c r="D1527" s="53"/>
      <x:c r="E1527" s="53"/>
      <x:c r="F1527" s="53"/>
      <x:c r="G1527" s="53"/>
      <x:c r="H1527" s="53"/>
      <x:c r="I1527" s="53"/>
      <x:c r="J1527" s="53"/>
      <x:c r="K1527" s="53"/>
      <x:c r="L1527" s="53"/>
      <x:c r="M1527" s="53"/>
      <x:c r="N1527" s="53"/>
      <x:c r="O1527" s="53"/>
      <x:c r="P1527" s="53"/>
      <x:c r="Q1527" s="53"/>
      <x:c r="R1527" s="53"/>
      <x:c r="S1527" s="53"/>
      <x:c r="T1527" s="53"/>
      <x:c r="U1527" s="53"/>
      <x:c r="V1527" s="53"/>
      <x:c r="W1527" s="53"/>
      <x:c r="X1527" s="53"/>
      <x:c r="Y1527" s="53"/>
      <x:c r="Z1527" s="53"/>
      <x:c r="AA1527" s="53"/>
      <x:c r="AB1527" s="53"/>
      <x:c r="AC1527" s="53"/>
      <x:c r="AD1527" s="53"/>
      <x:c r="AE1527" s="53"/>
      <x:c r="AF1527" s="53"/>
    </x:row>
    <x:row r="1528">
      <x:c r="A1528" s="53"/>
      <x:c r="B1528" s="53"/>
      <x:c r="C1528" s="53"/>
      <x:c r="D1528" s="53"/>
      <x:c r="E1528" s="53"/>
      <x:c r="F1528" s="53"/>
      <x:c r="G1528" s="53"/>
      <x:c r="H1528" s="53"/>
      <x:c r="I1528" s="53"/>
      <x:c r="J1528" s="53"/>
      <x:c r="K1528" s="53"/>
      <x:c r="L1528" s="53"/>
      <x:c r="M1528" s="53"/>
      <x:c r="N1528" s="53"/>
      <x:c r="O1528" s="53"/>
      <x:c r="P1528" s="53"/>
      <x:c r="Q1528" s="53"/>
      <x:c r="R1528" s="53"/>
      <x:c r="S1528" s="53"/>
      <x:c r="T1528" s="53"/>
      <x:c r="U1528" s="53"/>
      <x:c r="V1528" s="53"/>
      <x:c r="W1528" s="53"/>
      <x:c r="X1528" s="53"/>
      <x:c r="Y1528" s="53"/>
      <x:c r="Z1528" s="53"/>
      <x:c r="AA1528" s="53"/>
      <x:c r="AB1528" s="53"/>
      <x:c r="AC1528" s="53"/>
      <x:c r="AD1528" s="53"/>
      <x:c r="AE1528" s="53"/>
      <x:c r="AF1528" s="53"/>
    </x:row>
    <x:row r="1529">
      <x:c r="A1529" s="53"/>
      <x:c r="B1529" s="53"/>
      <x:c r="C1529" s="53"/>
      <x:c r="D1529" s="53"/>
      <x:c r="E1529" s="53"/>
      <x:c r="F1529" s="53"/>
      <x:c r="G1529" s="53"/>
      <x:c r="H1529" s="53"/>
      <x:c r="I1529" s="53"/>
      <x:c r="J1529" s="53"/>
      <x:c r="K1529" s="53"/>
      <x:c r="L1529" s="53"/>
      <x:c r="M1529" s="53"/>
      <x:c r="N1529" s="53"/>
      <x:c r="O1529" s="53"/>
      <x:c r="P1529" s="53"/>
      <x:c r="Q1529" s="53"/>
      <x:c r="R1529" s="53"/>
      <x:c r="S1529" s="53"/>
      <x:c r="T1529" s="53"/>
      <x:c r="U1529" s="53"/>
      <x:c r="V1529" s="53"/>
      <x:c r="W1529" s="53"/>
      <x:c r="X1529" s="53"/>
      <x:c r="Y1529" s="53"/>
      <x:c r="Z1529" s="53"/>
      <x:c r="AA1529" s="53"/>
      <x:c r="AB1529" s="53"/>
      <x:c r="AC1529" s="53"/>
      <x:c r="AD1529" s="53"/>
      <x:c r="AE1529" s="53"/>
      <x:c r="AF1529" s="53"/>
    </x:row>
    <x:row r="1530">
      <x:c r="A1530" s="53"/>
      <x:c r="B1530" s="53"/>
      <x:c r="C1530" s="53"/>
      <x:c r="D1530" s="53"/>
      <x:c r="E1530" s="53"/>
      <x:c r="F1530" s="53"/>
      <x:c r="G1530" s="53"/>
      <x:c r="H1530" s="53"/>
      <x:c r="I1530" s="53"/>
      <x:c r="J1530" s="53"/>
      <x:c r="K1530" s="53"/>
      <x:c r="L1530" s="53"/>
      <x:c r="M1530" s="53"/>
      <x:c r="N1530" s="53"/>
      <x:c r="O1530" s="53"/>
      <x:c r="P1530" s="53"/>
      <x:c r="Q1530" s="53"/>
      <x:c r="R1530" s="53"/>
      <x:c r="S1530" s="53"/>
      <x:c r="T1530" s="53"/>
      <x:c r="U1530" s="53"/>
      <x:c r="V1530" s="53"/>
      <x:c r="W1530" s="53"/>
      <x:c r="X1530" s="53"/>
      <x:c r="Y1530" s="53"/>
      <x:c r="Z1530" s="53"/>
      <x:c r="AA1530" s="53"/>
      <x:c r="AB1530" s="53"/>
      <x:c r="AC1530" s="53"/>
      <x:c r="AD1530" s="53"/>
      <x:c r="AE1530" s="53"/>
      <x:c r="AF1530" s="53"/>
    </x:row>
    <x:row r="1531">
      <x:c r="A1531" s="53"/>
      <x:c r="B1531" s="53"/>
      <x:c r="C1531" s="53"/>
      <x:c r="D1531" s="53"/>
      <x:c r="E1531" s="53"/>
      <x:c r="F1531" s="53"/>
      <x:c r="G1531" s="53"/>
      <x:c r="H1531" s="53"/>
      <x:c r="I1531" s="53"/>
      <x:c r="J1531" s="53"/>
      <x:c r="K1531" s="53"/>
      <x:c r="L1531" s="53"/>
      <x:c r="M1531" s="53"/>
      <x:c r="N1531" s="53"/>
      <x:c r="O1531" s="53"/>
      <x:c r="P1531" s="53"/>
      <x:c r="Q1531" s="53"/>
      <x:c r="R1531" s="53"/>
      <x:c r="S1531" s="53"/>
      <x:c r="T1531" s="53"/>
      <x:c r="U1531" s="53"/>
      <x:c r="V1531" s="53"/>
      <x:c r="W1531" s="53"/>
      <x:c r="X1531" s="53"/>
      <x:c r="Y1531" s="53"/>
      <x:c r="Z1531" s="53"/>
      <x:c r="AA1531" s="53"/>
      <x:c r="AB1531" s="53"/>
      <x:c r="AC1531" s="53"/>
      <x:c r="AD1531" s="53"/>
      <x:c r="AE1531" s="53"/>
      <x:c r="AF1531" s="53"/>
    </x:row>
    <x:row r="1532">
      <x:c r="A1532" s="53"/>
      <x:c r="B1532" s="53"/>
      <x:c r="C1532" s="53"/>
      <x:c r="D1532" s="53"/>
      <x:c r="E1532" s="53"/>
      <x:c r="F1532" s="53"/>
      <x:c r="G1532" s="53"/>
      <x:c r="H1532" s="53"/>
      <x:c r="I1532" s="53"/>
      <x:c r="J1532" s="53"/>
      <x:c r="K1532" s="53"/>
      <x:c r="L1532" s="53"/>
      <x:c r="M1532" s="53"/>
      <x:c r="N1532" s="53"/>
      <x:c r="O1532" s="53"/>
      <x:c r="P1532" s="53"/>
      <x:c r="Q1532" s="53"/>
      <x:c r="R1532" s="53"/>
      <x:c r="S1532" s="53"/>
      <x:c r="T1532" s="53"/>
      <x:c r="U1532" s="53"/>
      <x:c r="V1532" s="53"/>
      <x:c r="W1532" s="53"/>
      <x:c r="X1532" s="53"/>
      <x:c r="Y1532" s="53"/>
      <x:c r="Z1532" s="53"/>
      <x:c r="AA1532" s="53"/>
      <x:c r="AB1532" s="53"/>
      <x:c r="AC1532" s="53"/>
      <x:c r="AD1532" s="53"/>
      <x:c r="AE1532" s="53"/>
      <x:c r="AF1532" s="53"/>
    </x:row>
    <x:row r="1533">
      <x:c r="A1533" s="53"/>
      <x:c r="B1533" s="53"/>
      <x:c r="C1533" s="53"/>
      <x:c r="D1533" s="53"/>
      <x:c r="E1533" s="53"/>
      <x:c r="F1533" s="53"/>
      <x:c r="G1533" s="53"/>
      <x:c r="H1533" s="53"/>
      <x:c r="I1533" s="53"/>
      <x:c r="J1533" s="53"/>
      <x:c r="K1533" s="53"/>
      <x:c r="L1533" s="53"/>
      <x:c r="M1533" s="53"/>
      <x:c r="N1533" s="53"/>
      <x:c r="O1533" s="53"/>
      <x:c r="P1533" s="53"/>
      <x:c r="Q1533" s="53"/>
      <x:c r="R1533" s="53"/>
      <x:c r="S1533" s="53"/>
      <x:c r="T1533" s="53"/>
      <x:c r="U1533" s="53"/>
      <x:c r="V1533" s="53"/>
      <x:c r="W1533" s="53"/>
      <x:c r="X1533" s="53"/>
      <x:c r="Y1533" s="53"/>
      <x:c r="Z1533" s="53"/>
      <x:c r="AA1533" s="53"/>
      <x:c r="AB1533" s="53"/>
      <x:c r="AC1533" s="53"/>
      <x:c r="AD1533" s="53"/>
      <x:c r="AE1533" s="53"/>
      <x:c r="AF1533" s="53"/>
    </x:row>
    <x:row r="1534">
      <x:c r="A1534" s="53"/>
      <x:c r="B1534" s="53"/>
      <x:c r="C1534" s="53"/>
      <x:c r="D1534" s="53"/>
      <x:c r="E1534" s="53"/>
      <x:c r="F1534" s="53"/>
      <x:c r="G1534" s="53"/>
      <x:c r="H1534" s="53"/>
      <x:c r="I1534" s="53"/>
      <x:c r="J1534" s="53"/>
      <x:c r="K1534" s="53"/>
      <x:c r="L1534" s="53"/>
      <x:c r="M1534" s="53"/>
      <x:c r="N1534" s="53"/>
      <x:c r="O1534" s="53"/>
      <x:c r="P1534" s="53"/>
      <x:c r="Q1534" s="53"/>
      <x:c r="R1534" s="53"/>
      <x:c r="S1534" s="53"/>
      <x:c r="T1534" s="53"/>
      <x:c r="U1534" s="53"/>
      <x:c r="V1534" s="53"/>
      <x:c r="W1534" s="53"/>
      <x:c r="X1534" s="53"/>
      <x:c r="Y1534" s="53"/>
      <x:c r="Z1534" s="53"/>
      <x:c r="AA1534" s="53"/>
      <x:c r="AB1534" s="53"/>
      <x:c r="AC1534" s="53"/>
      <x:c r="AD1534" s="53"/>
      <x:c r="AE1534" s="53"/>
      <x:c r="AF1534" s="53"/>
    </x:row>
    <x:row r="1535">
      <x:c r="A1535" s="53"/>
      <x:c r="B1535" s="53"/>
      <x:c r="C1535" s="53"/>
      <x:c r="D1535" s="53"/>
      <x:c r="E1535" s="53"/>
      <x:c r="F1535" s="53"/>
      <x:c r="G1535" s="53"/>
      <x:c r="H1535" s="53"/>
      <x:c r="I1535" s="53"/>
      <x:c r="J1535" s="53"/>
      <x:c r="K1535" s="53"/>
      <x:c r="L1535" s="53"/>
      <x:c r="M1535" s="53"/>
      <x:c r="N1535" s="53"/>
      <x:c r="O1535" s="53"/>
      <x:c r="P1535" s="53"/>
      <x:c r="Q1535" s="53"/>
      <x:c r="R1535" s="53"/>
      <x:c r="S1535" s="53"/>
      <x:c r="T1535" s="53"/>
      <x:c r="U1535" s="53"/>
      <x:c r="V1535" s="53"/>
      <x:c r="W1535" s="53"/>
      <x:c r="X1535" s="53"/>
      <x:c r="Y1535" s="53"/>
      <x:c r="Z1535" s="53"/>
      <x:c r="AA1535" s="53"/>
      <x:c r="AB1535" s="53"/>
      <x:c r="AC1535" s="53"/>
      <x:c r="AD1535" s="53"/>
      <x:c r="AE1535" s="53"/>
      <x:c r="AF1535" s="53"/>
    </x:row>
    <x:row r="1536">
      <x:c r="A1536" s="53"/>
      <x:c r="B1536" s="53"/>
      <x:c r="C1536" s="53"/>
      <x:c r="D1536" s="53"/>
      <x:c r="E1536" s="53"/>
      <x:c r="F1536" s="53"/>
      <x:c r="G1536" s="53"/>
      <x:c r="H1536" s="53"/>
      <x:c r="I1536" s="53"/>
      <x:c r="J1536" s="53"/>
      <x:c r="K1536" s="53"/>
      <x:c r="L1536" s="53"/>
      <x:c r="M1536" s="53"/>
      <x:c r="N1536" s="53"/>
      <x:c r="O1536" s="53"/>
      <x:c r="P1536" s="53"/>
      <x:c r="Q1536" s="53"/>
      <x:c r="R1536" s="53"/>
      <x:c r="S1536" s="53"/>
      <x:c r="T1536" s="53"/>
      <x:c r="U1536" s="53"/>
      <x:c r="V1536" s="53"/>
      <x:c r="W1536" s="53"/>
      <x:c r="X1536" s="53"/>
      <x:c r="Y1536" s="53"/>
      <x:c r="Z1536" s="53"/>
      <x:c r="AA1536" s="53"/>
      <x:c r="AB1536" s="53"/>
      <x:c r="AC1536" s="53"/>
      <x:c r="AD1536" s="53"/>
      <x:c r="AE1536" s="53"/>
      <x:c r="AF1536" s="53"/>
    </x:row>
    <x:row r="1537">
      <x:c r="A1537" s="53"/>
      <x:c r="B1537" s="53"/>
      <x:c r="C1537" s="53"/>
      <x:c r="D1537" s="53"/>
      <x:c r="E1537" s="53"/>
      <x:c r="F1537" s="53"/>
      <x:c r="G1537" s="53"/>
      <x:c r="H1537" s="53"/>
      <x:c r="I1537" s="53"/>
      <x:c r="J1537" s="53"/>
      <x:c r="K1537" s="53"/>
      <x:c r="L1537" s="53"/>
      <x:c r="M1537" s="53"/>
      <x:c r="N1537" s="53"/>
      <x:c r="O1537" s="53"/>
      <x:c r="P1537" s="53"/>
      <x:c r="Q1537" s="53"/>
      <x:c r="R1537" s="53"/>
      <x:c r="S1537" s="53"/>
      <x:c r="T1537" s="53"/>
      <x:c r="U1537" s="53"/>
      <x:c r="V1537" s="53"/>
      <x:c r="W1537" s="53"/>
      <x:c r="X1537" s="53"/>
      <x:c r="Y1537" s="53"/>
      <x:c r="Z1537" s="53"/>
      <x:c r="AA1537" s="53"/>
      <x:c r="AB1537" s="53"/>
      <x:c r="AC1537" s="53"/>
      <x:c r="AD1537" s="53"/>
      <x:c r="AE1537" s="53"/>
      <x:c r="AF1537" s="53"/>
    </x:row>
    <x:row r="1538">
      <x:c r="A1538" s="53"/>
      <x:c r="B1538" s="53"/>
      <x:c r="C1538" s="53"/>
      <x:c r="D1538" s="53"/>
      <x:c r="E1538" s="53"/>
      <x:c r="F1538" s="53"/>
      <x:c r="G1538" s="53"/>
      <x:c r="H1538" s="53"/>
      <x:c r="I1538" s="53"/>
      <x:c r="J1538" s="53"/>
      <x:c r="K1538" s="53"/>
      <x:c r="L1538" s="53"/>
      <x:c r="M1538" s="53"/>
      <x:c r="N1538" s="53"/>
      <x:c r="O1538" s="53"/>
      <x:c r="P1538" s="53"/>
      <x:c r="Q1538" s="53"/>
      <x:c r="R1538" s="53"/>
      <x:c r="S1538" s="53"/>
      <x:c r="T1538" s="53"/>
      <x:c r="U1538" s="53"/>
      <x:c r="V1538" s="53"/>
      <x:c r="W1538" s="53"/>
      <x:c r="X1538" s="53"/>
      <x:c r="Y1538" s="53"/>
      <x:c r="Z1538" s="53"/>
      <x:c r="AA1538" s="53"/>
      <x:c r="AB1538" s="53"/>
      <x:c r="AC1538" s="53"/>
      <x:c r="AD1538" s="53"/>
      <x:c r="AE1538" s="53"/>
      <x:c r="AF1538" s="53"/>
    </x:row>
    <x:row r="1539">
      <x:c r="A1539" s="53"/>
      <x:c r="B1539" s="53"/>
      <x:c r="C1539" s="53"/>
      <x:c r="D1539" s="53"/>
      <x:c r="E1539" s="53"/>
      <x:c r="F1539" s="53"/>
      <x:c r="G1539" s="53"/>
      <x:c r="H1539" s="53"/>
      <x:c r="I1539" s="53"/>
      <x:c r="J1539" s="53"/>
      <x:c r="K1539" s="53"/>
      <x:c r="L1539" s="53"/>
      <x:c r="M1539" s="53"/>
      <x:c r="N1539" s="53"/>
      <x:c r="O1539" s="53"/>
      <x:c r="P1539" s="53"/>
      <x:c r="Q1539" s="53"/>
      <x:c r="R1539" s="53"/>
      <x:c r="S1539" s="53"/>
      <x:c r="T1539" s="53"/>
      <x:c r="U1539" s="53"/>
      <x:c r="V1539" s="53"/>
      <x:c r="W1539" s="53"/>
      <x:c r="X1539" s="53"/>
      <x:c r="Y1539" s="53"/>
      <x:c r="Z1539" s="53"/>
      <x:c r="AA1539" s="53"/>
      <x:c r="AB1539" s="53"/>
      <x:c r="AC1539" s="53"/>
      <x:c r="AD1539" s="53"/>
      <x:c r="AE1539" s="53"/>
      <x:c r="AF1539" s="53"/>
    </x:row>
    <x:row r="1540">
      <x:c r="A1540" s="53"/>
      <x:c r="B1540" s="53"/>
      <x:c r="C1540" s="53"/>
      <x:c r="D1540" s="53"/>
      <x:c r="E1540" s="53"/>
      <x:c r="F1540" s="53"/>
      <x:c r="G1540" s="53"/>
      <x:c r="H1540" s="53"/>
      <x:c r="I1540" s="53"/>
      <x:c r="J1540" s="53"/>
      <x:c r="K1540" s="53"/>
      <x:c r="L1540" s="53"/>
      <x:c r="M1540" s="53"/>
      <x:c r="N1540" s="53"/>
      <x:c r="O1540" s="53"/>
      <x:c r="P1540" s="53"/>
      <x:c r="Q1540" s="53"/>
      <x:c r="R1540" s="53"/>
      <x:c r="S1540" s="53"/>
      <x:c r="T1540" s="53"/>
      <x:c r="U1540" s="53"/>
      <x:c r="V1540" s="53"/>
      <x:c r="W1540" s="53"/>
      <x:c r="X1540" s="53"/>
      <x:c r="Y1540" s="53"/>
      <x:c r="Z1540" s="53"/>
      <x:c r="AA1540" s="53"/>
      <x:c r="AB1540" s="53"/>
      <x:c r="AC1540" s="53"/>
      <x:c r="AD1540" s="53"/>
      <x:c r="AE1540" s="53"/>
      <x:c r="AF1540" s="53"/>
    </x:row>
    <x:row r="1541">
      <x:c r="A1541" s="53"/>
      <x:c r="B1541" s="53"/>
      <x:c r="C1541" s="53"/>
      <x:c r="D1541" s="53"/>
      <x:c r="E1541" s="53"/>
      <x:c r="F1541" s="53"/>
      <x:c r="G1541" s="53"/>
      <x:c r="H1541" s="53"/>
      <x:c r="I1541" s="53"/>
      <x:c r="J1541" s="53"/>
      <x:c r="K1541" s="53"/>
      <x:c r="L1541" s="53"/>
      <x:c r="M1541" s="53"/>
      <x:c r="N1541" s="53"/>
      <x:c r="O1541" s="53"/>
      <x:c r="P1541" s="53"/>
      <x:c r="Q1541" s="53"/>
      <x:c r="R1541" s="53"/>
      <x:c r="S1541" s="53"/>
      <x:c r="T1541" s="53"/>
      <x:c r="U1541" s="53"/>
      <x:c r="V1541" s="53"/>
      <x:c r="W1541" s="53"/>
      <x:c r="X1541" s="53"/>
      <x:c r="Y1541" s="53"/>
      <x:c r="Z1541" s="53"/>
      <x:c r="AA1541" s="53"/>
      <x:c r="AB1541" s="53"/>
      <x:c r="AC1541" s="53"/>
      <x:c r="AD1541" s="53"/>
      <x:c r="AE1541" s="53"/>
      <x:c r="AF1541" s="53"/>
    </x:row>
    <x:row r="1542">
      <x:c r="A1542" s="53"/>
      <x:c r="B1542" s="53"/>
      <x:c r="C1542" s="53"/>
      <x:c r="D1542" s="53"/>
      <x:c r="E1542" s="53"/>
      <x:c r="F1542" s="53"/>
      <x:c r="G1542" s="53"/>
      <x:c r="H1542" s="53"/>
      <x:c r="I1542" s="53"/>
      <x:c r="J1542" s="53"/>
      <x:c r="K1542" s="53"/>
      <x:c r="L1542" s="53"/>
      <x:c r="M1542" s="53"/>
      <x:c r="N1542" s="53"/>
      <x:c r="O1542" s="53"/>
      <x:c r="P1542" s="53"/>
      <x:c r="Q1542" s="53"/>
      <x:c r="R1542" s="53"/>
      <x:c r="S1542" s="53"/>
      <x:c r="T1542" s="53"/>
      <x:c r="U1542" s="53"/>
      <x:c r="V1542" s="53"/>
      <x:c r="W1542" s="53"/>
      <x:c r="X1542" s="53"/>
      <x:c r="Y1542" s="53"/>
      <x:c r="Z1542" s="53"/>
      <x:c r="AA1542" s="53"/>
      <x:c r="AB1542" s="53"/>
      <x:c r="AC1542" s="53"/>
      <x:c r="AD1542" s="53"/>
      <x:c r="AE1542" s="53"/>
      <x:c r="AF1542" s="53"/>
    </x:row>
    <x:row r="1543">
      <x:c r="A1543" s="53"/>
      <x:c r="B1543" s="53"/>
      <x:c r="C1543" s="53"/>
      <x:c r="D1543" s="53"/>
      <x:c r="E1543" s="53"/>
      <x:c r="F1543" s="53"/>
      <x:c r="G1543" s="53"/>
      <x:c r="H1543" s="53"/>
      <x:c r="I1543" s="53"/>
      <x:c r="J1543" s="53"/>
      <x:c r="K1543" s="53"/>
      <x:c r="L1543" s="53"/>
      <x:c r="M1543" s="53"/>
      <x:c r="N1543" s="53"/>
      <x:c r="O1543" s="53"/>
      <x:c r="P1543" s="53"/>
      <x:c r="Q1543" s="53"/>
      <x:c r="R1543" s="53"/>
      <x:c r="S1543" s="53"/>
      <x:c r="T1543" s="53"/>
      <x:c r="U1543" s="53"/>
      <x:c r="V1543" s="53"/>
      <x:c r="W1543" s="53"/>
      <x:c r="X1543" s="53"/>
      <x:c r="Y1543" s="53"/>
      <x:c r="Z1543" s="53"/>
      <x:c r="AA1543" s="53"/>
      <x:c r="AB1543" s="53"/>
      <x:c r="AC1543" s="53"/>
      <x:c r="AD1543" s="53"/>
      <x:c r="AE1543" s="53"/>
      <x:c r="AF1543" s="53"/>
    </x:row>
    <x:row r="1544">
      <x:c r="A1544" s="53"/>
      <x:c r="B1544" s="53"/>
      <x:c r="C1544" s="53"/>
      <x:c r="D1544" s="53"/>
      <x:c r="E1544" s="53"/>
      <x:c r="F1544" s="53"/>
      <x:c r="G1544" s="53"/>
      <x:c r="H1544" s="53"/>
      <x:c r="I1544" s="53"/>
      <x:c r="J1544" s="53"/>
      <x:c r="K1544" s="53"/>
      <x:c r="L1544" s="53"/>
      <x:c r="M1544" s="53"/>
      <x:c r="N1544" s="53"/>
      <x:c r="O1544" s="53"/>
      <x:c r="P1544" s="53"/>
      <x:c r="Q1544" s="53"/>
      <x:c r="R1544" s="53"/>
      <x:c r="S1544" s="53"/>
      <x:c r="T1544" s="53"/>
      <x:c r="U1544" s="53"/>
      <x:c r="V1544" s="53"/>
      <x:c r="W1544" s="53"/>
      <x:c r="X1544" s="53"/>
      <x:c r="Y1544" s="53"/>
      <x:c r="Z1544" s="53"/>
      <x:c r="AA1544" s="53"/>
      <x:c r="AB1544" s="53"/>
      <x:c r="AC1544" s="53"/>
      <x:c r="AD1544" s="53"/>
      <x:c r="AE1544" s="53"/>
      <x:c r="AF1544" s="53"/>
    </x:row>
    <x:row r="1545">
      <x:c r="A1545" s="53"/>
      <x:c r="B1545" s="53"/>
      <x:c r="C1545" s="53"/>
      <x:c r="D1545" s="53"/>
      <x:c r="E1545" s="53"/>
      <x:c r="F1545" s="53"/>
      <x:c r="G1545" s="53"/>
      <x:c r="H1545" s="53"/>
      <x:c r="I1545" s="53"/>
      <x:c r="J1545" s="53"/>
      <x:c r="K1545" s="53"/>
      <x:c r="L1545" s="53"/>
      <x:c r="M1545" s="53"/>
      <x:c r="N1545" s="53"/>
      <x:c r="O1545" s="53"/>
      <x:c r="P1545" s="53"/>
      <x:c r="Q1545" s="53"/>
      <x:c r="R1545" s="53"/>
      <x:c r="S1545" s="53"/>
      <x:c r="T1545" s="53"/>
      <x:c r="U1545" s="53"/>
      <x:c r="V1545" s="53"/>
      <x:c r="W1545" s="53"/>
      <x:c r="X1545" s="53"/>
      <x:c r="Y1545" s="53"/>
      <x:c r="Z1545" s="53"/>
      <x:c r="AA1545" s="53"/>
      <x:c r="AB1545" s="53"/>
      <x:c r="AC1545" s="53"/>
      <x:c r="AD1545" s="53"/>
      <x:c r="AE1545" s="53"/>
      <x:c r="AF1545" s="53"/>
    </x:row>
    <x:row r="1546">
      <x:c r="A1546" s="53"/>
      <x:c r="B1546" s="53"/>
      <x:c r="C1546" s="53"/>
      <x:c r="D1546" s="53"/>
      <x:c r="E1546" s="53"/>
      <x:c r="F1546" s="53"/>
      <x:c r="G1546" s="53"/>
      <x:c r="H1546" s="53"/>
      <x:c r="I1546" s="53"/>
      <x:c r="J1546" s="53"/>
      <x:c r="K1546" s="53"/>
      <x:c r="L1546" s="53"/>
      <x:c r="M1546" s="53"/>
      <x:c r="N1546" s="53"/>
      <x:c r="O1546" s="53"/>
      <x:c r="P1546" s="53"/>
      <x:c r="Q1546" s="53"/>
      <x:c r="R1546" s="53"/>
      <x:c r="S1546" s="53"/>
      <x:c r="T1546" s="53"/>
      <x:c r="U1546" s="53"/>
      <x:c r="V1546" s="53"/>
      <x:c r="W1546" s="53"/>
      <x:c r="X1546" s="53"/>
      <x:c r="Y1546" s="53"/>
      <x:c r="Z1546" s="53"/>
      <x:c r="AA1546" s="53"/>
      <x:c r="AB1546" s="53"/>
      <x:c r="AC1546" s="53"/>
      <x:c r="AD1546" s="53"/>
      <x:c r="AE1546" s="53"/>
      <x:c r="AF1546" s="53"/>
    </x:row>
    <x:row r="1547">
      <x:c r="A1547" s="53"/>
      <x:c r="B1547" s="53"/>
      <x:c r="C1547" s="53"/>
      <x:c r="D1547" s="53"/>
      <x:c r="E1547" s="53"/>
      <x:c r="F1547" s="53"/>
      <x:c r="G1547" s="53"/>
      <x:c r="H1547" s="53"/>
      <x:c r="I1547" s="53"/>
      <x:c r="J1547" s="53"/>
      <x:c r="K1547" s="53"/>
      <x:c r="L1547" s="53"/>
      <x:c r="M1547" s="53"/>
      <x:c r="N1547" s="53"/>
      <x:c r="O1547" s="53"/>
      <x:c r="P1547" s="53"/>
      <x:c r="Q1547" s="53"/>
      <x:c r="R1547" s="53"/>
      <x:c r="S1547" s="53"/>
      <x:c r="T1547" s="53"/>
      <x:c r="U1547" s="53"/>
      <x:c r="V1547" s="53"/>
      <x:c r="W1547" s="53"/>
      <x:c r="X1547" s="53"/>
      <x:c r="Y1547" s="53"/>
      <x:c r="Z1547" s="53"/>
      <x:c r="AA1547" s="53"/>
      <x:c r="AB1547" s="53"/>
      <x:c r="AC1547" s="53"/>
      <x:c r="AD1547" s="53"/>
      <x:c r="AE1547" s="53"/>
      <x:c r="AF1547" s="53"/>
    </x:row>
    <x:row r="1548">
      <x:c r="A1548" s="53"/>
      <x:c r="B1548" s="53"/>
      <x:c r="C1548" s="53"/>
      <x:c r="D1548" s="53"/>
      <x:c r="E1548" s="53"/>
      <x:c r="F1548" s="53"/>
      <x:c r="G1548" s="53"/>
      <x:c r="H1548" s="53"/>
      <x:c r="I1548" s="53"/>
      <x:c r="J1548" s="53"/>
      <x:c r="K1548" s="53"/>
      <x:c r="L1548" s="53"/>
      <x:c r="M1548" s="53"/>
      <x:c r="N1548" s="53"/>
      <x:c r="O1548" s="53"/>
      <x:c r="P1548" s="53"/>
      <x:c r="Q1548" s="53"/>
      <x:c r="R1548" s="53"/>
      <x:c r="S1548" s="53"/>
      <x:c r="T1548" s="53"/>
      <x:c r="U1548" s="53"/>
      <x:c r="V1548" s="53"/>
      <x:c r="W1548" s="53"/>
      <x:c r="X1548" s="53"/>
      <x:c r="Y1548" s="53"/>
      <x:c r="Z1548" s="53"/>
      <x:c r="AA1548" s="53"/>
      <x:c r="AB1548" s="53"/>
      <x:c r="AC1548" s="53"/>
      <x:c r="AD1548" s="53"/>
      <x:c r="AE1548" s="53"/>
      <x:c r="AF1548" s="53"/>
    </x:row>
    <x:row r="1549">
      <x:c r="A1549" s="53"/>
      <x:c r="B1549" s="53"/>
      <x:c r="C1549" s="53"/>
      <x:c r="D1549" s="53"/>
      <x:c r="E1549" s="53"/>
      <x:c r="F1549" s="53"/>
      <x:c r="G1549" s="53"/>
      <x:c r="H1549" s="53"/>
      <x:c r="I1549" s="53"/>
      <x:c r="J1549" s="53"/>
      <x:c r="K1549" s="53"/>
      <x:c r="L1549" s="53"/>
      <x:c r="M1549" s="53"/>
      <x:c r="N1549" s="53"/>
      <x:c r="O1549" s="53"/>
      <x:c r="P1549" s="53"/>
      <x:c r="Q1549" s="53"/>
      <x:c r="R1549" s="53"/>
      <x:c r="S1549" s="53"/>
      <x:c r="T1549" s="53"/>
      <x:c r="U1549" s="53"/>
      <x:c r="V1549" s="53"/>
      <x:c r="W1549" s="53"/>
      <x:c r="X1549" s="53"/>
      <x:c r="Y1549" s="53"/>
      <x:c r="Z1549" s="53"/>
      <x:c r="AA1549" s="53"/>
      <x:c r="AB1549" s="53"/>
      <x:c r="AC1549" s="53"/>
      <x:c r="AD1549" s="53"/>
      <x:c r="AE1549" s="53"/>
      <x:c r="AF1549" s="53"/>
    </x:row>
    <x:row r="1550">
      <x:c r="A1550" s="53"/>
      <x:c r="B1550" s="53"/>
      <x:c r="C1550" s="53"/>
      <x:c r="D1550" s="53"/>
      <x:c r="E1550" s="53"/>
      <x:c r="F1550" s="53"/>
      <x:c r="G1550" s="53"/>
      <x:c r="H1550" s="53"/>
      <x:c r="I1550" s="53"/>
      <x:c r="J1550" s="53"/>
      <x:c r="K1550" s="53"/>
      <x:c r="L1550" s="53"/>
      <x:c r="M1550" s="53"/>
      <x:c r="N1550" s="53"/>
      <x:c r="O1550" s="53"/>
      <x:c r="P1550" s="53"/>
      <x:c r="Q1550" s="53"/>
      <x:c r="R1550" s="53"/>
      <x:c r="S1550" s="53"/>
      <x:c r="T1550" s="53"/>
      <x:c r="U1550" s="53"/>
      <x:c r="V1550" s="53"/>
      <x:c r="W1550" s="53"/>
      <x:c r="X1550" s="53"/>
      <x:c r="Y1550" s="53"/>
      <x:c r="Z1550" s="53"/>
      <x:c r="AA1550" s="53"/>
      <x:c r="AB1550" s="53"/>
      <x:c r="AC1550" s="53"/>
      <x:c r="AD1550" s="53"/>
      <x:c r="AE1550" s="53"/>
      <x:c r="AF1550" s="53"/>
    </x:row>
    <x:row r="1551">
      <x:c r="A1551" s="53"/>
      <x:c r="B1551" s="53"/>
      <x:c r="C1551" s="53"/>
      <x:c r="D1551" s="53"/>
      <x:c r="E1551" s="53"/>
      <x:c r="F1551" s="53"/>
      <x:c r="G1551" s="53"/>
      <x:c r="H1551" s="53"/>
      <x:c r="I1551" s="53"/>
      <x:c r="J1551" s="53"/>
      <x:c r="K1551" s="53"/>
      <x:c r="L1551" s="53"/>
      <x:c r="M1551" s="53"/>
      <x:c r="N1551" s="53"/>
      <x:c r="O1551" s="53"/>
      <x:c r="P1551" s="53"/>
      <x:c r="Q1551" s="53"/>
      <x:c r="R1551" s="53"/>
      <x:c r="S1551" s="53"/>
      <x:c r="T1551" s="53"/>
      <x:c r="U1551" s="53"/>
      <x:c r="V1551" s="53"/>
      <x:c r="W1551" s="53"/>
      <x:c r="X1551" s="53"/>
      <x:c r="Y1551" s="53"/>
      <x:c r="Z1551" s="53"/>
      <x:c r="AA1551" s="53"/>
      <x:c r="AB1551" s="53"/>
      <x:c r="AC1551" s="53"/>
      <x:c r="AD1551" s="53"/>
      <x:c r="AE1551" s="53"/>
      <x:c r="AF1551" s="53"/>
    </x:row>
    <x:row r="1552">
      <x:c r="A1552" s="53"/>
      <x:c r="B1552" s="53"/>
      <x:c r="C1552" s="53"/>
      <x:c r="D1552" s="53"/>
      <x:c r="E1552" s="53"/>
      <x:c r="F1552" s="53"/>
      <x:c r="G1552" s="53"/>
      <x:c r="H1552" s="53"/>
      <x:c r="I1552" s="53"/>
      <x:c r="J1552" s="53"/>
      <x:c r="K1552" s="53"/>
      <x:c r="L1552" s="53"/>
      <x:c r="M1552" s="53"/>
      <x:c r="N1552" s="53"/>
      <x:c r="O1552" s="53"/>
      <x:c r="P1552" s="53"/>
      <x:c r="Q1552" s="53"/>
      <x:c r="R1552" s="53"/>
      <x:c r="S1552" s="53"/>
      <x:c r="T1552" s="53"/>
      <x:c r="U1552" s="53"/>
      <x:c r="V1552" s="53"/>
      <x:c r="W1552" s="53"/>
      <x:c r="X1552" s="53"/>
      <x:c r="Y1552" s="53"/>
      <x:c r="Z1552" s="53"/>
      <x:c r="AA1552" s="53"/>
      <x:c r="AB1552" s="53"/>
      <x:c r="AC1552" s="53"/>
      <x:c r="AD1552" s="53"/>
      <x:c r="AE1552" s="53"/>
      <x:c r="AF1552" s="53"/>
    </x:row>
    <x:row r="1553">
      <x:c r="A1553" s="53"/>
      <x:c r="B1553" s="53"/>
      <x:c r="C1553" s="53"/>
      <x:c r="D1553" s="53"/>
      <x:c r="E1553" s="53"/>
      <x:c r="F1553" s="53"/>
      <x:c r="G1553" s="53"/>
      <x:c r="H1553" s="53"/>
      <x:c r="I1553" s="53"/>
      <x:c r="J1553" s="53"/>
      <x:c r="K1553" s="53"/>
      <x:c r="L1553" s="53"/>
      <x:c r="M1553" s="53"/>
      <x:c r="N1553" s="53"/>
      <x:c r="O1553" s="53"/>
      <x:c r="P1553" s="53"/>
      <x:c r="Q1553" s="53"/>
      <x:c r="R1553" s="53"/>
      <x:c r="S1553" s="53"/>
      <x:c r="T1553" s="53"/>
      <x:c r="U1553" s="53"/>
      <x:c r="V1553" s="53"/>
      <x:c r="W1553" s="53"/>
      <x:c r="X1553" s="53"/>
      <x:c r="Y1553" s="53"/>
      <x:c r="Z1553" s="53"/>
      <x:c r="AA1553" s="53"/>
      <x:c r="AB1553" s="53"/>
      <x:c r="AC1553" s="53"/>
      <x:c r="AD1553" s="53"/>
      <x:c r="AE1553" s="53"/>
      <x:c r="AF1553" s="53"/>
    </x:row>
    <x:row r="1554">
      <x:c r="A1554" s="53"/>
      <x:c r="B1554" s="53"/>
      <x:c r="C1554" s="53"/>
      <x:c r="D1554" s="53"/>
      <x:c r="E1554" s="53"/>
      <x:c r="F1554" s="53"/>
      <x:c r="G1554" s="53"/>
      <x:c r="H1554" s="53"/>
      <x:c r="I1554" s="53"/>
      <x:c r="J1554" s="53"/>
      <x:c r="K1554" s="53"/>
      <x:c r="L1554" s="53"/>
      <x:c r="M1554" s="53"/>
      <x:c r="N1554" s="53"/>
      <x:c r="O1554" s="53"/>
      <x:c r="P1554" s="53"/>
      <x:c r="Q1554" s="53"/>
      <x:c r="R1554" s="53"/>
      <x:c r="S1554" s="53"/>
      <x:c r="T1554" s="53"/>
      <x:c r="U1554" s="53"/>
      <x:c r="V1554" s="53"/>
      <x:c r="W1554" s="53"/>
      <x:c r="X1554" s="53"/>
      <x:c r="Y1554" s="53"/>
      <x:c r="Z1554" s="53"/>
      <x:c r="AA1554" s="53"/>
      <x:c r="AB1554" s="53"/>
      <x:c r="AC1554" s="53"/>
      <x:c r="AD1554" s="53"/>
      <x:c r="AE1554" s="53"/>
      <x:c r="AF1554" s="53"/>
    </x:row>
    <x:row r="1555">
      <x:c r="A1555" s="53"/>
      <x:c r="B1555" s="53"/>
      <x:c r="C1555" s="53"/>
      <x:c r="D1555" s="53"/>
      <x:c r="E1555" s="53"/>
      <x:c r="F1555" s="53"/>
      <x:c r="G1555" s="53"/>
      <x:c r="H1555" s="53"/>
      <x:c r="I1555" s="53"/>
      <x:c r="J1555" s="53"/>
      <x:c r="K1555" s="53"/>
      <x:c r="L1555" s="53"/>
      <x:c r="M1555" s="53"/>
      <x:c r="N1555" s="53"/>
      <x:c r="O1555" s="53"/>
      <x:c r="P1555" s="53"/>
      <x:c r="Q1555" s="53"/>
      <x:c r="R1555" s="53"/>
      <x:c r="S1555" s="53"/>
      <x:c r="T1555" s="53"/>
      <x:c r="U1555" s="53"/>
      <x:c r="V1555" s="53"/>
      <x:c r="W1555" s="53"/>
      <x:c r="X1555" s="53"/>
      <x:c r="Y1555" s="53"/>
      <x:c r="Z1555" s="53"/>
      <x:c r="AA1555" s="53"/>
      <x:c r="AB1555" s="53"/>
      <x:c r="AC1555" s="53"/>
      <x:c r="AD1555" s="53"/>
      <x:c r="AE1555" s="53"/>
      <x:c r="AF1555" s="53"/>
    </x:row>
    <x:row r="1556">
      <x:c r="A1556" s="53"/>
      <x:c r="B1556" s="53"/>
      <x:c r="C1556" s="53"/>
      <x:c r="D1556" s="53"/>
      <x:c r="E1556" s="53"/>
      <x:c r="F1556" s="53"/>
      <x:c r="G1556" s="53"/>
      <x:c r="H1556" s="53"/>
      <x:c r="I1556" s="53"/>
      <x:c r="J1556" s="53"/>
      <x:c r="K1556" s="53"/>
      <x:c r="L1556" s="53"/>
      <x:c r="M1556" s="53"/>
      <x:c r="N1556" s="53"/>
      <x:c r="O1556" s="53"/>
      <x:c r="P1556" s="53"/>
      <x:c r="Q1556" s="53"/>
      <x:c r="R1556" s="53"/>
      <x:c r="S1556" s="53"/>
      <x:c r="T1556" s="53"/>
      <x:c r="U1556" s="53"/>
      <x:c r="V1556" s="53"/>
      <x:c r="W1556" s="53"/>
      <x:c r="X1556" s="53"/>
      <x:c r="Y1556" s="53"/>
      <x:c r="Z1556" s="53"/>
      <x:c r="AA1556" s="53"/>
      <x:c r="AB1556" s="53"/>
      <x:c r="AC1556" s="53"/>
      <x:c r="AD1556" s="53"/>
      <x:c r="AE1556" s="53"/>
      <x:c r="AF1556" s="53"/>
    </x:row>
    <x:row r="1557">
      <x:c r="A1557" s="53"/>
      <x:c r="B1557" s="53"/>
      <x:c r="C1557" s="53"/>
      <x:c r="D1557" s="53"/>
      <x:c r="E1557" s="53"/>
      <x:c r="F1557" s="53"/>
      <x:c r="G1557" s="53"/>
      <x:c r="H1557" s="53"/>
      <x:c r="I1557" s="53"/>
      <x:c r="J1557" s="53"/>
      <x:c r="K1557" s="53"/>
      <x:c r="L1557" s="53"/>
      <x:c r="M1557" s="53"/>
      <x:c r="N1557" s="53"/>
      <x:c r="O1557" s="53"/>
      <x:c r="P1557" s="53"/>
      <x:c r="Q1557" s="53"/>
      <x:c r="R1557" s="53"/>
      <x:c r="S1557" s="53"/>
      <x:c r="T1557" s="53"/>
      <x:c r="U1557" s="53"/>
      <x:c r="V1557" s="53"/>
      <x:c r="W1557" s="53"/>
      <x:c r="X1557" s="53"/>
      <x:c r="Y1557" s="53"/>
      <x:c r="Z1557" s="53"/>
      <x:c r="AA1557" s="53"/>
      <x:c r="AB1557" s="53"/>
      <x:c r="AC1557" s="53"/>
      <x:c r="AD1557" s="53"/>
      <x:c r="AE1557" s="53"/>
      <x:c r="AF1557" s="53"/>
    </x:row>
    <x:row r="1558">
      <x:c r="A1558" s="53"/>
      <x:c r="B1558" s="53"/>
      <x:c r="C1558" s="53"/>
      <x:c r="D1558" s="53"/>
      <x:c r="E1558" s="53"/>
      <x:c r="F1558" s="53"/>
      <x:c r="G1558" s="53"/>
      <x:c r="H1558" s="53"/>
      <x:c r="I1558" s="53"/>
      <x:c r="J1558" s="53"/>
      <x:c r="K1558" s="53"/>
      <x:c r="L1558" s="53"/>
      <x:c r="M1558" s="53"/>
      <x:c r="N1558" s="53"/>
      <x:c r="O1558" s="53"/>
      <x:c r="P1558" s="53"/>
      <x:c r="Q1558" s="53"/>
      <x:c r="R1558" s="53"/>
      <x:c r="S1558" s="53"/>
      <x:c r="T1558" s="53"/>
      <x:c r="U1558" s="53"/>
      <x:c r="V1558" s="53"/>
      <x:c r="W1558" s="53"/>
      <x:c r="X1558" s="53"/>
      <x:c r="Y1558" s="53"/>
      <x:c r="Z1558" s="53"/>
      <x:c r="AA1558" s="53"/>
      <x:c r="AB1558" s="53"/>
      <x:c r="AC1558" s="53"/>
      <x:c r="AD1558" s="53"/>
      <x:c r="AE1558" s="53"/>
      <x:c r="AF1558" s="53"/>
    </x:row>
    <x:row r="1559">
      <x:c r="A1559" s="53"/>
      <x:c r="B1559" s="53"/>
      <x:c r="C1559" s="53"/>
      <x:c r="D1559" s="53"/>
      <x:c r="E1559" s="53"/>
      <x:c r="F1559" s="53"/>
      <x:c r="G1559" s="53"/>
      <x:c r="H1559" s="53"/>
      <x:c r="I1559" s="53"/>
      <x:c r="J1559" s="53"/>
      <x:c r="K1559" s="53"/>
      <x:c r="L1559" s="53"/>
      <x:c r="M1559" s="53"/>
      <x:c r="N1559" s="53"/>
      <x:c r="O1559" s="53"/>
      <x:c r="P1559" s="53"/>
      <x:c r="Q1559" s="53"/>
      <x:c r="R1559" s="53"/>
      <x:c r="S1559" s="53"/>
      <x:c r="T1559" s="53"/>
      <x:c r="U1559" s="53"/>
      <x:c r="V1559" s="53"/>
      <x:c r="W1559" s="53"/>
      <x:c r="X1559" s="53"/>
      <x:c r="Y1559" s="53"/>
      <x:c r="Z1559" s="53"/>
      <x:c r="AA1559" s="53"/>
      <x:c r="AB1559" s="53"/>
      <x:c r="AC1559" s="53"/>
      <x:c r="AD1559" s="53"/>
      <x:c r="AE1559" s="53"/>
      <x:c r="AF1559" s="53"/>
    </x:row>
    <x:row r="1560">
      <x:c r="A1560" s="53"/>
      <x:c r="B1560" s="53"/>
      <x:c r="C1560" s="53"/>
      <x:c r="D1560" s="53"/>
      <x:c r="E1560" s="53"/>
      <x:c r="F1560" s="53"/>
      <x:c r="G1560" s="53"/>
      <x:c r="H1560" s="53"/>
      <x:c r="I1560" s="53"/>
      <x:c r="J1560" s="53"/>
      <x:c r="K1560" s="53"/>
      <x:c r="L1560" s="53"/>
      <x:c r="M1560" s="53"/>
      <x:c r="N1560" s="53"/>
      <x:c r="O1560" s="53"/>
      <x:c r="P1560" s="53"/>
      <x:c r="Q1560" s="53"/>
      <x:c r="R1560" s="53"/>
      <x:c r="S1560" s="53"/>
      <x:c r="T1560" s="53"/>
      <x:c r="U1560" s="53"/>
      <x:c r="V1560" s="53"/>
      <x:c r="W1560" s="53"/>
      <x:c r="X1560" s="53"/>
      <x:c r="Y1560" s="53"/>
      <x:c r="Z1560" s="53"/>
      <x:c r="AA1560" s="53"/>
      <x:c r="AB1560" s="53"/>
      <x:c r="AC1560" s="53"/>
      <x:c r="AD1560" s="53"/>
      <x:c r="AE1560" s="53"/>
      <x:c r="AF1560" s="53"/>
    </x:row>
    <x:row r="1561">
      <x:c r="A1561" s="53"/>
      <x:c r="B1561" s="53"/>
      <x:c r="C1561" s="53"/>
      <x:c r="D1561" s="53"/>
      <x:c r="E1561" s="53"/>
      <x:c r="F1561" s="53"/>
      <x:c r="G1561" s="53"/>
      <x:c r="H1561" s="53"/>
      <x:c r="I1561" s="53"/>
      <x:c r="J1561" s="53"/>
      <x:c r="K1561" s="53"/>
      <x:c r="L1561" s="53"/>
      <x:c r="M1561" s="53"/>
      <x:c r="N1561" s="53"/>
      <x:c r="O1561" s="53"/>
      <x:c r="P1561" s="53"/>
      <x:c r="Q1561" s="53"/>
      <x:c r="R1561" s="53"/>
      <x:c r="S1561" s="53"/>
      <x:c r="T1561" s="53"/>
      <x:c r="U1561" s="53"/>
      <x:c r="V1561" s="53"/>
      <x:c r="W1561" s="53"/>
      <x:c r="X1561" s="53"/>
      <x:c r="Y1561" s="53"/>
      <x:c r="Z1561" s="53"/>
      <x:c r="AA1561" s="53"/>
      <x:c r="AB1561" s="53"/>
      <x:c r="AC1561" s="53"/>
      <x:c r="AD1561" s="53"/>
      <x:c r="AE1561" s="53"/>
      <x:c r="AF1561" s="53"/>
    </x:row>
    <x:row r="1562">
      <x:c r="A1562" s="53"/>
      <x:c r="B1562" s="53"/>
      <x:c r="C1562" s="53"/>
      <x:c r="D1562" s="53"/>
      <x:c r="E1562" s="53"/>
      <x:c r="F1562" s="53"/>
      <x:c r="G1562" s="53"/>
      <x:c r="H1562" s="53"/>
      <x:c r="I1562" s="53"/>
      <x:c r="J1562" s="53"/>
      <x:c r="K1562" s="53"/>
      <x:c r="L1562" s="53"/>
      <x:c r="M1562" s="53"/>
      <x:c r="N1562" s="53"/>
      <x:c r="O1562" s="53"/>
      <x:c r="P1562" s="53"/>
      <x:c r="Q1562" s="53"/>
      <x:c r="R1562" s="53"/>
      <x:c r="S1562" s="53"/>
      <x:c r="T1562" s="53"/>
      <x:c r="U1562" s="53"/>
      <x:c r="V1562" s="53"/>
      <x:c r="W1562" s="53"/>
      <x:c r="X1562" s="53"/>
      <x:c r="Y1562" s="53"/>
      <x:c r="Z1562" s="53"/>
      <x:c r="AA1562" s="53"/>
      <x:c r="AB1562" s="53"/>
      <x:c r="AC1562" s="53"/>
      <x:c r="AD1562" s="53"/>
      <x:c r="AE1562" s="53"/>
      <x:c r="AF1562" s="53"/>
    </x:row>
    <x:row r="1563">
      <x:c r="A1563" s="53"/>
      <x:c r="B1563" s="53"/>
      <x:c r="C1563" s="53"/>
      <x:c r="D1563" s="53"/>
      <x:c r="E1563" s="53"/>
      <x:c r="F1563" s="53"/>
      <x:c r="G1563" s="53"/>
      <x:c r="H1563" s="53"/>
      <x:c r="I1563" s="53"/>
      <x:c r="J1563" s="53"/>
      <x:c r="K1563" s="53"/>
      <x:c r="L1563" s="53"/>
      <x:c r="M1563" s="53"/>
      <x:c r="N1563" s="53"/>
      <x:c r="O1563" s="53"/>
      <x:c r="P1563" s="53"/>
      <x:c r="Q1563" s="53"/>
      <x:c r="R1563" s="53"/>
      <x:c r="S1563" s="53"/>
      <x:c r="T1563" s="53"/>
      <x:c r="U1563" s="53"/>
      <x:c r="V1563" s="53"/>
      <x:c r="W1563" s="53"/>
      <x:c r="X1563" s="53"/>
      <x:c r="Y1563" s="53"/>
      <x:c r="Z1563" s="53"/>
      <x:c r="AA1563" s="53"/>
      <x:c r="AB1563" s="53"/>
      <x:c r="AC1563" s="53"/>
      <x:c r="AD1563" s="53"/>
      <x:c r="AE1563" s="53"/>
      <x:c r="AF1563" s="53"/>
    </x:row>
    <x:row r="1564">
      <x:c r="A1564" s="53"/>
      <x:c r="B1564" s="53"/>
      <x:c r="C1564" s="53"/>
      <x:c r="D1564" s="53"/>
      <x:c r="E1564" s="53"/>
      <x:c r="F1564" s="53"/>
      <x:c r="G1564" s="53"/>
      <x:c r="H1564" s="53"/>
      <x:c r="I1564" s="53"/>
      <x:c r="J1564" s="53"/>
      <x:c r="K1564" s="53"/>
      <x:c r="L1564" s="53"/>
      <x:c r="M1564" s="53"/>
      <x:c r="N1564" s="53"/>
      <x:c r="O1564" s="53"/>
      <x:c r="P1564" s="53"/>
      <x:c r="Q1564" s="53"/>
      <x:c r="R1564" s="53"/>
      <x:c r="S1564" s="53"/>
      <x:c r="T1564" s="53"/>
      <x:c r="U1564" s="53"/>
      <x:c r="V1564" s="53"/>
      <x:c r="W1564" s="53"/>
      <x:c r="X1564" s="53"/>
      <x:c r="Y1564" s="53"/>
      <x:c r="Z1564" s="53"/>
      <x:c r="AA1564" s="53"/>
      <x:c r="AB1564" s="53"/>
      <x:c r="AC1564" s="53"/>
      <x:c r="AD1564" s="53"/>
      <x:c r="AE1564" s="53"/>
      <x:c r="AF1564" s="53"/>
    </x:row>
    <x:row r="1565">
      <x:c r="A1565" s="53"/>
      <x:c r="B1565" s="53"/>
      <x:c r="C1565" s="53"/>
      <x:c r="D1565" s="53"/>
      <x:c r="E1565" s="53"/>
      <x:c r="F1565" s="53"/>
      <x:c r="G1565" s="53"/>
      <x:c r="H1565" s="53"/>
      <x:c r="I1565" s="53"/>
      <x:c r="J1565" s="53"/>
      <x:c r="K1565" s="53"/>
      <x:c r="L1565" s="53"/>
      <x:c r="M1565" s="53"/>
      <x:c r="N1565" s="53"/>
      <x:c r="O1565" s="53"/>
      <x:c r="P1565" s="53"/>
      <x:c r="Q1565" s="53"/>
      <x:c r="R1565" s="53"/>
      <x:c r="S1565" s="53"/>
      <x:c r="T1565" s="53"/>
      <x:c r="U1565" s="53"/>
      <x:c r="V1565" s="53"/>
      <x:c r="W1565" s="53"/>
      <x:c r="X1565" s="53"/>
      <x:c r="Y1565" s="53"/>
      <x:c r="Z1565" s="53"/>
      <x:c r="AA1565" s="53"/>
      <x:c r="AB1565" s="53"/>
      <x:c r="AC1565" s="53"/>
      <x:c r="AD1565" s="53"/>
      <x:c r="AE1565" s="53"/>
      <x:c r="AF1565" s="53"/>
    </x:row>
    <x:row r="1566">
      <x:c r="A1566" s="53"/>
      <x:c r="B1566" s="53"/>
      <x:c r="C1566" s="53"/>
      <x:c r="D1566" s="53"/>
      <x:c r="E1566" s="53"/>
      <x:c r="F1566" s="53"/>
      <x:c r="G1566" s="53"/>
      <x:c r="H1566" s="53"/>
      <x:c r="I1566" s="53"/>
      <x:c r="J1566" s="53"/>
      <x:c r="K1566" s="53"/>
      <x:c r="L1566" s="53"/>
      <x:c r="M1566" s="53"/>
      <x:c r="N1566" s="53"/>
      <x:c r="O1566" s="53"/>
      <x:c r="P1566" s="53"/>
      <x:c r="Q1566" s="53"/>
      <x:c r="R1566" s="53"/>
      <x:c r="S1566" s="53"/>
      <x:c r="T1566" s="53"/>
      <x:c r="U1566" s="53"/>
      <x:c r="V1566" s="53"/>
      <x:c r="W1566" s="53"/>
      <x:c r="X1566" s="53"/>
      <x:c r="Y1566" s="53"/>
      <x:c r="Z1566" s="53"/>
      <x:c r="AA1566" s="53"/>
      <x:c r="AB1566" s="53"/>
      <x:c r="AC1566" s="53"/>
      <x:c r="AD1566" s="53"/>
      <x:c r="AE1566" s="53"/>
      <x:c r="AF1566" s="53"/>
    </x:row>
    <x:row r="1567">
      <x:c r="A1567" s="53"/>
      <x:c r="B1567" s="53"/>
      <x:c r="C1567" s="53"/>
      <x:c r="D1567" s="53"/>
      <x:c r="E1567" s="53"/>
      <x:c r="F1567" s="53"/>
      <x:c r="G1567" s="53"/>
      <x:c r="H1567" s="53"/>
      <x:c r="I1567" s="53"/>
      <x:c r="J1567" s="53"/>
      <x:c r="K1567" s="53"/>
      <x:c r="L1567" s="53"/>
      <x:c r="M1567" s="53"/>
      <x:c r="N1567" s="53"/>
      <x:c r="O1567" s="53"/>
      <x:c r="P1567" s="53"/>
      <x:c r="Q1567" s="53"/>
      <x:c r="R1567" s="53"/>
      <x:c r="S1567" s="53"/>
      <x:c r="T1567" s="53"/>
      <x:c r="U1567" s="53"/>
      <x:c r="V1567" s="53"/>
      <x:c r="W1567" s="53"/>
      <x:c r="X1567" s="53"/>
      <x:c r="Y1567" s="53"/>
      <x:c r="Z1567" s="53"/>
      <x:c r="AA1567" s="53"/>
      <x:c r="AB1567" s="53"/>
      <x:c r="AC1567" s="53"/>
      <x:c r="AD1567" s="53"/>
      <x:c r="AE1567" s="53"/>
      <x:c r="AF1567" s="53"/>
    </x:row>
    <x:row r="1568">
      <x:c r="A1568" s="53"/>
      <x:c r="B1568" s="53"/>
      <x:c r="C1568" s="53"/>
      <x:c r="D1568" s="53"/>
      <x:c r="E1568" s="53"/>
      <x:c r="F1568" s="53"/>
      <x:c r="G1568" s="53"/>
      <x:c r="H1568" s="53"/>
      <x:c r="I1568" s="53"/>
      <x:c r="J1568" s="53"/>
      <x:c r="K1568" s="53"/>
      <x:c r="L1568" s="53"/>
      <x:c r="M1568" s="53"/>
      <x:c r="N1568" s="53"/>
      <x:c r="O1568" s="53"/>
      <x:c r="P1568" s="53"/>
      <x:c r="Q1568" s="53"/>
      <x:c r="R1568" s="53"/>
      <x:c r="S1568" s="53"/>
      <x:c r="T1568" s="53"/>
      <x:c r="U1568" s="53"/>
      <x:c r="V1568" s="53"/>
      <x:c r="W1568" s="53"/>
      <x:c r="X1568" s="53"/>
      <x:c r="Y1568" s="53"/>
      <x:c r="Z1568" s="53"/>
      <x:c r="AA1568" s="53"/>
      <x:c r="AB1568" s="53"/>
      <x:c r="AC1568" s="53"/>
      <x:c r="AD1568" s="53"/>
      <x:c r="AE1568" s="53"/>
      <x:c r="AF1568" s="53"/>
    </x:row>
    <x:row r="1569">
      <x:c r="A1569" s="53"/>
      <x:c r="B1569" s="53"/>
      <x:c r="C1569" s="53"/>
      <x:c r="D1569" s="53"/>
      <x:c r="E1569" s="53"/>
      <x:c r="F1569" s="53"/>
      <x:c r="G1569" s="53"/>
      <x:c r="H1569" s="53"/>
      <x:c r="I1569" s="53"/>
      <x:c r="J1569" s="53"/>
      <x:c r="K1569" s="53"/>
      <x:c r="L1569" s="53"/>
      <x:c r="M1569" s="53"/>
      <x:c r="N1569" s="53"/>
      <x:c r="O1569" s="53"/>
      <x:c r="P1569" s="53"/>
      <x:c r="Q1569" s="53"/>
      <x:c r="R1569" s="53"/>
      <x:c r="S1569" s="53"/>
      <x:c r="T1569" s="53"/>
      <x:c r="U1569" s="53"/>
      <x:c r="V1569" s="53"/>
      <x:c r="W1569" s="53"/>
      <x:c r="X1569" s="53"/>
      <x:c r="Y1569" s="53"/>
      <x:c r="Z1569" s="53"/>
      <x:c r="AA1569" s="53"/>
      <x:c r="AB1569" s="53"/>
      <x:c r="AC1569" s="53"/>
      <x:c r="AD1569" s="53"/>
      <x:c r="AE1569" s="53"/>
      <x:c r="AF1569" s="53"/>
    </x:row>
    <x:row r="1570">
      <x:c r="A1570" s="53"/>
      <x:c r="B1570" s="53"/>
      <x:c r="C1570" s="53"/>
      <x:c r="D1570" s="53"/>
      <x:c r="E1570" s="53"/>
      <x:c r="F1570" s="53"/>
      <x:c r="G1570" s="53"/>
      <x:c r="H1570" s="53"/>
      <x:c r="I1570" s="53"/>
      <x:c r="J1570" s="53"/>
      <x:c r="K1570" s="53"/>
      <x:c r="L1570" s="53"/>
      <x:c r="M1570" s="53"/>
      <x:c r="N1570" s="53"/>
      <x:c r="O1570" s="53"/>
      <x:c r="P1570" s="53"/>
      <x:c r="Q1570" s="53"/>
      <x:c r="R1570" s="53"/>
      <x:c r="S1570" s="53"/>
      <x:c r="T1570" s="53"/>
      <x:c r="U1570" s="53"/>
      <x:c r="V1570" s="53"/>
      <x:c r="W1570" s="53"/>
      <x:c r="X1570" s="53"/>
      <x:c r="Y1570" s="53"/>
      <x:c r="Z1570" s="53"/>
      <x:c r="AA1570" s="53"/>
      <x:c r="AB1570" s="53"/>
      <x:c r="AC1570" s="53"/>
      <x:c r="AD1570" s="53"/>
      <x:c r="AE1570" s="53"/>
      <x:c r="AF1570" s="53"/>
    </x:row>
    <x:row r="1571">
      <x:c r="A1571" s="53"/>
      <x:c r="B1571" s="53"/>
      <x:c r="C1571" s="53"/>
      <x:c r="D1571" s="53"/>
      <x:c r="E1571" s="53"/>
      <x:c r="F1571" s="53"/>
      <x:c r="G1571" s="53"/>
      <x:c r="H1571" s="53"/>
      <x:c r="I1571" s="53"/>
      <x:c r="J1571" s="53"/>
      <x:c r="K1571" s="53"/>
      <x:c r="L1571" s="53"/>
      <x:c r="M1571" s="53"/>
      <x:c r="N1571" s="53"/>
      <x:c r="O1571" s="53"/>
      <x:c r="P1571" s="53"/>
      <x:c r="Q1571" s="53"/>
      <x:c r="R1571" s="53"/>
      <x:c r="S1571" s="53"/>
      <x:c r="T1571" s="53"/>
      <x:c r="U1571" s="53"/>
      <x:c r="V1571" s="53"/>
      <x:c r="W1571" s="53"/>
      <x:c r="X1571" s="53"/>
      <x:c r="Y1571" s="53"/>
      <x:c r="Z1571" s="53"/>
      <x:c r="AA1571" s="53"/>
      <x:c r="AB1571" s="53"/>
      <x:c r="AC1571" s="53"/>
      <x:c r="AD1571" s="53"/>
      <x:c r="AE1571" s="53"/>
      <x:c r="AF1571" s="53"/>
    </x:row>
    <x:row r="1572">
      <x:c r="A1572" s="53"/>
      <x:c r="B1572" s="53"/>
      <x:c r="C1572" s="53"/>
      <x:c r="D1572" s="53"/>
      <x:c r="E1572" s="53"/>
      <x:c r="F1572" s="53"/>
      <x:c r="G1572" s="53"/>
      <x:c r="H1572" s="53"/>
      <x:c r="I1572" s="53"/>
      <x:c r="J1572" s="53"/>
      <x:c r="K1572" s="53"/>
      <x:c r="L1572" s="53"/>
      <x:c r="M1572" s="53"/>
      <x:c r="N1572" s="53"/>
      <x:c r="O1572" s="53"/>
      <x:c r="P1572" s="53"/>
      <x:c r="Q1572" s="53"/>
      <x:c r="R1572" s="53"/>
      <x:c r="S1572" s="53"/>
      <x:c r="T1572" s="53"/>
      <x:c r="U1572" s="53"/>
      <x:c r="V1572" s="53"/>
      <x:c r="W1572" s="53"/>
      <x:c r="X1572" s="53"/>
      <x:c r="Y1572" s="53"/>
      <x:c r="Z1572" s="53"/>
      <x:c r="AA1572" s="53"/>
      <x:c r="AB1572" s="53"/>
      <x:c r="AC1572" s="53"/>
      <x:c r="AD1572" s="53"/>
      <x:c r="AE1572" s="53"/>
      <x:c r="AF1572" s="53"/>
    </x:row>
    <x:row r="1573">
      <x:c r="A1573" s="53"/>
      <x:c r="B1573" s="53"/>
      <x:c r="C1573" s="53"/>
      <x:c r="D1573" s="53"/>
      <x:c r="E1573" s="53"/>
      <x:c r="F1573" s="53"/>
      <x:c r="G1573" s="53"/>
      <x:c r="H1573" s="53"/>
      <x:c r="I1573" s="53"/>
      <x:c r="J1573" s="53"/>
      <x:c r="K1573" s="53"/>
      <x:c r="L1573" s="53"/>
      <x:c r="M1573" s="53"/>
      <x:c r="N1573" s="53"/>
      <x:c r="O1573" s="53"/>
      <x:c r="P1573" s="53"/>
      <x:c r="Q1573" s="53"/>
      <x:c r="R1573" s="53"/>
      <x:c r="S1573" s="53"/>
      <x:c r="T1573" s="53"/>
      <x:c r="U1573" s="53"/>
      <x:c r="V1573" s="53"/>
      <x:c r="W1573" s="53"/>
      <x:c r="X1573" s="53"/>
      <x:c r="Y1573" s="53"/>
      <x:c r="Z1573" s="53"/>
      <x:c r="AA1573" s="53"/>
      <x:c r="AB1573" s="53"/>
      <x:c r="AC1573" s="53"/>
      <x:c r="AD1573" s="53"/>
      <x:c r="AE1573" s="53"/>
      <x:c r="AF1573" s="53"/>
    </x:row>
    <x:row r="1574">
      <x:c r="A1574" s="53"/>
      <x:c r="B1574" s="53"/>
      <x:c r="C1574" s="53"/>
      <x:c r="D1574" s="53"/>
      <x:c r="E1574" s="53"/>
      <x:c r="F1574" s="53"/>
      <x:c r="G1574" s="53"/>
      <x:c r="H1574" s="53"/>
      <x:c r="I1574" s="53"/>
      <x:c r="J1574" s="53"/>
      <x:c r="K1574" s="53"/>
      <x:c r="L1574" s="53"/>
      <x:c r="M1574" s="53"/>
      <x:c r="N1574" s="53"/>
      <x:c r="O1574" s="53"/>
      <x:c r="P1574" s="53"/>
      <x:c r="Q1574" s="53"/>
      <x:c r="R1574" s="53"/>
      <x:c r="S1574" s="53"/>
      <x:c r="T1574" s="53"/>
      <x:c r="U1574" s="53"/>
      <x:c r="V1574" s="53"/>
      <x:c r="W1574" s="53"/>
      <x:c r="X1574" s="53"/>
      <x:c r="Y1574" s="53"/>
      <x:c r="Z1574" s="53"/>
      <x:c r="AA1574" s="53"/>
      <x:c r="AB1574" s="53"/>
      <x:c r="AC1574" s="53"/>
      <x:c r="AD1574" s="53"/>
      <x:c r="AE1574" s="53"/>
      <x:c r="AF1574" s="53"/>
    </x:row>
    <x:row r="1575">
      <x:c r="A1575" s="53"/>
      <x:c r="B1575" s="53"/>
      <x:c r="C1575" s="53"/>
      <x:c r="D1575" s="53"/>
      <x:c r="E1575" s="53"/>
      <x:c r="F1575" s="53"/>
      <x:c r="G1575" s="53"/>
      <x:c r="H1575" s="53"/>
      <x:c r="I1575" s="53"/>
      <x:c r="J1575" s="53"/>
      <x:c r="K1575" s="53"/>
      <x:c r="L1575" s="53"/>
      <x:c r="M1575" s="53"/>
      <x:c r="N1575" s="53"/>
      <x:c r="O1575" s="53"/>
      <x:c r="P1575" s="53"/>
      <x:c r="Q1575" s="53"/>
      <x:c r="R1575" s="53"/>
      <x:c r="S1575" s="53"/>
      <x:c r="T1575" s="53"/>
      <x:c r="U1575" s="53"/>
      <x:c r="V1575" s="53"/>
      <x:c r="W1575" s="53"/>
      <x:c r="X1575" s="53"/>
      <x:c r="Y1575" s="53"/>
      <x:c r="Z1575" s="53"/>
      <x:c r="AA1575" s="53"/>
      <x:c r="AB1575" s="53"/>
      <x:c r="AC1575" s="53"/>
      <x:c r="AD1575" s="53"/>
      <x:c r="AE1575" s="53"/>
      <x:c r="AF1575" s="53"/>
    </x:row>
    <x:row r="1576">
      <x:c r="A1576" s="53"/>
      <x:c r="B1576" s="53"/>
      <x:c r="C1576" s="53"/>
      <x:c r="D1576" s="53"/>
      <x:c r="E1576" s="53"/>
      <x:c r="F1576" s="53"/>
      <x:c r="G1576" s="53"/>
      <x:c r="H1576" s="53"/>
      <x:c r="I1576" s="53"/>
      <x:c r="J1576" s="53"/>
      <x:c r="K1576" s="53"/>
      <x:c r="L1576" s="53"/>
      <x:c r="M1576" s="53"/>
      <x:c r="N1576" s="53"/>
      <x:c r="O1576" s="53"/>
      <x:c r="P1576" s="53"/>
      <x:c r="Q1576" s="53"/>
      <x:c r="R1576" s="53"/>
      <x:c r="S1576" s="53"/>
      <x:c r="T1576" s="53"/>
      <x:c r="U1576" s="53"/>
      <x:c r="V1576" s="53"/>
      <x:c r="W1576" s="53"/>
      <x:c r="X1576" s="53"/>
      <x:c r="Y1576" s="53"/>
      <x:c r="Z1576" s="53"/>
      <x:c r="AA1576" s="53"/>
      <x:c r="AB1576" s="53"/>
      <x:c r="AC1576" s="53"/>
      <x:c r="AD1576" s="53"/>
      <x:c r="AE1576" s="53"/>
      <x:c r="AF1576" s="53"/>
    </x:row>
    <x:row r="1577">
      <x:c r="A1577" s="53"/>
      <x:c r="B1577" s="53"/>
      <x:c r="C1577" s="53"/>
      <x:c r="D1577" s="53"/>
      <x:c r="E1577" s="53"/>
      <x:c r="F1577" s="53"/>
      <x:c r="G1577" s="53"/>
      <x:c r="H1577" s="53"/>
      <x:c r="I1577" s="53"/>
      <x:c r="J1577" s="53"/>
      <x:c r="K1577" s="53"/>
      <x:c r="L1577" s="53"/>
      <x:c r="M1577" s="53"/>
      <x:c r="N1577" s="53"/>
      <x:c r="O1577" s="53"/>
      <x:c r="P1577" s="53"/>
      <x:c r="Q1577" s="53"/>
      <x:c r="R1577" s="53"/>
      <x:c r="S1577" s="53"/>
      <x:c r="T1577" s="53"/>
      <x:c r="U1577" s="53"/>
      <x:c r="V1577" s="53"/>
      <x:c r="W1577" s="53"/>
      <x:c r="X1577" s="53"/>
      <x:c r="Y1577" s="53"/>
      <x:c r="Z1577" s="53"/>
      <x:c r="AA1577" s="53"/>
      <x:c r="AB1577" s="53"/>
      <x:c r="AC1577" s="53"/>
      <x:c r="AD1577" s="53"/>
      <x:c r="AE1577" s="53"/>
      <x:c r="AF1577" s="53"/>
    </x:row>
    <x:row r="1578">
      <x:c r="A1578" s="53"/>
      <x:c r="B1578" s="53"/>
      <x:c r="C1578" s="53"/>
      <x:c r="D1578" s="53"/>
      <x:c r="E1578" s="53"/>
      <x:c r="F1578" s="53"/>
      <x:c r="G1578" s="53"/>
      <x:c r="H1578" s="53"/>
      <x:c r="I1578" s="53"/>
      <x:c r="J1578" s="53"/>
      <x:c r="K1578" s="53"/>
      <x:c r="L1578" s="53"/>
      <x:c r="M1578" s="53"/>
      <x:c r="N1578" s="53"/>
      <x:c r="O1578" s="53"/>
      <x:c r="P1578" s="53"/>
      <x:c r="Q1578" s="53"/>
      <x:c r="R1578" s="53"/>
      <x:c r="S1578" s="53"/>
      <x:c r="T1578" s="53"/>
      <x:c r="U1578" s="53"/>
      <x:c r="V1578" s="53"/>
      <x:c r="W1578" s="53"/>
      <x:c r="X1578" s="53"/>
      <x:c r="Y1578" s="53"/>
      <x:c r="Z1578" s="53"/>
      <x:c r="AA1578" s="53"/>
      <x:c r="AB1578" s="53"/>
      <x:c r="AC1578" s="53"/>
      <x:c r="AD1578" s="53"/>
      <x:c r="AE1578" s="53"/>
      <x:c r="AF1578" s="53"/>
    </x:row>
    <x:row r="1579">
      <x:c r="A1579" s="53"/>
      <x:c r="B1579" s="53"/>
      <x:c r="C1579" s="53"/>
      <x:c r="D1579" s="53"/>
      <x:c r="E1579" s="53"/>
      <x:c r="F1579" s="53"/>
      <x:c r="G1579" s="53"/>
      <x:c r="H1579" s="53"/>
      <x:c r="I1579" s="53"/>
      <x:c r="J1579" s="53"/>
      <x:c r="K1579" s="53"/>
      <x:c r="L1579" s="53"/>
      <x:c r="M1579" s="53"/>
      <x:c r="N1579" s="53"/>
      <x:c r="O1579" s="53"/>
      <x:c r="P1579" s="53"/>
      <x:c r="Q1579" s="53"/>
      <x:c r="R1579" s="53"/>
      <x:c r="S1579" s="53"/>
      <x:c r="T1579" s="53"/>
      <x:c r="U1579" s="53"/>
      <x:c r="V1579" s="53"/>
      <x:c r="W1579" s="53"/>
      <x:c r="X1579" s="53"/>
      <x:c r="Y1579" s="53"/>
      <x:c r="Z1579" s="53"/>
      <x:c r="AA1579" s="53"/>
      <x:c r="AB1579" s="53"/>
      <x:c r="AC1579" s="53"/>
      <x:c r="AD1579" s="53"/>
      <x:c r="AE1579" s="53"/>
      <x:c r="AF1579" s="53"/>
    </x:row>
    <x:row r="1580">
      <x:c r="A1580" s="53"/>
      <x:c r="B1580" s="53"/>
      <x:c r="C1580" s="53"/>
      <x:c r="D1580" s="53"/>
      <x:c r="E1580" s="53"/>
      <x:c r="F1580" s="53"/>
      <x:c r="G1580" s="53"/>
      <x:c r="H1580" s="53"/>
      <x:c r="I1580" s="53"/>
      <x:c r="J1580" s="53"/>
      <x:c r="K1580" s="53"/>
      <x:c r="L1580" s="53"/>
      <x:c r="M1580" s="53"/>
      <x:c r="N1580" s="53"/>
      <x:c r="O1580" s="53"/>
      <x:c r="P1580" s="53"/>
      <x:c r="Q1580" s="53"/>
      <x:c r="R1580" s="53"/>
      <x:c r="S1580" s="53"/>
      <x:c r="T1580" s="53"/>
      <x:c r="U1580" s="53"/>
      <x:c r="V1580" s="53"/>
      <x:c r="W1580" s="53"/>
      <x:c r="X1580" s="53"/>
      <x:c r="Y1580" s="53"/>
      <x:c r="Z1580" s="53"/>
      <x:c r="AA1580" s="53"/>
      <x:c r="AB1580" s="53"/>
      <x:c r="AC1580" s="53"/>
      <x:c r="AD1580" s="53"/>
      <x:c r="AE1580" s="53"/>
      <x:c r="AF1580" s="53"/>
    </x:row>
    <x:row r="1581">
      <x:c r="A1581" s="53"/>
      <x:c r="B1581" s="53"/>
      <x:c r="C1581" s="53"/>
      <x:c r="D1581" s="53"/>
      <x:c r="E1581" s="53"/>
      <x:c r="F1581" s="53"/>
      <x:c r="G1581" s="53"/>
      <x:c r="H1581" s="53"/>
      <x:c r="I1581" s="53"/>
      <x:c r="J1581" s="53"/>
      <x:c r="K1581" s="53"/>
      <x:c r="L1581" s="53"/>
      <x:c r="M1581" s="53"/>
      <x:c r="N1581" s="53"/>
      <x:c r="O1581" s="53"/>
      <x:c r="P1581" s="53"/>
      <x:c r="Q1581" s="53"/>
      <x:c r="R1581" s="53"/>
      <x:c r="S1581" s="53"/>
      <x:c r="T1581" s="53"/>
      <x:c r="U1581" s="53"/>
      <x:c r="V1581" s="53"/>
      <x:c r="W1581" s="53"/>
      <x:c r="X1581" s="53"/>
      <x:c r="Y1581" s="53"/>
      <x:c r="Z1581" s="53"/>
      <x:c r="AA1581" s="53"/>
      <x:c r="AB1581" s="53"/>
      <x:c r="AC1581" s="53"/>
      <x:c r="AD1581" s="53"/>
      <x:c r="AE1581" s="53"/>
      <x:c r="AF1581" s="53"/>
    </x:row>
    <x:row r="1582">
      <x:c r="A1582" s="53"/>
      <x:c r="B1582" s="53"/>
      <x:c r="C1582" s="53"/>
      <x:c r="D1582" s="53"/>
      <x:c r="E1582" s="53"/>
      <x:c r="F1582" s="53"/>
      <x:c r="G1582" s="53"/>
      <x:c r="H1582" s="53"/>
      <x:c r="I1582" s="53"/>
      <x:c r="J1582" s="53"/>
      <x:c r="K1582" s="53"/>
      <x:c r="L1582" s="53"/>
      <x:c r="M1582" s="53"/>
      <x:c r="N1582" s="53"/>
      <x:c r="O1582" s="53"/>
      <x:c r="P1582" s="53"/>
      <x:c r="Q1582" s="53"/>
      <x:c r="R1582" s="53"/>
      <x:c r="S1582" s="53"/>
      <x:c r="T1582" s="53"/>
      <x:c r="U1582" s="53"/>
      <x:c r="V1582" s="53"/>
      <x:c r="W1582" s="53"/>
      <x:c r="X1582" s="53"/>
      <x:c r="Y1582" s="53"/>
      <x:c r="Z1582" s="53"/>
      <x:c r="AA1582" s="53"/>
      <x:c r="AB1582" s="53"/>
      <x:c r="AC1582" s="53"/>
      <x:c r="AD1582" s="53"/>
      <x:c r="AE1582" s="53"/>
      <x:c r="AF1582" s="53"/>
    </x:row>
    <x:row r="1583">
      <x:c r="A1583" s="53"/>
      <x:c r="B1583" s="53"/>
      <x:c r="C1583" s="53"/>
      <x:c r="D1583" s="53"/>
      <x:c r="E1583" s="53"/>
      <x:c r="F1583" s="53"/>
      <x:c r="G1583" s="53"/>
      <x:c r="H1583" s="53"/>
      <x:c r="I1583" s="53"/>
      <x:c r="J1583" s="53"/>
      <x:c r="K1583" s="53"/>
      <x:c r="L1583" s="53"/>
      <x:c r="M1583" s="53"/>
      <x:c r="N1583" s="53"/>
      <x:c r="O1583" s="53"/>
      <x:c r="P1583" s="53"/>
      <x:c r="Q1583" s="53"/>
      <x:c r="R1583" s="53"/>
      <x:c r="S1583" s="53"/>
      <x:c r="T1583" s="53"/>
      <x:c r="U1583" s="53"/>
      <x:c r="V1583" s="53"/>
      <x:c r="W1583" s="53"/>
      <x:c r="X1583" s="53"/>
      <x:c r="Y1583" s="53"/>
      <x:c r="Z1583" s="53"/>
      <x:c r="AA1583" s="53"/>
      <x:c r="AB1583" s="53"/>
      <x:c r="AC1583" s="53"/>
      <x:c r="AD1583" s="53"/>
      <x:c r="AE1583" s="53"/>
      <x:c r="AF1583" s="53"/>
    </x:row>
    <x:row r="1584">
      <x:c r="A1584" s="53"/>
      <x:c r="B1584" s="53"/>
      <x:c r="C1584" s="53"/>
      <x:c r="D1584" s="53"/>
      <x:c r="E1584" s="53"/>
      <x:c r="F1584" s="53"/>
      <x:c r="G1584" s="53"/>
      <x:c r="H1584" s="53"/>
      <x:c r="I1584" s="53"/>
      <x:c r="J1584" s="53"/>
      <x:c r="K1584" s="53"/>
      <x:c r="L1584" s="53"/>
      <x:c r="M1584" s="53"/>
      <x:c r="N1584" s="53"/>
      <x:c r="O1584" s="53"/>
      <x:c r="P1584" s="53"/>
      <x:c r="Q1584" s="53"/>
      <x:c r="R1584" s="53"/>
      <x:c r="S1584" s="53"/>
      <x:c r="T1584" s="53"/>
      <x:c r="U1584" s="53"/>
      <x:c r="V1584" s="53"/>
      <x:c r="W1584" s="53"/>
      <x:c r="X1584" s="53"/>
      <x:c r="Y1584" s="53"/>
      <x:c r="Z1584" s="53"/>
      <x:c r="AA1584" s="53"/>
      <x:c r="AB1584" s="53"/>
      <x:c r="AC1584" s="53"/>
      <x:c r="AD1584" s="53"/>
      <x:c r="AE1584" s="53"/>
      <x:c r="AF1584" s="53"/>
    </x:row>
    <x:row r="1585">
      <x:c r="A1585" s="53"/>
      <x:c r="B1585" s="53"/>
      <x:c r="C1585" s="53"/>
      <x:c r="D1585" s="53"/>
      <x:c r="E1585" s="53"/>
      <x:c r="F1585" s="53"/>
      <x:c r="G1585" s="53"/>
      <x:c r="H1585" s="53"/>
      <x:c r="I1585" s="53"/>
      <x:c r="J1585" s="53"/>
      <x:c r="K1585" s="53"/>
      <x:c r="L1585" s="53"/>
      <x:c r="M1585" s="53"/>
      <x:c r="N1585" s="53"/>
      <x:c r="O1585" s="53"/>
      <x:c r="P1585" s="53"/>
      <x:c r="Q1585" s="53"/>
      <x:c r="R1585" s="53"/>
      <x:c r="S1585" s="53"/>
      <x:c r="T1585" s="53"/>
      <x:c r="U1585" s="53"/>
      <x:c r="V1585" s="53"/>
      <x:c r="W1585" s="53"/>
      <x:c r="X1585" s="53"/>
      <x:c r="Y1585" s="53"/>
      <x:c r="Z1585" s="53"/>
      <x:c r="AA1585" s="53"/>
      <x:c r="AB1585" s="53"/>
      <x:c r="AC1585" s="53"/>
      <x:c r="AD1585" s="53"/>
      <x:c r="AE1585" s="53"/>
      <x:c r="AF1585" s="53"/>
    </x:row>
    <x:row r="1586">
      <x:c r="A1586" s="53"/>
      <x:c r="B1586" s="53"/>
      <x:c r="C1586" s="53"/>
      <x:c r="D1586" s="53"/>
      <x:c r="E1586" s="53"/>
      <x:c r="F1586" s="53"/>
      <x:c r="G1586" s="53"/>
      <x:c r="H1586" s="53"/>
      <x:c r="I1586" s="53"/>
      <x:c r="J1586" s="53"/>
      <x:c r="K1586" s="53"/>
      <x:c r="L1586" s="53"/>
      <x:c r="M1586" s="53"/>
      <x:c r="N1586" s="53"/>
      <x:c r="O1586" s="53"/>
      <x:c r="P1586" s="53"/>
      <x:c r="Q1586" s="53"/>
      <x:c r="R1586" s="53"/>
      <x:c r="S1586" s="53"/>
      <x:c r="T1586" s="53"/>
      <x:c r="U1586" s="53"/>
      <x:c r="V1586" s="53"/>
      <x:c r="W1586" s="53"/>
      <x:c r="X1586" s="53"/>
      <x:c r="Y1586" s="53"/>
      <x:c r="Z1586" s="53"/>
      <x:c r="AA1586" s="53"/>
      <x:c r="AB1586" s="53"/>
      <x:c r="AC1586" s="53"/>
      <x:c r="AD1586" s="53"/>
      <x:c r="AE1586" s="53"/>
      <x:c r="AF1586" s="53"/>
    </x:row>
    <x:row r="1587">
      <x:c r="A1587" s="53"/>
      <x:c r="B1587" s="53"/>
      <x:c r="C1587" s="53"/>
      <x:c r="D1587" s="53"/>
      <x:c r="E1587" s="53"/>
      <x:c r="F1587" s="53"/>
      <x:c r="G1587" s="53"/>
      <x:c r="H1587" s="53"/>
      <x:c r="I1587" s="53"/>
      <x:c r="J1587" s="53"/>
      <x:c r="K1587" s="53"/>
      <x:c r="L1587" s="53"/>
      <x:c r="M1587" s="53"/>
      <x:c r="N1587" s="53"/>
      <x:c r="O1587" s="53"/>
      <x:c r="P1587" s="53"/>
      <x:c r="Q1587" s="53"/>
      <x:c r="R1587" s="53"/>
      <x:c r="S1587" s="53"/>
      <x:c r="T1587" s="53"/>
      <x:c r="U1587" s="53"/>
      <x:c r="V1587" s="53"/>
      <x:c r="W1587" s="53"/>
      <x:c r="X1587" s="53"/>
      <x:c r="Y1587" s="53"/>
      <x:c r="Z1587" s="53"/>
      <x:c r="AA1587" s="53"/>
      <x:c r="AB1587" s="53"/>
      <x:c r="AC1587" s="53"/>
      <x:c r="AD1587" s="53"/>
      <x:c r="AE1587" s="53"/>
      <x:c r="AF1587" s="53"/>
    </x:row>
    <x:row r="1588">
      <x:c r="A1588" s="53"/>
      <x:c r="B1588" s="53"/>
      <x:c r="C1588" s="53"/>
      <x:c r="D1588" s="53"/>
      <x:c r="E1588" s="53"/>
      <x:c r="F1588" s="53"/>
      <x:c r="G1588" s="53"/>
      <x:c r="H1588" s="53"/>
      <x:c r="I1588" s="53"/>
      <x:c r="J1588" s="53"/>
      <x:c r="K1588" s="53"/>
      <x:c r="L1588" s="53"/>
      <x:c r="M1588" s="53"/>
      <x:c r="N1588" s="53"/>
      <x:c r="O1588" s="53"/>
      <x:c r="P1588" s="53"/>
      <x:c r="Q1588" s="53"/>
      <x:c r="R1588" s="53"/>
      <x:c r="S1588" s="53"/>
      <x:c r="T1588" s="53"/>
      <x:c r="U1588" s="53"/>
      <x:c r="V1588" s="53"/>
      <x:c r="W1588" s="53"/>
      <x:c r="X1588" s="53"/>
      <x:c r="Y1588" s="53"/>
      <x:c r="Z1588" s="53"/>
      <x:c r="AA1588" s="53"/>
      <x:c r="AB1588" s="53"/>
      <x:c r="AC1588" s="53"/>
      <x:c r="AD1588" s="53"/>
      <x:c r="AE1588" s="53"/>
      <x:c r="AF1588" s="53"/>
    </x:row>
    <x:row r="1589">
      <x:c r="A1589" s="53"/>
      <x:c r="B1589" s="53"/>
      <x:c r="C1589" s="53"/>
      <x:c r="D1589" s="53"/>
      <x:c r="E1589" s="53"/>
      <x:c r="F1589" s="53"/>
      <x:c r="G1589" s="53"/>
      <x:c r="H1589" s="53"/>
      <x:c r="I1589" s="53"/>
      <x:c r="J1589" s="53"/>
      <x:c r="K1589" s="53"/>
      <x:c r="L1589" s="53"/>
      <x:c r="M1589" s="53"/>
      <x:c r="N1589" s="53"/>
      <x:c r="O1589" s="53"/>
      <x:c r="P1589" s="53"/>
      <x:c r="Q1589" s="53"/>
      <x:c r="R1589" s="53"/>
      <x:c r="S1589" s="53"/>
      <x:c r="T1589" s="53"/>
      <x:c r="U1589" s="53"/>
      <x:c r="V1589" s="53"/>
      <x:c r="W1589" s="53"/>
      <x:c r="X1589" s="53"/>
      <x:c r="Y1589" s="53"/>
      <x:c r="Z1589" s="53"/>
      <x:c r="AA1589" s="53"/>
      <x:c r="AB1589" s="53"/>
      <x:c r="AC1589" s="53"/>
      <x:c r="AD1589" s="53"/>
      <x:c r="AE1589" s="53"/>
      <x:c r="AF1589" s="53"/>
    </x:row>
    <x:row r="1590">
      <x:c r="A1590" s="53"/>
      <x:c r="B1590" s="53"/>
      <x:c r="C1590" s="53"/>
      <x:c r="D1590" s="53"/>
      <x:c r="E1590" s="53"/>
      <x:c r="F1590" s="53"/>
      <x:c r="G1590" s="53"/>
      <x:c r="H1590" s="53"/>
      <x:c r="I1590" s="53"/>
      <x:c r="J1590" s="53"/>
      <x:c r="K1590" s="53"/>
      <x:c r="L1590" s="53"/>
      <x:c r="M1590" s="53"/>
      <x:c r="N1590" s="53"/>
      <x:c r="O1590" s="53"/>
      <x:c r="P1590" s="53"/>
      <x:c r="Q1590" s="53"/>
      <x:c r="R1590" s="53"/>
      <x:c r="S1590" s="53"/>
      <x:c r="T1590" s="53"/>
      <x:c r="U1590" s="53"/>
      <x:c r="V1590" s="53"/>
      <x:c r="W1590" s="53"/>
      <x:c r="X1590" s="53"/>
      <x:c r="Y1590" s="53"/>
      <x:c r="Z1590" s="53"/>
      <x:c r="AA1590" s="53"/>
      <x:c r="AB1590" s="53"/>
      <x:c r="AC1590" s="53"/>
      <x:c r="AD1590" s="53"/>
      <x:c r="AE1590" s="53"/>
      <x:c r="AF1590" s="53"/>
    </x:row>
    <x:row r="1591">
      <x:c r="A1591" s="53"/>
      <x:c r="B1591" s="53"/>
      <x:c r="C1591" s="53"/>
      <x:c r="D1591" s="53"/>
      <x:c r="E1591" s="53"/>
      <x:c r="F1591" s="53"/>
      <x:c r="G1591" s="53"/>
      <x:c r="H1591" s="53"/>
      <x:c r="I1591" s="53"/>
      <x:c r="J1591" s="53"/>
      <x:c r="K1591" s="53"/>
      <x:c r="L1591" s="53"/>
      <x:c r="M1591" s="53"/>
      <x:c r="N1591" s="53"/>
      <x:c r="O1591" s="53"/>
      <x:c r="P1591" s="53"/>
      <x:c r="Q1591" s="53"/>
      <x:c r="R1591" s="53"/>
      <x:c r="S1591" s="53"/>
      <x:c r="T1591" s="53"/>
      <x:c r="U1591" s="53"/>
      <x:c r="V1591" s="53"/>
      <x:c r="W1591" s="53"/>
      <x:c r="X1591" s="53"/>
      <x:c r="Y1591" s="53"/>
      <x:c r="Z1591" s="53"/>
      <x:c r="AA1591" s="53"/>
      <x:c r="AB1591" s="53"/>
      <x:c r="AC1591" s="53"/>
      <x:c r="AD1591" s="53"/>
      <x:c r="AE1591" s="53"/>
      <x:c r="AF1591" s="53"/>
    </x:row>
    <x:row r="1592">
      <x:c r="A1592" s="53"/>
      <x:c r="B1592" s="53"/>
      <x:c r="C1592" s="53"/>
      <x:c r="D1592" s="53"/>
      <x:c r="E1592" s="53"/>
      <x:c r="F1592" s="53"/>
      <x:c r="G1592" s="53"/>
      <x:c r="H1592" s="53"/>
      <x:c r="I1592" s="53"/>
      <x:c r="J1592" s="53"/>
      <x:c r="K1592" s="53"/>
      <x:c r="L1592" s="53"/>
      <x:c r="M1592" s="53"/>
      <x:c r="N1592" s="53"/>
      <x:c r="O1592" s="53"/>
      <x:c r="P1592" s="53"/>
      <x:c r="Q1592" s="53"/>
      <x:c r="R1592" s="53"/>
      <x:c r="S1592" s="53"/>
      <x:c r="T1592" s="53"/>
      <x:c r="U1592" s="53"/>
      <x:c r="V1592" s="53"/>
      <x:c r="W1592" s="53"/>
      <x:c r="X1592" s="53"/>
      <x:c r="Y1592" s="53"/>
      <x:c r="Z1592" s="53"/>
      <x:c r="AA1592" s="53"/>
      <x:c r="AB1592" s="53"/>
      <x:c r="AC1592" s="53"/>
      <x:c r="AD1592" s="53"/>
      <x:c r="AE1592" s="53"/>
      <x:c r="AF1592" s="53"/>
    </x:row>
    <x:row r="1593">
      <x:c r="A1593" s="53"/>
      <x:c r="B1593" s="53"/>
      <x:c r="C1593" s="53"/>
      <x:c r="D1593" s="53"/>
      <x:c r="E1593" s="53"/>
      <x:c r="F1593" s="53"/>
      <x:c r="G1593" s="53"/>
      <x:c r="H1593" s="53"/>
      <x:c r="I1593" s="53"/>
      <x:c r="J1593" s="53"/>
      <x:c r="K1593" s="53"/>
      <x:c r="L1593" s="53"/>
      <x:c r="M1593" s="53"/>
      <x:c r="N1593" s="53"/>
      <x:c r="O1593" s="53"/>
      <x:c r="P1593" s="53"/>
      <x:c r="Q1593" s="53"/>
      <x:c r="R1593" s="53"/>
      <x:c r="S1593" s="53"/>
      <x:c r="T1593" s="53"/>
      <x:c r="U1593" s="53"/>
      <x:c r="V1593" s="53"/>
      <x:c r="W1593" s="53"/>
      <x:c r="X1593" s="53"/>
      <x:c r="Y1593" s="53"/>
      <x:c r="Z1593" s="53"/>
      <x:c r="AA1593" s="53"/>
      <x:c r="AB1593" s="53"/>
      <x:c r="AC1593" s="53"/>
      <x:c r="AD1593" s="53"/>
      <x:c r="AE1593" s="53"/>
      <x:c r="AF1593" s="53"/>
    </x:row>
    <x:row r="1594">
      <x:c r="A1594" s="53"/>
      <x:c r="B1594" s="53"/>
      <x:c r="C1594" s="53"/>
      <x:c r="D1594" s="53"/>
      <x:c r="E1594" s="53"/>
      <x:c r="F1594" s="53"/>
      <x:c r="G1594" s="53"/>
      <x:c r="H1594" s="53"/>
      <x:c r="I1594" s="53"/>
      <x:c r="J1594" s="53"/>
      <x:c r="K1594" s="53"/>
      <x:c r="L1594" s="53"/>
      <x:c r="M1594" s="53"/>
      <x:c r="N1594" s="53"/>
      <x:c r="O1594" s="53"/>
      <x:c r="P1594" s="53"/>
      <x:c r="Q1594" s="53"/>
      <x:c r="R1594" s="53"/>
      <x:c r="S1594" s="53"/>
      <x:c r="T1594" s="53"/>
      <x:c r="U1594" s="53"/>
      <x:c r="V1594" s="53"/>
      <x:c r="W1594" s="53"/>
      <x:c r="X1594" s="53"/>
      <x:c r="Y1594" s="53"/>
      <x:c r="Z1594" s="53"/>
      <x:c r="AA1594" s="53"/>
      <x:c r="AB1594" s="53"/>
      <x:c r="AC1594" s="53"/>
      <x:c r="AD1594" s="53"/>
      <x:c r="AE1594" s="53"/>
      <x:c r="AF1594" s="53"/>
    </x:row>
    <x:row r="1595">
      <x:c r="A1595" s="53"/>
      <x:c r="B1595" s="53"/>
      <x:c r="C1595" s="53"/>
      <x:c r="D1595" s="53"/>
      <x:c r="E1595" s="53"/>
      <x:c r="F1595" s="53"/>
      <x:c r="G1595" s="53"/>
      <x:c r="H1595" s="53"/>
      <x:c r="I1595" s="53"/>
      <x:c r="J1595" s="53"/>
      <x:c r="K1595" s="53"/>
      <x:c r="L1595" s="53"/>
      <x:c r="M1595" s="53"/>
      <x:c r="N1595" s="53"/>
      <x:c r="O1595" s="53"/>
      <x:c r="P1595" s="53"/>
      <x:c r="Q1595" s="53"/>
      <x:c r="R1595" s="53"/>
      <x:c r="S1595" s="53"/>
      <x:c r="T1595" s="53"/>
      <x:c r="U1595" s="53"/>
      <x:c r="V1595" s="53"/>
      <x:c r="W1595" s="53"/>
      <x:c r="X1595" s="53"/>
      <x:c r="Y1595" s="53"/>
      <x:c r="Z1595" s="53"/>
      <x:c r="AA1595" s="53"/>
      <x:c r="AB1595" s="53"/>
      <x:c r="AC1595" s="53"/>
      <x:c r="AD1595" s="53"/>
      <x:c r="AE1595" s="53"/>
      <x:c r="AF1595" s="53"/>
    </x:row>
    <x:row r="1596">
      <x:c r="A1596" s="53"/>
      <x:c r="B1596" s="53"/>
      <x:c r="C1596" s="53"/>
      <x:c r="D1596" s="53"/>
      <x:c r="E1596" s="53"/>
      <x:c r="F1596" s="53"/>
      <x:c r="G1596" s="53"/>
      <x:c r="H1596" s="53"/>
      <x:c r="I1596" s="53"/>
      <x:c r="J1596" s="53"/>
      <x:c r="K1596" s="53"/>
      <x:c r="L1596" s="53"/>
      <x:c r="M1596" s="53"/>
      <x:c r="N1596" s="53"/>
      <x:c r="O1596" s="53"/>
      <x:c r="P1596" s="53"/>
      <x:c r="Q1596" s="53"/>
      <x:c r="R1596" s="53"/>
      <x:c r="S1596" s="53"/>
      <x:c r="T1596" s="53"/>
      <x:c r="U1596" s="53"/>
      <x:c r="V1596" s="53"/>
      <x:c r="W1596" s="53"/>
      <x:c r="X1596" s="53"/>
      <x:c r="Y1596" s="53"/>
      <x:c r="Z1596" s="53"/>
      <x:c r="AA1596" s="53"/>
      <x:c r="AB1596" s="53"/>
      <x:c r="AC1596" s="53"/>
      <x:c r="AD1596" s="53"/>
      <x:c r="AE1596" s="53"/>
      <x:c r="AF1596" s="53"/>
    </x:row>
    <x:row r="1597">
      <x:c r="A1597" s="53"/>
      <x:c r="B1597" s="53"/>
      <x:c r="C1597" s="53"/>
      <x:c r="D1597" s="53"/>
      <x:c r="E1597" s="53"/>
      <x:c r="F1597" s="53"/>
      <x:c r="G1597" s="53"/>
      <x:c r="H1597" s="53"/>
      <x:c r="I1597" s="53"/>
      <x:c r="J1597" s="53"/>
      <x:c r="K1597" s="53"/>
      <x:c r="L1597" s="53"/>
      <x:c r="M1597" s="53"/>
      <x:c r="N1597" s="53"/>
      <x:c r="O1597" s="53"/>
      <x:c r="P1597" s="53"/>
      <x:c r="Q1597" s="53"/>
      <x:c r="R1597" s="53"/>
      <x:c r="S1597" s="53"/>
      <x:c r="T1597" s="53"/>
      <x:c r="U1597" s="53"/>
      <x:c r="V1597" s="53"/>
      <x:c r="W1597" s="53"/>
      <x:c r="X1597" s="53"/>
      <x:c r="Y1597" s="53"/>
      <x:c r="Z1597" s="53"/>
      <x:c r="AA1597" s="53"/>
      <x:c r="AB1597" s="53"/>
      <x:c r="AC1597" s="53"/>
      <x:c r="AD1597" s="53"/>
      <x:c r="AE1597" s="53"/>
      <x:c r="AF1597" s="53"/>
    </x:row>
    <x:row r="1598">
      <x:c r="A1598" s="53"/>
      <x:c r="B1598" s="53"/>
      <x:c r="C1598" s="53"/>
      <x:c r="D1598" s="53"/>
      <x:c r="E1598" s="53"/>
      <x:c r="F1598" s="53"/>
      <x:c r="G1598" s="53"/>
      <x:c r="H1598" s="53"/>
      <x:c r="I1598" s="53"/>
      <x:c r="J1598" s="53"/>
      <x:c r="K1598" s="53"/>
      <x:c r="L1598" s="53"/>
      <x:c r="M1598" s="53"/>
      <x:c r="N1598" s="53"/>
      <x:c r="O1598" s="53"/>
      <x:c r="P1598" s="53"/>
      <x:c r="Q1598" s="53"/>
      <x:c r="R1598" s="53"/>
      <x:c r="S1598" s="53"/>
      <x:c r="T1598" s="53"/>
      <x:c r="U1598" s="53"/>
      <x:c r="V1598" s="53"/>
      <x:c r="W1598" s="53"/>
      <x:c r="X1598" s="53"/>
      <x:c r="Y1598" s="53"/>
      <x:c r="Z1598" s="53"/>
      <x:c r="AA1598" s="53"/>
      <x:c r="AB1598" s="53"/>
      <x:c r="AC1598" s="53"/>
      <x:c r="AD1598" s="53"/>
      <x:c r="AE1598" s="53"/>
      <x:c r="AF1598" s="53"/>
    </x:row>
    <x:row r="1599">
      <x:c r="A1599" s="53"/>
      <x:c r="B1599" s="53"/>
      <x:c r="C1599" s="53"/>
      <x:c r="D1599" s="53"/>
      <x:c r="E1599" s="53"/>
      <x:c r="F1599" s="53"/>
      <x:c r="G1599" s="53"/>
      <x:c r="H1599" s="53"/>
      <x:c r="I1599" s="53"/>
      <x:c r="J1599" s="53"/>
      <x:c r="K1599" s="53"/>
      <x:c r="L1599" s="53"/>
      <x:c r="M1599" s="53"/>
      <x:c r="N1599" s="53"/>
      <x:c r="O1599" s="53"/>
      <x:c r="P1599" s="53"/>
      <x:c r="Q1599" s="53"/>
      <x:c r="R1599" s="53"/>
      <x:c r="S1599" s="53"/>
      <x:c r="T1599" s="53"/>
      <x:c r="U1599" s="53"/>
      <x:c r="V1599" s="53"/>
      <x:c r="W1599" s="53"/>
      <x:c r="X1599" s="53"/>
      <x:c r="Y1599" s="53"/>
      <x:c r="Z1599" s="53"/>
      <x:c r="AA1599" s="53"/>
      <x:c r="AB1599" s="53"/>
      <x:c r="AC1599" s="53"/>
      <x:c r="AD1599" s="53"/>
      <x:c r="AE1599" s="53"/>
      <x:c r="AF1599" s="53"/>
    </x:row>
    <x:row r="1600">
      <x:c r="A1600" s="53"/>
      <x:c r="B1600" s="53"/>
      <x:c r="C1600" s="53"/>
      <x:c r="D1600" s="53"/>
      <x:c r="E1600" s="53"/>
      <x:c r="F1600" s="53"/>
      <x:c r="G1600" s="53"/>
      <x:c r="H1600" s="53"/>
      <x:c r="I1600" s="53"/>
      <x:c r="J1600" s="53"/>
      <x:c r="K1600" s="53"/>
      <x:c r="L1600" s="53"/>
      <x:c r="M1600" s="53"/>
      <x:c r="N1600" s="53"/>
      <x:c r="O1600" s="53"/>
      <x:c r="P1600" s="53"/>
      <x:c r="Q1600" s="53"/>
      <x:c r="R1600" s="53"/>
      <x:c r="S1600" s="53"/>
      <x:c r="T1600" s="53"/>
      <x:c r="U1600" s="53"/>
      <x:c r="V1600" s="53"/>
      <x:c r="W1600" s="53"/>
      <x:c r="X1600" s="53"/>
      <x:c r="Y1600" s="53"/>
      <x:c r="Z1600" s="53"/>
      <x:c r="AA1600" s="53"/>
      <x:c r="AB1600" s="53"/>
      <x:c r="AC1600" s="53"/>
      <x:c r="AD1600" s="53"/>
      <x:c r="AE1600" s="53"/>
      <x:c r="AF1600" s="53"/>
    </x:row>
  </x:sheetData>
  <x:mergeCells>
    <x:mergeCell ref="A1:D2"/>
  </x:mergeCells>
  <x:pageMargins left="0.7" right="0.7" top="0.75" bottom="0.75" header="0.3" footer="0.3"/>
</x:worksheet>
</file>