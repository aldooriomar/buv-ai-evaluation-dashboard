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li.d\Downloads\"/>
    </mc:Choice>
  </mc:AlternateContent>
  <xr:revisionPtr revIDLastSave="0" documentId="8_{EE59F6B3-58CF-4E5C-B5EC-3EE18C1C6159}" xr6:coauthVersionLast="47" xr6:coauthVersionMax="47" xr10:uidLastSave="{00000000-0000-0000-0000-000000000000}"/>
  <bookViews>
    <workbookView xWindow="-96" yWindow="-96" windowWidth="23232" windowHeight="13872" xr2:uid="{00000000-000D-0000-FFFF-FFFF00000000}"/>
  </bookViews>
  <sheets>
    <sheet name="Evaluation" sheetId="1" r:id="rId1"/>
    <sheet name="Guide" sheetId="2" r:id="rId2"/>
    <sheet name="Dashboard" sheetId="3" r:id="rId3"/>
  </sheets>
  <definedNames>
    <definedName name="_xlnm._FilterDatabase" localSheetId="0" hidden="1">Evaluation!$B$8:$H$32</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6" i="1" l="1"/>
  <c r="F35" i="1"/>
  <c r="F34" i="1"/>
  <c r="F33" i="1"/>
  <c r="F32" i="1"/>
  <c r="F31" i="1"/>
  <c r="F30" i="1"/>
  <c r="F29" i="1"/>
  <c r="F28" i="1"/>
  <c r="F27" i="1"/>
  <c r="F26" i="1"/>
  <c r="F25" i="1"/>
  <c r="F24" i="1"/>
  <c r="F23" i="1"/>
  <c r="F22" i="1"/>
  <c r="F21" i="1"/>
  <c r="F20" i="1"/>
  <c r="F19" i="1"/>
  <c r="F18" i="1"/>
  <c r="F17" i="1"/>
  <c r="F16" i="1"/>
  <c r="F15" i="1"/>
  <c r="G10" i="1"/>
  <c r="B8" i="3" s="1"/>
  <c r="B5" i="3" l="1"/>
  <c r="C10" i="1"/>
  <c r="E4" i="3"/>
  <c r="B7" i="3"/>
  <c r="E6" i="3"/>
  <c r="E5" i="3"/>
  <c r="E10" i="1"/>
  <c r="F14" i="1"/>
  <c r="B6" i="3"/>
</calcChain>
</file>

<file path=xl/sharedStrings.xml><?xml version="1.0" encoding="utf-8"?>
<sst xmlns="http://schemas.openxmlformats.org/spreadsheetml/2006/main" count="176" uniqueCount="144">
  <si>
    <t>BUV AI TOOL EVALUATION TEMPLATE</t>
  </si>
  <si>
    <t>Tool name</t>
  </si>
  <si>
    <t>&lt;Enter tool name&gt;</t>
  </si>
  <si>
    <t>Evaluation date</t>
  </si>
  <si>
    <t>&lt;Enter date&gt;</t>
  </si>
  <si>
    <t>Requester</t>
  </si>
  <si>
    <t>&lt;Enter information&gt;</t>
  </si>
  <si>
    <t>Evaluator</t>
  </si>
  <si>
    <t>&lt;Enter evaluator name&gt;</t>
  </si>
  <si>
    <t>Requester Department</t>
  </si>
  <si>
    <t>Conclusion</t>
  </si>
  <si>
    <t>JOINT (ICT + Committee)</t>
  </si>
  <si>
    <t>ICT Director Sign-off</t>
  </si>
  <si>
    <t>&lt;Date / Signature&gt;</t>
  </si>
  <si>
    <t>AI Governance Committee Chair Sign-off</t>
  </si>
  <si>
    <t>Joint Decision Required</t>
  </si>
  <si>
    <t>YES (both signatures required)</t>
  </si>
  <si>
    <t>Escalation on Disagreement</t>
  </si>
  <si>
    <t>Refer to Joint Review Board (Guideline §9)</t>
  </si>
  <si>
    <t>Total score</t>
  </si>
  <si>
    <t>High criteria count</t>
  </si>
  <si>
    <t>Critical High</t>
  </si>
  <si>
    <t>ID</t>
  </si>
  <si>
    <t>Category</t>
  </si>
  <si>
    <t>Criteria</t>
  </si>
  <si>
    <t>Description</t>
  </si>
  <si>
    <t>Risk level</t>
  </si>
  <si>
    <t>Score</t>
  </si>
  <si>
    <t>Critical</t>
  </si>
  <si>
    <t>Notes</t>
  </si>
  <si>
    <t>Information source</t>
  </si>
  <si>
    <t>Data &amp; Privacy</t>
  </si>
  <si>
    <t>Data retention / training</t>
  </si>
  <si>
    <t>Does the tool use input data to train the model?</t>
  </si>
  <si>
    <t>CRITICAL</t>
  </si>
  <si>
    <t>Data residency</t>
  </si>
  <si>
    <t>Where is data stored/processed?</t>
  </si>
  <si>
    <t>Data classification fit</t>
  </si>
  <si>
    <t>Is it compatible with BUV's data classification levels?</t>
  </si>
  <si>
    <t>Security</t>
  </si>
  <si>
    <t>Authentication</t>
  </si>
  <si>
    <t>What level of SSO/MFA is supported?</t>
  </si>
  <si>
    <t>Access control</t>
  </si>
  <si>
    <t>Does it have RBAC / admin control / central management?</t>
  </si>
  <si>
    <t>Audit logging</t>
  </si>
  <si>
    <t>Does it have logging, audit trail and monitoring?</t>
  </si>
  <si>
    <t>Model Governance</t>
  </si>
  <si>
    <t>Explainability</t>
  </si>
  <si>
    <t>Level of model transparency / explainability</t>
  </si>
  <si>
    <t>Version control</t>
  </si>
  <si>
    <t>Is there version control / model change management?</t>
  </si>
  <si>
    <t>Retraining policy</t>
  </si>
  <si>
    <t>Is there a clear update / retraining policy?</t>
  </si>
  <si>
    <t>AI Risk &amp; Ethics</t>
  </si>
  <si>
    <t>Bias &amp; fairness</t>
  </si>
  <si>
    <t>Are there mechanisms to reduce bias / ensure fairness?</t>
  </si>
  <si>
    <t>Hallucination risk</t>
  </si>
  <si>
    <t>What is the risk level of incorrect / fabricated / inaccurate output?</t>
  </si>
  <si>
    <t>Safety &amp; misuse</t>
  </si>
  <si>
    <t>Risk of misuse / prompt abuse / unsafe content</t>
  </si>
  <si>
    <t>Lifecycle</t>
  </si>
  <si>
    <t>Monitoring</t>
  </si>
  <si>
    <t>Is there performance / quality monitoring during operation?</t>
  </si>
  <si>
    <t>Incident response</t>
  </si>
  <si>
    <t>Is there an AI incident response mechanism / response plan?</t>
  </si>
  <si>
    <t>Data drift</t>
  </si>
  <si>
    <t>Can it detect drift / quality changes over time?</t>
  </si>
  <si>
    <t>Governance</t>
  </si>
  <si>
    <t>Human oversight</t>
  </si>
  <si>
    <t>Is there human-in-the-loop / final accountability?</t>
  </si>
  <si>
    <t>Roles &amp; responsibility</t>
  </si>
  <si>
    <t>Are roles, responsibilities, and owners clearly defined?</t>
  </si>
  <si>
    <t>Documentation</t>
  </si>
  <si>
    <t>Is there sufficient documentation, evidence, and audit trail?</t>
  </si>
  <si>
    <t>Business</t>
  </si>
  <si>
    <t>Use case clarity</t>
  </si>
  <si>
    <t>Is the use case clearly defined and specific?</t>
  </si>
  <si>
    <t>Business value</t>
  </si>
  <si>
    <t>Is there clear benefit / ROI for BUV?</t>
  </si>
  <si>
    <t>Scalability</t>
  </si>
  <si>
    <t>Can it scale to multiple departments / university-wide?</t>
  </si>
  <si>
    <t>Vendor</t>
  </si>
  <si>
    <t>Vendor maturity</t>
  </si>
  <si>
    <t>Does the vendor have sufficient maturity/certification?</t>
  </si>
  <si>
    <t>Data ownership</t>
  </si>
  <si>
    <t>Are data ownership terms clear?</t>
  </si>
  <si>
    <t>Exit strategy</t>
  </si>
  <si>
    <t>Is there an exit plan / portability / avoid lock-in?</t>
  </si>
  <si>
    <t>ACADEMIC CRITERIA (V1.1)</t>
  </si>
  <si>
    <t>Academic Value</t>
  </si>
  <si>
    <t>Pedagogical Value</t>
  </si>
  <si>
    <t>Does the tool demonstrably improve teaching, learning, or research outcomes? Evidence of pedagogical benefit required.</t>
  </si>
  <si>
    <t>Med</t>
  </si>
  <si>
    <t>Research Enablement</t>
  </si>
  <si>
    <t>Does the tool support Safe Harbor use cases (patent preparation, manuscript drafting, NDA consulting) or other research infrastructure needs?</t>
  </si>
  <si>
    <t>Low</t>
  </si>
  <si>
    <t>Faculty Adoption &amp; Demand</t>
  </si>
  <si>
    <t>Is there clear, documented demand from academic staff? Has the tool been requested or endorsed by an academic unit?</t>
  </si>
  <si>
    <t>Academic Strategy</t>
  </si>
  <si>
    <t>Alignment with BUV Strategic Academic Goals</t>
  </si>
  <si>
    <t>Does the tool align with BUV's published academic strategy, research priorities, and international partnership goals?</t>
  </si>
  <si>
    <t>Academic Freedom</t>
  </si>
  <si>
    <t>Academic Freedom &amp; Open Inquiry Impact</t>
  </si>
  <si>
    <t>Does the tool impose any restriction on academic inquiry, intellectual exploration, or staff autonomy in research or teaching?</t>
  </si>
  <si>
    <t>AMENDMENT NOTE (V1.1)</t>
  </si>
  <si>
    <t>Academic criteria (rows 25-29) are evaluated by the AI Governance Committee or its designee, not by ICT. The ICT Security Manager signs the technical/security portion (rows 1-24); the AI Governance Committee Chair (or designee) signs the academic portion (rows 25-29). Both signatures are required for the institutional APPROVE / CONDITIONAL / REJECT decision. Where the two do not agree, the matter is referred to the Joint Review Board (per BUV AI Usage Guideline V2.1, Section 9) for binding determination.</t>
  </si>
  <si>
    <t>Scoring Guide</t>
  </si>
  <si>
    <t>Score level</t>
  </si>
  <si>
    <t>Meaning</t>
  </si>
  <si>
    <t>Low (1)</t>
  </si>
  <si>
    <t>Low risk, well controlled, suitable for adoption.</t>
  </si>
  <si>
    <t>Medium (2)</t>
  </si>
  <si>
    <t>Medium risk, can be used but requires control/limited scope of use.</t>
  </si>
  <si>
    <t>High (3)</t>
  </si>
  <si>
    <t>High risk, should not approve immediately; needs deep review or reject.</t>
  </si>
  <si>
    <t>APPROVE</t>
  </si>
  <si>
    <t>Total score ≤ 38 and no Critical High.  |  V1.1: Joint sign-off required (ICT Director + AI Governance Committee Chair).</t>
  </si>
  <si>
    <t>CONDITIONAL</t>
  </si>
  <si>
    <t>Total score 39–52 or 1 Critical High or risks requiring mitigation measures.  |  V1.1: Conditions must be agreed by ICT and the Committee jointly.</t>
  </si>
  <si>
    <t>REJECT</t>
  </si>
  <si>
    <t>Total score &gt; 52, or ≥ 4 High criteria, or ≥ 2 Critical High.  |  V1.1: Rejection may be appealed to the AI Governance Committee; on disagreement with ICT, escalated to the Joint Review Board (Guideline §9).</t>
  </si>
  <si>
    <t>V1.1 JOINT DECISION AUTHORITY</t>
  </si>
  <si>
    <t>Dual Sign-Off</t>
  </si>
  <si>
    <t>All APPROVE / CONDITIONAL / REJECT decisions require the joint signature of the ICT Director (technical/security) and the AI Governance Committee Chair (academic/governance). A single signature is not sufficient.</t>
  </si>
  <si>
    <t>Escalation</t>
  </si>
  <si>
    <t>Where ICT and the Committee cannot agree, the matter is referred to the Joint Review Board (per BUV AI Usage Guideline V2.1, Section 9) for binding determination within 15 working days.</t>
  </si>
  <si>
    <t>Default-Approval</t>
  </si>
  <si>
    <t>Where the ICT Security Assessment and the Academic Committee Review have not been completed within 15 working days of a complete request, the requesting department may refer the matter to the JRB. Pending JRB determination, the tool is provisionally approved for Green-tier work only.</t>
  </si>
  <si>
    <t>Academic Criteria</t>
  </si>
  <si>
    <t>Academic criteria (rows 25-29 of the Evaluation sheet) are scored by the AI Governance Committee or its designee, not by ICT. ICT scores rows 1-24 only.</t>
  </si>
  <si>
    <t>Critical High Override</t>
  </si>
  <si>
    <t>If a Critical High item is academic in nature (e.g., academic freedom impact), the AI Governance Committee can override the ICT technical recommendation by escalating to the JRB.</t>
  </si>
  <si>
    <t>Summary Dashboard – ICT / DPO</t>
  </si>
  <si>
    <t>Metric</t>
  </si>
  <si>
    <t>Value</t>
  </si>
  <si>
    <t>Distribution</t>
  </si>
  <si>
    <t>Count</t>
  </si>
  <si>
    <t>Total criteria</t>
  </si>
  <si>
    <t>Average score</t>
  </si>
  <si>
    <t>High count</t>
  </si>
  <si>
    <t>Critical High count</t>
  </si>
  <si>
    <t>JOINT (ICT + AI Governance Committee)</t>
  </si>
  <si>
    <t>V1.1 AMENDMENT NOTE</t>
  </si>
  <si>
    <t>The Conclusion on the Evaluation sheet is no longer the sole province of ICT. Both the ICT Director (technical/security) and the AI Governance Committee Chair (academic/governance) must sign before the institutional APPROVE / CONDITIONAL / REJECT decision is final. The Evaluation sheet now includes 5 additional academic criteria (rows 25-29) that are scored by the Committee, not ICT. Total criteria count updated from 24 to 29. See Guide sheet "V1.1 JOINT DECISION AUTHORITY" section for full rules.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</si>
</sst>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4"/>
      <name val="Calibri"/>
    </font>
    <font>
      <b/>
      <sz val="11"/>
      <name val="Calibri"/>
    </font>
    <font>
      <b/>
      <sz val="11"/>
      <color rgb="FFFFFFFF"/>
      <name val="Calibri"/>
    </font>
    <font>
      <b/>
      <sz val="11"/>
      <color theme="1"/>
      <name val="Calibri"/>
      <family val="2"/>
    </font>
    <font>
      <b/>
      <sz val="11"/>
      <name val="Calibri"/>
      <family val="2"/>
    </font>
    <font>
      <b/>
      <sz val="18"/>
      <name val="Calibri"/>
      <family val="2"/>
    </font>
    <font>
      <b/>
      <sz val="11"/>
      <color rgb="FFFFFFFF"/>
      <name val="Calibri"/>
      <family val="2"/>
    </font>
    <font>
      <sz val="11"/>
      <color rgb="FF0070C0"/>
      <name val="Calibri"/>
      <family val="2"/>
      <scheme val="minor"/>
    </font>
    <font>
      <b/>
      <sz val="11"/>
      <color rgb="FF0070C0"/>
      <name val="Calibri"/>
      <family val="2"/>
      <scheme val="minor"/>
    </font>
    <font>
      <b/>
      <sz val="10"/>
      <name val="Calibri"/>
    </font>
    <font>
      <b/>
      <sz val="11"/>
      <color rgb="FFFFFFFF"/>
      <name val="Calibri"/>
    </font>
    <font>
      <sz val="10"/>
      <name val="Calibri"/>
    </font>
  </fonts>
  <fills count="10">
    <fill>
      <patternFill patternType="none"/>
    </fill>
    <fill>
      <patternFill patternType="gray125"/>
    </fill>
    <fill>
      <patternFill patternType="solid">
        <fgColor rgb="FF1F4E78"/>
      </patternFill>
    </fill>
    <fill>
      <patternFill patternType="solid">
        <fgColor theme="4" tint="0.79998168889431442"/>
        <bgColor indexed="64"/>
      </patternFill>
    </fill>
    <fill>
      <patternFill patternType="solid">
        <fgColor theme="4" tint="0.79998168889431442"/>
        <bgColor rgb="FFC6E0B4"/>
      </patternFill>
    </fill>
    <fill>
      <patternFill patternType="solid">
        <fgColor theme="4" tint="0.79998168889431442"/>
        <bgColor rgb="FFFFE699"/>
      </patternFill>
    </fill>
    <fill>
      <patternFill patternType="solid">
        <fgColor theme="9" tint="0.79998168889431442"/>
        <bgColor indexed="64"/>
      </patternFill>
    </fill>
    <fill>
      <patternFill patternType="solid">
        <fgColor rgb="FFFFC000"/>
        <bgColor indexed="64"/>
      </patternFill>
    </fill>
    <fill>
      <patternFill patternType="solid">
        <fgColor rgb="FFFFFF00"/>
        <bgColor rgb="FFFFFF00"/>
      </patternFill>
    </fill>
    <fill>
      <patternFill patternType="solid">
        <fgColor rgb="FFC00000"/>
        <bgColor rgb="FFC00000"/>
      </patternFill>
    </fill>
  </fills>
  <borders count="6">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right style="thin">
        <color rgb="FFBFBFBF"/>
      </right>
      <top/>
      <bottom style="thin">
        <color rgb="FFBFBFBF"/>
      </bottom>
      <diagonal/>
    </border>
    <border>
      <left/>
      <right style="thin">
        <color indexed="64"/>
      </right>
      <top style="thin">
        <color indexed="64"/>
      </top>
      <bottom style="thin">
        <color indexed="64"/>
      </bottom>
      <diagonal/>
    </border>
    <border>
      <left/>
      <right/>
      <top/>
      <bottom style="thin">
        <color rgb="FFBFBFBF"/>
      </bottom>
      <diagonal/>
    </border>
  </borders>
  <cellStyleXfs count="1">
    <xf numFmtId="0" fontId="0" fillId="0" borderId="0"/>
  </cellStyleXfs>
  <cellXfs count="47">
    <xf numFmtId="0" fontId="0" fillId="0" borderId="0" xfId="0"/>
    <xf numFmtId="0" fontId="0" fillId="0" borderId="1" xfId="0" applyBorder="1" applyAlignment="1">
      <alignment horizontal="center" vertical="center" wrapText="1"/>
    </xf>
    <xf numFmtId="0" fontId="0" fillId="0" borderId="1" xfId="0" applyBorder="1" applyAlignment="1">
      <alignment horizontal="left" vertical="top" wrapText="1"/>
    </xf>
    <xf numFmtId="0" fontId="3" fillId="2" borderId="1" xfId="0" applyFont="1" applyFill="1" applyBorder="1" applyAlignment="1">
      <alignment horizontal="center" vertical="center" wrapText="1"/>
    </xf>
    <xf numFmtId="0" fontId="1" fillId="0" borderId="0" xfId="0" applyFont="1"/>
    <xf numFmtId="0" fontId="1" fillId="0" borderId="0" xfId="0" applyFont="1" applyAlignment="1">
      <alignment vertical="center"/>
    </xf>
    <xf numFmtId="0" fontId="0" fillId="0" borderId="0" xfId="0" applyAlignment="1">
      <alignment vertical="center"/>
    </xf>
    <xf numFmtId="0" fontId="0" fillId="0" borderId="0" xfId="0" applyAlignment="1">
      <alignment horizontal="left" vertical="center" wrapText="1"/>
    </xf>
    <xf numFmtId="0" fontId="3" fillId="2" borderId="2" xfId="0" applyFont="1" applyFill="1" applyBorder="1" applyAlignment="1">
      <alignment horizontal="center" vertical="center" wrapText="1"/>
    </xf>
    <xf numFmtId="0" fontId="0" fillId="0" borderId="2" xfId="0" applyBorder="1" applyAlignment="1">
      <alignment horizontal="center" vertical="center" wrapText="1"/>
    </xf>
    <xf numFmtId="0" fontId="0" fillId="0" borderId="2" xfId="0" applyBorder="1" applyAlignment="1">
      <alignment horizontal="left" vertical="center" wrapText="1"/>
    </xf>
    <xf numFmtId="0" fontId="0" fillId="0" borderId="2" xfId="0" applyBorder="1" applyAlignment="1">
      <alignment vertical="center"/>
    </xf>
    <xf numFmtId="0" fontId="0" fillId="0" borderId="0" xfId="0" applyAlignment="1">
      <alignment horizontal="center" vertical="center"/>
    </xf>
    <xf numFmtId="0" fontId="7" fillId="2" borderId="2" xfId="0" applyFont="1" applyFill="1" applyBorder="1" applyAlignment="1">
      <alignment horizontal="center" vertical="center" wrapText="1"/>
    </xf>
    <xf numFmtId="0" fontId="0" fillId="0" borderId="3" xfId="0" applyBorder="1" applyAlignment="1">
      <alignment horizontal="left" vertical="center" wrapText="1"/>
    </xf>
    <xf numFmtId="0" fontId="0" fillId="3" borderId="2" xfId="0" applyFill="1" applyBorder="1" applyAlignment="1">
      <alignment horizontal="center" vertical="center" wrapText="1"/>
    </xf>
    <xf numFmtId="0" fontId="8" fillId="4" borderId="2" xfId="0" applyFont="1" applyFill="1" applyBorder="1" applyAlignment="1">
      <alignment horizontal="center" vertical="center" wrapText="1"/>
    </xf>
    <xf numFmtId="0" fontId="8" fillId="5" borderId="2"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9" fillId="3" borderId="2" xfId="0" applyFont="1" applyFill="1" applyBorder="1" applyAlignment="1">
      <alignment horizontal="left" vertical="center" wrapText="1"/>
    </xf>
    <xf numFmtId="0" fontId="8" fillId="3" borderId="2" xfId="0" applyFont="1" applyFill="1" applyBorder="1" applyAlignment="1">
      <alignment horizontal="left" vertical="center" wrapText="1"/>
    </xf>
    <xf numFmtId="0" fontId="2" fillId="0" borderId="2" xfId="0" applyFont="1" applyBorder="1" applyAlignment="1">
      <alignment horizontal="left" vertical="center" wrapText="1"/>
    </xf>
    <xf numFmtId="0" fontId="0" fillId="0" borderId="2" xfId="0" applyBorder="1" applyAlignment="1">
      <alignment vertical="center" wrapText="1"/>
    </xf>
    <xf numFmtId="0" fontId="5" fillId="0" borderId="2" xfId="0" applyFont="1" applyBorder="1" applyAlignment="1">
      <alignment horizontal="left" vertical="center" wrapText="1"/>
    </xf>
    <xf numFmtId="0" fontId="0" fillId="0" borderId="0" xfId="0" applyAlignment="1">
      <alignment vertical="center" wrapText="1"/>
    </xf>
    <xf numFmtId="0" fontId="2" fillId="6" borderId="2" xfId="0" applyFont="1" applyFill="1" applyBorder="1" applyAlignment="1">
      <alignment horizontal="center" vertical="center" wrapText="1"/>
    </xf>
    <xf numFmtId="0" fontId="9" fillId="6" borderId="2" xfId="0" applyFont="1" applyFill="1" applyBorder="1" applyAlignment="1">
      <alignment horizontal="center" vertical="center" wrapText="1"/>
    </xf>
    <xf numFmtId="0" fontId="0" fillId="6" borderId="2" xfId="0" applyFill="1" applyBorder="1" applyAlignment="1">
      <alignment horizontal="center" vertical="center"/>
    </xf>
    <xf numFmtId="0" fontId="4" fillId="7" borderId="2" xfId="0" applyFont="1" applyFill="1" applyBorder="1" applyAlignment="1">
      <alignment horizontal="left" vertical="center" wrapText="1"/>
    </xf>
    <xf numFmtId="0" fontId="0" fillId="0" borderId="4" xfId="0" applyBorder="1"/>
    <xf numFmtId="0" fontId="10" fillId="8" borderId="0" xfId="0" applyFont="1" applyFill="1"/>
    <xf numFmtId="0" fontId="0" fillId="8" borderId="0" xfId="0" applyFill="1"/>
    <xf numFmtId="0" fontId="0" fillId="0" borderId="5" xfId="0" applyBorder="1"/>
    <xf numFmtId="0" fontId="0" fillId="0" borderId="3" xfId="0" applyBorder="1"/>
    <xf numFmtId="0" fontId="12" fillId="8" borderId="0" xfId="0" applyFont="1" applyFill="1" applyAlignment="1">
      <alignment vertical="top" wrapText="1"/>
    </xf>
    <xf numFmtId="0" fontId="0" fillId="8" borderId="2" xfId="0" applyFill="1" applyBorder="1" applyAlignment="1">
      <alignment horizontal="left" vertical="center" wrapText="1"/>
    </xf>
    <xf numFmtId="0" fontId="10" fillId="8" borderId="0" xfId="0" applyFont="1" applyFill="1" applyAlignment="1">
      <alignment vertical="center"/>
    </xf>
    <xf numFmtId="0" fontId="10" fillId="8" borderId="1" xfId="0" applyFont="1" applyFill="1" applyBorder="1" applyAlignment="1">
      <alignment horizontal="center" vertical="center" wrapText="1"/>
    </xf>
    <xf numFmtId="0" fontId="0" fillId="0" borderId="2" xfId="0" applyBorder="1" applyAlignment="1">
      <alignment horizontal="center" vertical="center" wrapText="1"/>
    </xf>
    <xf numFmtId="0" fontId="0" fillId="0" borderId="4" xfId="0" applyBorder="1"/>
    <xf numFmtId="0" fontId="10" fillId="8" borderId="2" xfId="0" applyFont="1" applyFill="1" applyBorder="1" applyAlignment="1">
      <alignment horizontal="center" vertical="center" wrapText="1"/>
    </xf>
    <xf numFmtId="0" fontId="0" fillId="0" borderId="0" xfId="0" applyAlignment="1">
      <alignment vertical="center"/>
    </xf>
    <xf numFmtId="0" fontId="12" fillId="8" borderId="0" xfId="0" applyFont="1" applyFill="1" applyAlignment="1">
      <alignment vertical="top" wrapText="1"/>
    </xf>
    <xf numFmtId="0" fontId="6" fillId="0" borderId="0" xfId="0" applyFont="1" applyAlignment="1">
      <alignment horizontal="center" vertical="center" wrapText="1"/>
    </xf>
    <xf numFmtId="0" fontId="11" fillId="9" borderId="0" xfId="0" applyFont="1" applyFill="1"/>
    <xf numFmtId="0" fontId="11" fillId="9" borderId="0" xfId="0" applyFont="1" applyFill="1" applyAlignment="1">
      <alignment vertical="center"/>
    </xf>
    <xf numFmtId="0" fontId="0" fillId="0" borderId="0" xfId="0"/>
  </cellXfs>
  <cellStyles count="1">
    <cellStyle name="Normal" xfId="0" builtinId="0"/>
  </cellStyles>
  <dxfs count="15">
    <dxf>
      <fill>
        <patternFill patternType="solid">
          <fgColor rgb="FFF4CCCC"/>
        </patternFill>
      </fill>
    </dxf>
    <dxf>
      <fill>
        <patternFill patternType="solid">
          <fgColor rgb="FFFFE699"/>
        </patternFill>
      </fill>
    </dxf>
    <dxf>
      <fill>
        <patternFill patternType="solid">
          <fgColor rgb="FFC6E0B4"/>
        </patternFill>
      </fill>
    </dxf>
    <dxf>
      <fill>
        <patternFill patternType="solid">
          <fgColor rgb="FFF4CCCC"/>
        </patternFill>
      </fill>
    </dxf>
    <dxf>
      <fill>
        <patternFill patternType="solid">
          <fgColor rgb="FFFFE699"/>
        </patternFill>
      </fill>
    </dxf>
    <dxf>
      <fill>
        <patternFill patternType="solid">
          <fgColor rgb="FFC6E0B4"/>
        </patternFill>
      </fill>
    </dxf>
    <dxf>
      <fill>
        <patternFill patternType="solid">
          <fgColor rgb="FFF4CCCC"/>
        </patternFill>
      </fill>
    </dxf>
    <dxf>
      <fill>
        <patternFill patternType="solid">
          <fgColor rgb="FFFFE699"/>
        </patternFill>
      </fill>
    </dxf>
    <dxf>
      <fill>
        <patternFill patternType="solid">
          <fgColor rgb="FFC6E0B4"/>
        </patternFill>
      </fill>
    </dxf>
    <dxf>
      <fill>
        <patternFill patternType="solid">
          <fgColor rgb="FFF4CCCC"/>
        </patternFill>
      </fill>
    </dxf>
    <dxf>
      <fill>
        <patternFill patternType="solid">
          <fgColor rgb="FFFFE699"/>
        </patternFill>
      </fill>
    </dxf>
    <dxf>
      <fill>
        <patternFill patternType="solid">
          <fgColor rgb="FFC6E0B4"/>
        </patternFill>
      </fill>
    </dxf>
    <dxf>
      <fill>
        <patternFill patternType="solid">
          <fgColor rgb="FFF4CCCC"/>
        </patternFill>
      </fill>
    </dxf>
    <dxf>
      <fill>
        <patternFill patternType="solid">
          <fgColor rgb="FFFFE699"/>
        </patternFill>
      </fill>
    </dxf>
    <dxf>
      <fill>
        <patternFill patternType="solid">
          <fgColor rgb="FFC6E0B4"/>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Phân bố mức độ rủi ro</a:t>
            </a:r>
          </a:p>
        </c:rich>
      </c:tx>
      <c:overlay val="1"/>
    </c:title>
    <c:autoTitleDeleted val="0"/>
    <c:plotArea>
      <c:layout/>
      <c:barChart>
        <c:barDir val="col"/>
        <c:grouping val="clustered"/>
        <c:varyColors val="1"/>
        <c:ser>
          <c:idx val="0"/>
          <c:order val="0"/>
          <c:tx>
            <c:strRef>
              <c:f>Dashboard!$E$3</c:f>
              <c:strCache>
                <c:ptCount val="1"/>
                <c:pt idx="0">
                  <c:v>Count</c:v>
                </c:pt>
              </c:strCache>
            </c:strRef>
          </c:tx>
          <c:spPr>
            <a:ln>
              <a:prstDash val="solid"/>
            </a:ln>
          </c:spPr>
          <c:invertIfNegative val="1"/>
          <c:cat>
            <c:strRef>
              <c:f>Dashboard!$D$4:$D$6</c:f>
              <c:strCache>
                <c:ptCount val="3"/>
                <c:pt idx="0">
                  <c:v>Low (1)</c:v>
                </c:pt>
                <c:pt idx="1">
                  <c:v>Medium (2)</c:v>
                </c:pt>
                <c:pt idx="2">
                  <c:v>High (3)</c:v>
                </c:pt>
              </c:strCache>
            </c:strRef>
          </c:cat>
          <c:val>
            <c:numRef>
              <c:f>Dashboard!$E$4:$E$6</c:f>
              <c:numCache>
                <c:formatCode>General</c:formatCode>
                <c:ptCount val="3"/>
                <c:pt idx="0">
                  <c:v>0</c:v>
                </c:pt>
                <c:pt idx="1">
                  <c:v>0</c:v>
                </c:pt>
                <c:pt idx="2">
                  <c:v>0</c:v>
                </c:pt>
              </c:numCache>
            </c:numRef>
          </c:val>
          <c:extLst>
            <c:ext xmlns:c16="http://schemas.microsoft.com/office/drawing/2014/chart" uri="{C3380CC4-5D6E-409C-BE32-E72D297353CC}">
              <c16:uniqueId val="{00000000-1D5E-49E4-BD11-36C9ED651E41}"/>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US"/>
                  <a:t>Mức độ</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Số tiêu chí</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Tỷ trọng mức độ rủi ro</a:t>
            </a:r>
          </a:p>
        </c:rich>
      </c:tx>
      <c:overlay val="1"/>
    </c:title>
    <c:autoTitleDeleted val="0"/>
    <c:plotArea>
      <c:layout/>
      <c:pieChart>
        <c:varyColors val="1"/>
        <c:ser>
          <c:idx val="0"/>
          <c:order val="0"/>
          <c:tx>
            <c:strRef>
              <c:f>Dashboard!$E$3</c:f>
              <c:strCache>
                <c:ptCount val="1"/>
                <c:pt idx="0">
                  <c:v>Count</c:v>
                </c:pt>
              </c:strCache>
            </c:strRef>
          </c:tx>
          <c:spPr>
            <a:ln>
              <a:prstDash val="solid"/>
            </a:ln>
          </c:spPr>
          <c:cat>
            <c:strRef>
              <c:f>Dashboard!$D$4:$D$6</c:f>
              <c:strCache>
                <c:ptCount val="3"/>
                <c:pt idx="0">
                  <c:v>Low (1)</c:v>
                </c:pt>
                <c:pt idx="1">
                  <c:v>Medium (2)</c:v>
                </c:pt>
                <c:pt idx="2">
                  <c:v>High (3)</c:v>
                </c:pt>
              </c:strCache>
            </c:strRef>
          </c:cat>
          <c:val>
            <c:numRef>
              <c:f>Dashboard!$E$4:$E$6</c:f>
              <c:numCache>
                <c:formatCode>General</c:formatCode>
                <c:ptCount val="3"/>
                <c:pt idx="0">
                  <c:v>0</c:v>
                </c:pt>
                <c:pt idx="1">
                  <c:v>0</c:v>
                </c:pt>
                <c:pt idx="2">
                  <c:v>0</c:v>
                </c:pt>
              </c:numCache>
            </c:numRef>
          </c:val>
          <c:extLst>
            <c:ext xmlns:c16="http://schemas.microsoft.com/office/drawing/2014/chart" uri="{C3380CC4-5D6E-409C-BE32-E72D297353CC}">
              <c16:uniqueId val="{00000000-FA47-4440-BCA1-FC5E80F5E87D}"/>
            </c:ext>
          </c:extLst>
        </c:ser>
        <c:dLbls>
          <c:showLegendKey val="0"/>
          <c:showVal val="0"/>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4</xdr:col>
      <xdr:colOff>152400</xdr:colOff>
      <xdr:row>13</xdr:row>
      <xdr:rowOff>104775</xdr:rowOff>
    </xdr:from>
    <xdr:ext cx="4533900" cy="276225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333375</xdr:colOff>
      <xdr:row>13</xdr:row>
      <xdr:rowOff>104775</xdr:rowOff>
    </xdr:from>
    <xdr:ext cx="4400550" cy="2758125"/>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6"/>
  <sheetViews>
    <sheetView tabSelected="1" workbookViewId="0">
      <pane ySplit="8" topLeftCell="A46" activePane="bottomLeft" state="frozen"/>
      <selection pane="bottomLeft" activeCell="F14" sqref="F14"/>
    </sheetView>
  </sheetViews>
  <sheetFormatPr defaultColWidth="9.15625" defaultRowHeight="14.4" x14ac:dyDescent="0.55000000000000004"/>
  <cols>
    <col min="1" max="1" width="6" style="12" customWidth="1"/>
    <col min="2" max="2" width="22" style="6" customWidth="1"/>
    <col min="3" max="3" width="28" style="6" customWidth="1"/>
    <col min="4" max="4" width="55" style="6" customWidth="1"/>
    <col min="5" max="5" width="12" style="6" customWidth="1"/>
    <col min="6" max="6" width="10" style="6" customWidth="1"/>
    <col min="7" max="7" width="12" style="6" customWidth="1"/>
    <col min="8" max="8" width="22" style="6" customWidth="1"/>
    <col min="9" max="9" width="28" style="6" customWidth="1"/>
    <col min="10" max="10" width="9.15625" style="6" customWidth="1"/>
    <col min="11" max="16384" width="9.15625" style="6"/>
  </cols>
  <sheetData>
    <row r="1" spans="1:9" ht="38.25" customHeight="1" x14ac:dyDescent="0.55000000000000004">
      <c r="A1" s="43" t="s">
        <v>0</v>
      </c>
      <c r="B1" s="41"/>
      <c r="C1" s="41"/>
      <c r="D1" s="41"/>
      <c r="E1" s="41"/>
      <c r="F1" s="41"/>
      <c r="G1" s="41"/>
      <c r="H1" s="41"/>
      <c r="I1" s="41"/>
    </row>
    <row r="2" spans="1:9" ht="30" customHeight="1" x14ac:dyDescent="0.55000000000000004">
      <c r="C2" s="21" t="s">
        <v>1</v>
      </c>
      <c r="D2" s="10" t="s">
        <v>2</v>
      </c>
      <c r="E2" s="21" t="s">
        <v>3</v>
      </c>
      <c r="F2" s="38" t="s">
        <v>4</v>
      </c>
      <c r="G2" s="39"/>
      <c r="H2" s="24"/>
    </row>
    <row r="3" spans="1:9" ht="30" customHeight="1" x14ac:dyDescent="0.55000000000000004">
      <c r="C3" s="23" t="s">
        <v>5</v>
      </c>
      <c r="D3" s="22" t="s">
        <v>6</v>
      </c>
      <c r="E3" s="23" t="s">
        <v>7</v>
      </c>
      <c r="F3" s="38" t="s">
        <v>8</v>
      </c>
      <c r="G3" s="39"/>
      <c r="H3" s="24"/>
    </row>
    <row r="4" spans="1:9" ht="30" customHeight="1" x14ac:dyDescent="0.55000000000000004">
      <c r="C4" s="23" t="s">
        <v>9</v>
      </c>
      <c r="D4" s="22" t="s">
        <v>6</v>
      </c>
      <c r="E4" s="28" t="s">
        <v>10</v>
      </c>
      <c r="F4" s="40" t="s">
        <v>11</v>
      </c>
      <c r="G4" s="39"/>
      <c r="H4" s="7"/>
    </row>
    <row r="6" spans="1:9" ht="23.25" customHeight="1" x14ac:dyDescent="0.55000000000000004">
      <c r="B6" s="30" t="s">
        <v>12</v>
      </c>
      <c r="C6" s="31" t="s">
        <v>13</v>
      </c>
      <c r="H6" s="41"/>
      <c r="I6" s="41"/>
    </row>
    <row r="7" spans="1:9" ht="17.25" customHeight="1" x14ac:dyDescent="0.55000000000000004">
      <c r="B7" s="30" t="s">
        <v>14</v>
      </c>
      <c r="C7" s="31" t="s">
        <v>13</v>
      </c>
      <c r="D7" s="41"/>
      <c r="E7" s="41"/>
      <c r="F7" s="41"/>
      <c r="G7" s="41"/>
      <c r="H7" s="41"/>
    </row>
    <row r="8" spans="1:9" ht="25.5" customHeight="1" x14ac:dyDescent="0.55000000000000004">
      <c r="B8" s="30" t="s">
        <v>15</v>
      </c>
      <c r="C8" s="31" t="s">
        <v>16</v>
      </c>
    </row>
    <row r="9" spans="1:9" x14ac:dyDescent="0.55000000000000004">
      <c r="B9" s="30" t="s">
        <v>17</v>
      </c>
      <c r="C9" s="31" t="s">
        <v>18</v>
      </c>
    </row>
    <row r="10" spans="1:9" ht="28.8" x14ac:dyDescent="0.55000000000000004">
      <c r="A10" s="27"/>
      <c r="B10" s="25" t="s">
        <v>19</v>
      </c>
      <c r="C10" s="26" t="str">
        <f ca="1">SUM(F13:F36)</f>
        <v/>
      </c>
      <c r="D10" s="25" t="s">
        <v>20</v>
      </c>
      <c r="E10" s="26" t="str">
        <f ca="1">COUNTIF(F13:F36,3)</f>
        <v/>
      </c>
      <c r="F10" s="25" t="s">
        <v>21</v>
      </c>
      <c r="G10" s="26">
        <f>COUNTIFS(G13:G36,"CRITICAL",F13:F36,3)</f>
        <v>0</v>
      </c>
      <c r="H10" s="27"/>
      <c r="I10" s="29"/>
    </row>
    <row r="11" spans="1:9" ht="30" customHeight="1" x14ac:dyDescent="0.55000000000000004">
      <c r="D11" s="14"/>
      <c r="E11" s="32"/>
      <c r="F11" s="32"/>
      <c r="G11" s="32"/>
      <c r="H11" s="33"/>
    </row>
    <row r="12" spans="1:9" x14ac:dyDescent="0.55000000000000004">
      <c r="A12" s="13" t="s">
        <v>22</v>
      </c>
      <c r="B12" s="8" t="s">
        <v>23</v>
      </c>
      <c r="C12" s="8" t="s">
        <v>24</v>
      </c>
      <c r="D12" s="8" t="s">
        <v>25</v>
      </c>
      <c r="E12" s="8" t="s">
        <v>26</v>
      </c>
      <c r="F12" s="8" t="s">
        <v>27</v>
      </c>
      <c r="G12" s="8" t="s">
        <v>28</v>
      </c>
      <c r="H12" s="8" t="s">
        <v>29</v>
      </c>
      <c r="I12" s="8" t="s">
        <v>30</v>
      </c>
    </row>
    <row r="13" spans="1:9" ht="30" customHeight="1" x14ac:dyDescent="0.55000000000000004">
      <c r="A13" s="18">
        <v>1</v>
      </c>
      <c r="B13" s="19" t="s">
        <v>31</v>
      </c>
      <c r="C13" s="20" t="s">
        <v>32</v>
      </c>
      <c r="D13" s="20" t="s">
        <v>33</v>
      </c>
      <c r="E13" s="9"/>
      <c r="F13" s="15"/>
      <c r="G13" s="16" t="s">
        <v>34</v>
      </c>
      <c r="H13" s="11"/>
      <c r="I13" s="11"/>
    </row>
    <row r="14" spans="1:9" x14ac:dyDescent="0.55000000000000004">
      <c r="A14" s="18">
        <v>2</v>
      </c>
      <c r="B14" s="19" t="s">
        <v>31</v>
      </c>
      <c r="C14" s="20" t="s">
        <v>35</v>
      </c>
      <c r="D14" s="20" t="s">
        <v>36</v>
      </c>
      <c r="E14" s="9"/>
      <c r="F14" s="15" t="str">
        <f t="shared" ref="F14:F36" ca="1" si="0">IF(E10="Low (1)",1,IF(E10="Medium (2)",2,IF(E10="High (3)",3,"")))</f>
        <v/>
      </c>
      <c r="G14" s="17"/>
      <c r="H14" s="11"/>
      <c r="I14" s="11"/>
    </row>
    <row r="15" spans="1:9" x14ac:dyDescent="0.55000000000000004">
      <c r="A15" s="18">
        <v>3</v>
      </c>
      <c r="B15" s="19" t="s">
        <v>31</v>
      </c>
      <c r="C15" s="20" t="s">
        <v>37</v>
      </c>
      <c r="D15" s="20" t="s">
        <v>38</v>
      </c>
      <c r="E15" s="9"/>
      <c r="F15" s="15" t="str">
        <f t="shared" si="0"/>
        <v/>
      </c>
      <c r="G15" s="16" t="s">
        <v>34</v>
      </c>
      <c r="H15" s="11"/>
      <c r="I15" s="11"/>
    </row>
    <row r="16" spans="1:9" ht="30" customHeight="1" x14ac:dyDescent="0.55000000000000004">
      <c r="A16" s="18">
        <v>4</v>
      </c>
      <c r="B16" s="19" t="s">
        <v>39</v>
      </c>
      <c r="C16" s="20" t="s">
        <v>40</v>
      </c>
      <c r="D16" s="20" t="s">
        <v>41</v>
      </c>
      <c r="E16" s="9"/>
      <c r="F16" s="15" t="str">
        <f t="shared" si="0"/>
        <v/>
      </c>
      <c r="G16" s="16" t="s">
        <v>34</v>
      </c>
      <c r="H16" s="11"/>
      <c r="I16" s="11"/>
    </row>
    <row r="17" spans="1:9" x14ac:dyDescent="0.55000000000000004">
      <c r="A17" s="18">
        <v>5</v>
      </c>
      <c r="B17" s="19" t="s">
        <v>39</v>
      </c>
      <c r="C17" s="20" t="s">
        <v>42</v>
      </c>
      <c r="D17" s="20" t="s">
        <v>43</v>
      </c>
      <c r="E17" s="9"/>
      <c r="F17" s="15" t="str">
        <f t="shared" si="0"/>
        <v/>
      </c>
      <c r="G17" s="16" t="s">
        <v>34</v>
      </c>
      <c r="H17" s="11"/>
      <c r="I17" s="11"/>
    </row>
    <row r="18" spans="1:9" ht="30" customHeight="1" x14ac:dyDescent="0.55000000000000004">
      <c r="A18" s="18">
        <v>6</v>
      </c>
      <c r="B18" s="19" t="s">
        <v>39</v>
      </c>
      <c r="C18" s="20" t="s">
        <v>44</v>
      </c>
      <c r="D18" s="20" t="s">
        <v>45</v>
      </c>
      <c r="E18" s="9"/>
      <c r="F18" s="15" t="str">
        <f t="shared" si="0"/>
        <v/>
      </c>
      <c r="G18" s="16"/>
      <c r="H18" s="11"/>
      <c r="I18" s="11"/>
    </row>
    <row r="19" spans="1:9" ht="30" customHeight="1" x14ac:dyDescent="0.55000000000000004">
      <c r="A19" s="18">
        <v>7</v>
      </c>
      <c r="B19" s="19" t="s">
        <v>46</v>
      </c>
      <c r="C19" s="20" t="s">
        <v>47</v>
      </c>
      <c r="D19" s="20" t="s">
        <v>48</v>
      </c>
      <c r="E19" s="9"/>
      <c r="F19" s="15" t="str">
        <f t="shared" si="0"/>
        <v/>
      </c>
      <c r="G19" s="17"/>
      <c r="H19" s="11"/>
      <c r="I19" s="11"/>
    </row>
    <row r="20" spans="1:9" x14ac:dyDescent="0.55000000000000004">
      <c r="A20" s="18">
        <v>8</v>
      </c>
      <c r="B20" s="19" t="s">
        <v>46</v>
      </c>
      <c r="C20" s="20" t="s">
        <v>49</v>
      </c>
      <c r="D20" s="20" t="s">
        <v>50</v>
      </c>
      <c r="E20" s="9"/>
      <c r="F20" s="15" t="str">
        <f t="shared" si="0"/>
        <v/>
      </c>
      <c r="G20" s="17"/>
      <c r="H20" s="11"/>
      <c r="I20" s="11"/>
    </row>
    <row r="21" spans="1:9" ht="30" customHeight="1" x14ac:dyDescent="0.55000000000000004">
      <c r="A21" s="18">
        <v>9</v>
      </c>
      <c r="B21" s="19" t="s">
        <v>46</v>
      </c>
      <c r="C21" s="20" t="s">
        <v>51</v>
      </c>
      <c r="D21" s="20" t="s">
        <v>52</v>
      </c>
      <c r="E21" s="9"/>
      <c r="F21" s="15" t="str">
        <f t="shared" si="0"/>
        <v/>
      </c>
      <c r="G21" s="17"/>
      <c r="H21" s="11"/>
      <c r="I21" s="11"/>
    </row>
    <row r="22" spans="1:9" ht="30" customHeight="1" x14ac:dyDescent="0.55000000000000004">
      <c r="A22" s="18">
        <v>10</v>
      </c>
      <c r="B22" s="19" t="s">
        <v>53</v>
      </c>
      <c r="C22" s="20" t="s">
        <v>54</v>
      </c>
      <c r="D22" s="20" t="s">
        <v>55</v>
      </c>
      <c r="E22" s="9"/>
      <c r="F22" s="15" t="str">
        <f t="shared" si="0"/>
        <v/>
      </c>
      <c r="G22" s="17"/>
      <c r="H22" s="11"/>
      <c r="I22" s="11"/>
    </row>
    <row r="23" spans="1:9" x14ac:dyDescent="0.55000000000000004">
      <c r="A23" s="18">
        <v>11</v>
      </c>
      <c r="B23" s="19" t="s">
        <v>53</v>
      </c>
      <c r="C23" s="20" t="s">
        <v>56</v>
      </c>
      <c r="D23" s="20" t="s">
        <v>57</v>
      </c>
      <c r="E23" s="9"/>
      <c r="F23" s="15" t="str">
        <f t="shared" si="0"/>
        <v/>
      </c>
      <c r="G23" s="17"/>
      <c r="H23" s="11"/>
      <c r="I23" s="11"/>
    </row>
    <row r="24" spans="1:9" x14ac:dyDescent="0.55000000000000004">
      <c r="A24" s="18">
        <v>12</v>
      </c>
      <c r="B24" s="19" t="s">
        <v>53</v>
      </c>
      <c r="C24" s="20" t="s">
        <v>58</v>
      </c>
      <c r="D24" s="20" t="s">
        <v>59</v>
      </c>
      <c r="E24" s="9"/>
      <c r="F24" s="15" t="str">
        <f t="shared" si="0"/>
        <v/>
      </c>
      <c r="G24" s="17"/>
      <c r="H24" s="11"/>
      <c r="I24" s="11"/>
    </row>
    <row r="25" spans="1:9" ht="30" customHeight="1" x14ac:dyDescent="0.55000000000000004">
      <c r="A25" s="18">
        <v>13</v>
      </c>
      <c r="B25" s="19" t="s">
        <v>60</v>
      </c>
      <c r="C25" s="20" t="s">
        <v>61</v>
      </c>
      <c r="D25" s="20" t="s">
        <v>62</v>
      </c>
      <c r="E25" s="9"/>
      <c r="F25" s="15" t="str">
        <f t="shared" si="0"/>
        <v/>
      </c>
      <c r="G25" s="17"/>
      <c r="H25" s="11"/>
      <c r="I25" s="11"/>
    </row>
    <row r="26" spans="1:9" ht="30" customHeight="1" x14ac:dyDescent="0.55000000000000004">
      <c r="A26" s="18">
        <v>14</v>
      </c>
      <c r="B26" s="19" t="s">
        <v>60</v>
      </c>
      <c r="C26" s="20" t="s">
        <v>63</v>
      </c>
      <c r="D26" s="20" t="s">
        <v>64</v>
      </c>
      <c r="E26" s="9"/>
      <c r="F26" s="15" t="str">
        <f t="shared" si="0"/>
        <v/>
      </c>
      <c r="G26" s="17"/>
      <c r="H26" s="11"/>
      <c r="I26" s="11"/>
    </row>
    <row r="27" spans="1:9" x14ac:dyDescent="0.55000000000000004">
      <c r="A27" s="18">
        <v>15</v>
      </c>
      <c r="B27" s="19" t="s">
        <v>60</v>
      </c>
      <c r="C27" s="20" t="s">
        <v>65</v>
      </c>
      <c r="D27" s="20" t="s">
        <v>66</v>
      </c>
      <c r="E27" s="9"/>
      <c r="F27" s="15" t="str">
        <f t="shared" si="0"/>
        <v/>
      </c>
      <c r="G27" s="17"/>
      <c r="H27" s="11"/>
      <c r="I27" s="11"/>
    </row>
    <row r="28" spans="1:9" x14ac:dyDescent="0.55000000000000004">
      <c r="A28" s="18">
        <v>16</v>
      </c>
      <c r="B28" s="19" t="s">
        <v>67</v>
      </c>
      <c r="C28" s="20" t="s">
        <v>68</v>
      </c>
      <c r="D28" s="20" t="s">
        <v>69</v>
      </c>
      <c r="E28" s="9"/>
      <c r="F28" s="15" t="str">
        <f t="shared" si="0"/>
        <v/>
      </c>
      <c r="G28" s="16" t="s">
        <v>34</v>
      </c>
      <c r="H28" s="11"/>
      <c r="I28" s="11"/>
    </row>
    <row r="29" spans="1:9" ht="30" customHeight="1" x14ac:dyDescent="0.55000000000000004">
      <c r="A29" s="18">
        <v>17</v>
      </c>
      <c r="B29" s="19" t="s">
        <v>67</v>
      </c>
      <c r="C29" s="20" t="s">
        <v>70</v>
      </c>
      <c r="D29" s="20" t="s">
        <v>71</v>
      </c>
      <c r="E29" s="9"/>
      <c r="F29" s="15" t="str">
        <f t="shared" si="0"/>
        <v/>
      </c>
      <c r="G29" s="17"/>
      <c r="H29" s="11"/>
      <c r="I29" s="11"/>
    </row>
    <row r="30" spans="1:9" ht="30" customHeight="1" x14ac:dyDescent="0.55000000000000004">
      <c r="A30" s="18">
        <v>18</v>
      </c>
      <c r="B30" s="19" t="s">
        <v>67</v>
      </c>
      <c r="C30" s="20" t="s">
        <v>72</v>
      </c>
      <c r="D30" s="20" t="s">
        <v>73</v>
      </c>
      <c r="E30" s="9"/>
      <c r="F30" s="15" t="str">
        <f t="shared" si="0"/>
        <v/>
      </c>
      <c r="G30" s="16"/>
      <c r="H30" s="11"/>
      <c r="I30" s="11"/>
    </row>
    <row r="31" spans="1:9" x14ac:dyDescent="0.55000000000000004">
      <c r="A31" s="18">
        <v>19</v>
      </c>
      <c r="B31" s="19" t="s">
        <v>74</v>
      </c>
      <c r="C31" s="20" t="s">
        <v>75</v>
      </c>
      <c r="D31" s="20" t="s">
        <v>76</v>
      </c>
      <c r="E31" s="9"/>
      <c r="F31" s="15" t="str">
        <f t="shared" si="0"/>
        <v/>
      </c>
      <c r="G31" s="16"/>
      <c r="H31" s="11"/>
      <c r="I31" s="11"/>
    </row>
    <row r="32" spans="1:9" x14ac:dyDescent="0.55000000000000004">
      <c r="A32" s="18">
        <v>20</v>
      </c>
      <c r="B32" s="19" t="s">
        <v>74</v>
      </c>
      <c r="C32" s="20" t="s">
        <v>77</v>
      </c>
      <c r="D32" s="20" t="s">
        <v>78</v>
      </c>
      <c r="E32" s="9"/>
      <c r="F32" s="15" t="str">
        <f t="shared" si="0"/>
        <v/>
      </c>
      <c r="G32" s="16"/>
      <c r="H32" s="11"/>
      <c r="I32" s="11"/>
    </row>
    <row r="33" spans="1:9" x14ac:dyDescent="0.55000000000000004">
      <c r="A33" s="18">
        <v>21</v>
      </c>
      <c r="B33" s="19" t="s">
        <v>74</v>
      </c>
      <c r="C33" s="20" t="s">
        <v>79</v>
      </c>
      <c r="D33" s="20" t="s">
        <v>80</v>
      </c>
      <c r="E33" s="9"/>
      <c r="F33" s="15" t="str">
        <f t="shared" si="0"/>
        <v/>
      </c>
      <c r="G33" s="16"/>
      <c r="H33" s="11"/>
      <c r="I33" s="11"/>
    </row>
    <row r="34" spans="1:9" x14ac:dyDescent="0.55000000000000004">
      <c r="A34" s="18">
        <v>22</v>
      </c>
      <c r="B34" s="19" t="s">
        <v>81</v>
      </c>
      <c r="C34" s="20" t="s">
        <v>82</v>
      </c>
      <c r="D34" s="20" t="s">
        <v>83</v>
      </c>
      <c r="E34" s="9"/>
      <c r="F34" s="15" t="str">
        <f t="shared" si="0"/>
        <v/>
      </c>
      <c r="G34" s="16"/>
      <c r="H34" s="11"/>
      <c r="I34" s="11"/>
    </row>
    <row r="35" spans="1:9" x14ac:dyDescent="0.55000000000000004">
      <c r="A35" s="18">
        <v>23</v>
      </c>
      <c r="B35" s="19" t="s">
        <v>81</v>
      </c>
      <c r="C35" s="20" t="s">
        <v>84</v>
      </c>
      <c r="D35" s="20" t="s">
        <v>85</v>
      </c>
      <c r="E35" s="9"/>
      <c r="F35" s="15" t="str">
        <f t="shared" si="0"/>
        <v/>
      </c>
      <c r="G35" s="16"/>
      <c r="H35" s="11"/>
      <c r="I35" s="11"/>
    </row>
    <row r="36" spans="1:9" x14ac:dyDescent="0.55000000000000004">
      <c r="A36" s="18">
        <v>24</v>
      </c>
      <c r="B36" s="19" t="s">
        <v>81</v>
      </c>
      <c r="C36" s="20" t="s">
        <v>86</v>
      </c>
      <c r="D36" s="20" t="s">
        <v>87</v>
      </c>
      <c r="E36" s="9"/>
      <c r="F36" s="15" t="str">
        <f t="shared" si="0"/>
        <v/>
      </c>
      <c r="G36" s="17"/>
      <c r="H36" s="11"/>
      <c r="I36" s="11"/>
    </row>
    <row r="38" spans="1:9" x14ac:dyDescent="0.55000000000000004">
      <c r="A38" s="44" t="s">
        <v>88</v>
      </c>
      <c r="B38" s="41"/>
      <c r="C38" s="41"/>
      <c r="D38" s="41"/>
      <c r="E38" s="41"/>
      <c r="F38" s="41"/>
      <c r="G38" s="41"/>
      <c r="H38" s="41"/>
      <c r="I38" s="41"/>
    </row>
    <row r="39" spans="1:9" x14ac:dyDescent="0.55000000000000004">
      <c r="A39" s="30">
        <v>25</v>
      </c>
      <c r="B39" s="31" t="s">
        <v>89</v>
      </c>
      <c r="C39" s="30" t="s">
        <v>90</v>
      </c>
      <c r="D39" s="31" t="s">
        <v>91</v>
      </c>
      <c r="E39" s="31"/>
      <c r="F39" s="31"/>
      <c r="G39" s="31" t="s">
        <v>92</v>
      </c>
      <c r="H39" s="31"/>
      <c r="I39" s="31"/>
    </row>
    <row r="40" spans="1:9" x14ac:dyDescent="0.55000000000000004">
      <c r="A40" s="30">
        <v>26</v>
      </c>
      <c r="B40" s="31" t="s">
        <v>89</v>
      </c>
      <c r="C40" s="30" t="s">
        <v>93</v>
      </c>
      <c r="D40" s="31" t="s">
        <v>94</v>
      </c>
      <c r="E40" s="31"/>
      <c r="F40" s="31"/>
      <c r="G40" s="31" t="s">
        <v>95</v>
      </c>
      <c r="H40" s="31"/>
      <c r="I40" s="31"/>
    </row>
    <row r="41" spans="1:9" x14ac:dyDescent="0.55000000000000004">
      <c r="A41" s="30">
        <v>27</v>
      </c>
      <c r="B41" s="31" t="s">
        <v>89</v>
      </c>
      <c r="C41" s="30" t="s">
        <v>96</v>
      </c>
      <c r="D41" s="31" t="s">
        <v>97</v>
      </c>
      <c r="E41" s="31"/>
      <c r="F41" s="31"/>
      <c r="G41" s="31" t="s">
        <v>95</v>
      </c>
      <c r="H41" s="31"/>
      <c r="I41" s="31"/>
    </row>
    <row r="42" spans="1:9" x14ac:dyDescent="0.55000000000000004">
      <c r="A42" s="30">
        <v>28</v>
      </c>
      <c r="B42" s="31" t="s">
        <v>98</v>
      </c>
      <c r="C42" s="30" t="s">
        <v>99</v>
      </c>
      <c r="D42" s="31" t="s">
        <v>100</v>
      </c>
      <c r="E42" s="31"/>
      <c r="F42" s="31"/>
      <c r="G42" s="31" t="s">
        <v>92</v>
      </c>
      <c r="H42" s="31"/>
      <c r="I42" s="31"/>
    </row>
    <row r="43" spans="1:9" x14ac:dyDescent="0.55000000000000004">
      <c r="A43" s="30">
        <v>29</v>
      </c>
      <c r="B43" s="31" t="s">
        <v>101</v>
      </c>
      <c r="C43" s="30" t="s">
        <v>102</v>
      </c>
      <c r="D43" s="31" t="s">
        <v>103</v>
      </c>
      <c r="E43" s="31"/>
      <c r="F43" s="31"/>
      <c r="G43" s="31" t="s">
        <v>34</v>
      </c>
      <c r="H43" s="31"/>
      <c r="I43" s="31"/>
    </row>
    <row r="45" spans="1:9" x14ac:dyDescent="0.55000000000000004">
      <c r="A45" s="44" t="s">
        <v>104</v>
      </c>
      <c r="B45" s="41"/>
      <c r="C45" s="41"/>
      <c r="D45" s="41"/>
      <c r="E45" s="41"/>
      <c r="F45" s="41"/>
      <c r="G45" s="41"/>
      <c r="H45" s="41"/>
      <c r="I45" s="41"/>
    </row>
    <row r="46" spans="1:9" ht="60" customHeight="1" x14ac:dyDescent="0.55000000000000004">
      <c r="A46" s="42" t="s">
        <v>105</v>
      </c>
      <c r="B46" s="41"/>
      <c r="C46" s="41"/>
      <c r="D46" s="41"/>
      <c r="E46" s="41"/>
      <c r="F46" s="41"/>
      <c r="G46" s="41"/>
      <c r="H46" s="41"/>
      <c r="I46" s="41"/>
    </row>
  </sheetData>
  <autoFilter ref="B8:H32" xr:uid="{00000000-0009-0000-0000-000000000000}"/>
  <mergeCells count="9">
    <mergeCell ref="A46:I46"/>
    <mergeCell ref="A1:I1"/>
    <mergeCell ref="A45:I45"/>
    <mergeCell ref="A38:I38"/>
    <mergeCell ref="F3:G3"/>
    <mergeCell ref="F4:G4"/>
    <mergeCell ref="F2:G2"/>
    <mergeCell ref="D7:H7"/>
    <mergeCell ref="H6:I6"/>
  </mergeCells>
  <conditionalFormatting sqref="A9:A32">
    <cfRule type="expression" dxfId="14" priority="1">
      <formula>$F9=1</formula>
    </cfRule>
    <cfRule type="expression" dxfId="13" priority="2">
      <formula>$F9=2</formula>
    </cfRule>
    <cfRule type="expression" dxfId="12" priority="3">
      <formula>$F9=3</formula>
    </cfRule>
  </conditionalFormatting>
  <conditionalFormatting sqref="B9:F32 H9:H32">
    <cfRule type="expression" dxfId="11" priority="7">
      <formula>$F9=1</formula>
    </cfRule>
    <cfRule type="expression" dxfId="10" priority="8">
      <formula>$F9=2</formula>
    </cfRule>
    <cfRule type="expression" dxfId="9" priority="9">
      <formula>$F9=3</formula>
    </cfRule>
  </conditionalFormatting>
  <conditionalFormatting sqref="E9:E32">
    <cfRule type="expression" dxfId="8" priority="4">
      <formula>$E9="Low (1)"</formula>
    </cfRule>
    <cfRule type="expression" dxfId="7" priority="5">
      <formula>$E9="Medium (2)"</formula>
    </cfRule>
    <cfRule type="expression" dxfId="6" priority="6">
      <formula>$E9="High (3)"</formula>
    </cfRule>
  </conditionalFormatting>
  <conditionalFormatting sqref="F4">
    <cfRule type="expression" dxfId="5" priority="103">
      <formula>$F$4="APPROVE"</formula>
    </cfRule>
    <cfRule type="expression" dxfId="4" priority="104">
      <formula>$F$4="CONDITIONAL"</formula>
    </cfRule>
    <cfRule type="expression" dxfId="3" priority="105">
      <formula>$F$4="REJECT"</formula>
    </cfRule>
  </conditionalFormatting>
  <dataValidations count="1">
    <dataValidation type="list" allowBlank="1" error="Vui lòng chọn một giá trị từ danh sách" prompt="Chọn mức độ rủi ro cho tiêu chí này" sqref="E9:E32" xr:uid="{00000000-0002-0000-0000-000000000000}">
      <formula1>"Low (1),Medium (2),High (3)"</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workbookViewId="0">
      <selection activeCell="A7" sqref="A7:XFD7"/>
    </sheetView>
  </sheetViews>
  <sheetFormatPr defaultColWidth="9.15625" defaultRowHeight="14.4" x14ac:dyDescent="0.55000000000000004"/>
  <cols>
    <col min="1" max="1" width="25" style="6" customWidth="1"/>
    <col min="2" max="2" width="100" style="6" customWidth="1"/>
    <col min="3" max="3" width="9.15625" style="6" customWidth="1"/>
    <col min="4" max="16384" width="9.15625" style="6"/>
  </cols>
  <sheetData>
    <row r="1" spans="1:2" ht="18.75" customHeight="1" x14ac:dyDescent="0.55000000000000004">
      <c r="A1" s="5" t="s">
        <v>106</v>
      </c>
    </row>
    <row r="3" spans="1:2" ht="21.75" customHeight="1" x14ac:dyDescent="0.55000000000000004">
      <c r="A3" s="13" t="s">
        <v>107</v>
      </c>
      <c r="B3" s="13" t="s">
        <v>108</v>
      </c>
    </row>
    <row r="4" spans="1:2" x14ac:dyDescent="0.55000000000000004">
      <c r="A4" s="9" t="s">
        <v>109</v>
      </c>
      <c r="B4" s="10" t="s">
        <v>110</v>
      </c>
    </row>
    <row r="5" spans="1:2" x14ac:dyDescent="0.55000000000000004">
      <c r="A5" s="9" t="s">
        <v>111</v>
      </c>
      <c r="B5" s="10" t="s">
        <v>112</v>
      </c>
    </row>
    <row r="6" spans="1:2" x14ac:dyDescent="0.55000000000000004">
      <c r="A6" s="9" t="s">
        <v>113</v>
      </c>
      <c r="B6" s="10" t="s">
        <v>114</v>
      </c>
    </row>
    <row r="7" spans="1:2" x14ac:dyDescent="0.55000000000000004">
      <c r="A7" s="9" t="s">
        <v>115</v>
      </c>
      <c r="B7" s="35" t="s">
        <v>116</v>
      </c>
    </row>
    <row r="8" spans="1:2" ht="28.8" x14ac:dyDescent="0.55000000000000004">
      <c r="A8" s="9" t="s">
        <v>117</v>
      </c>
      <c r="B8" s="35" t="s">
        <v>118</v>
      </c>
    </row>
    <row r="9" spans="1:2" ht="28.8" x14ac:dyDescent="0.55000000000000004">
      <c r="A9" s="9" t="s">
        <v>119</v>
      </c>
      <c r="B9" s="35" t="s">
        <v>120</v>
      </c>
    </row>
    <row r="11" spans="1:2" x14ac:dyDescent="0.55000000000000004">
      <c r="A11" s="45" t="s">
        <v>121</v>
      </c>
      <c r="B11" s="41"/>
    </row>
    <row r="12" spans="1:2" ht="50.05" customHeight="1" x14ac:dyDescent="0.5">
      <c r="A12" s="30" t="s">
        <v>122</v>
      </c>
      <c r="B12" s="34" t="s">
        <v>123</v>
      </c>
    </row>
    <row r="13" spans="1:2" ht="50.05" customHeight="1" x14ac:dyDescent="0.55000000000000004">
      <c r="A13" s="36" t="s">
        <v>124</v>
      </c>
      <c r="B13" s="34" t="s">
        <v>125</v>
      </c>
    </row>
    <row r="14" spans="1:2" ht="50.05" customHeight="1" x14ac:dyDescent="0.5">
      <c r="A14" s="30" t="s">
        <v>126</v>
      </c>
      <c r="B14" s="34" t="s">
        <v>127</v>
      </c>
    </row>
    <row r="15" spans="1:2" ht="50.05" customHeight="1" x14ac:dyDescent="0.5">
      <c r="A15" s="30" t="s">
        <v>128</v>
      </c>
      <c r="B15" s="34" t="s">
        <v>129</v>
      </c>
    </row>
    <row r="16" spans="1:2" ht="50.05" customHeight="1" x14ac:dyDescent="0.5">
      <c r="A16" s="30" t="s">
        <v>130</v>
      </c>
      <c r="B16" s="34" t="s">
        <v>131</v>
      </c>
    </row>
  </sheetData>
  <mergeCells count="1">
    <mergeCell ref="A11:B1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
  <sheetViews>
    <sheetView workbookViewId="0">
      <selection activeCell="B4" sqref="B4"/>
    </sheetView>
  </sheetViews>
  <sheetFormatPr defaultRowHeight="14.4" x14ac:dyDescent="0.55000000000000004"/>
  <cols>
    <col min="1" max="1" width="24" customWidth="1"/>
    <col min="2" max="2" width="16" customWidth="1"/>
    <col min="4" max="4" width="24" customWidth="1"/>
    <col min="5" max="5" width="18" customWidth="1"/>
  </cols>
  <sheetData>
    <row r="1" spans="1:5" ht="18.75" customHeight="1" x14ac:dyDescent="0.7">
      <c r="A1" s="4" t="s">
        <v>132</v>
      </c>
    </row>
    <row r="3" spans="1:5" x14ac:dyDescent="0.55000000000000004">
      <c r="A3" s="3" t="s">
        <v>133</v>
      </c>
      <c r="B3" s="3" t="s">
        <v>134</v>
      </c>
      <c r="D3" s="3" t="s">
        <v>135</v>
      </c>
      <c r="E3" s="3" t="s">
        <v>136</v>
      </c>
    </row>
    <row r="4" spans="1:5" x14ac:dyDescent="0.55000000000000004">
      <c r="A4" s="2" t="s">
        <v>137</v>
      </c>
      <c r="B4" s="37">
        <v>29</v>
      </c>
      <c r="D4" s="2" t="s">
        <v>109</v>
      </c>
      <c r="E4" s="1" t="str">
        <f ca="1">COUNTIF(Evaluation!E9:E32,"Low (1)")</f>
        <v/>
      </c>
    </row>
    <row r="5" spans="1:5" x14ac:dyDescent="0.55000000000000004">
      <c r="A5" s="2" t="s">
        <v>19</v>
      </c>
      <c r="B5" s="1" t="str">
        <f ca="1">Evaluation!C10</f>
        <v/>
      </c>
      <c r="D5" s="2" t="s">
        <v>111</v>
      </c>
      <c r="E5" s="1" t="str">
        <f ca="1">COUNTIF(Evaluation!E9:E32,"Medium (2)")</f>
        <v/>
      </c>
    </row>
    <row r="6" spans="1:5" x14ac:dyDescent="0.55000000000000004">
      <c r="A6" s="2" t="s">
        <v>138</v>
      </c>
      <c r="B6" s="1" t="str">
        <f ca="1">ROUND(AVERAGE(Evaluation!F9:F32),2)</f>
        <v/>
      </c>
      <c r="D6" s="2" t="s">
        <v>113</v>
      </c>
      <c r="E6" s="1" t="str">
        <f ca="1">COUNTIF(Evaluation!E9:E32,"High (3)")</f>
        <v/>
      </c>
    </row>
    <row r="7" spans="1:5" x14ac:dyDescent="0.55000000000000004">
      <c r="A7" s="2" t="s">
        <v>139</v>
      </c>
      <c r="B7" s="1" t="str">
        <f ca="1">Evaluation!E10</f>
        <v/>
      </c>
    </row>
    <row r="8" spans="1:5" x14ac:dyDescent="0.55000000000000004">
      <c r="A8" s="2" t="s">
        <v>140</v>
      </c>
      <c r="B8" s="1">
        <f>Evaluation!G10</f>
        <v>0</v>
      </c>
    </row>
    <row r="9" spans="1:5" ht="38.700000000000003" x14ac:dyDescent="0.55000000000000004">
      <c r="A9" s="2" t="s">
        <v>10</v>
      </c>
      <c r="B9" s="37" t="s">
        <v>141</v>
      </c>
    </row>
    <row r="12" spans="1:5" x14ac:dyDescent="0.55000000000000004">
      <c r="A12" s="44" t="s">
        <v>142</v>
      </c>
      <c r="B12" s="46"/>
      <c r="C12" s="46"/>
      <c r="D12" s="46"/>
    </row>
    <row r="13" spans="1:5" ht="80.05" customHeight="1" x14ac:dyDescent="0.55000000000000004">
      <c r="A13" s="42" t="s">
        <v>143</v>
      </c>
      <c r="B13" s="46"/>
      <c r="C13" s="46"/>
      <c r="D13" s="46"/>
    </row>
  </sheetData>
  <mergeCells count="2">
    <mergeCell ref="A12:D12"/>
    <mergeCell ref="A13:D13"/>
  </mergeCells>
  <conditionalFormatting sqref="B9">
    <cfRule type="expression" dxfId="2" priority="1">
      <formula>$B$9="APPROVE"</formula>
    </cfRule>
    <cfRule type="expression" dxfId="1" priority="2">
      <formula>$B$9="CONDITIONAL"</formula>
    </cfRule>
    <cfRule type="expression" dxfId="0" priority="3">
      <formula>$B$9="REJECT"</formula>
    </cfRule>
  </conditionalFormatting>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Evaluation</vt:lpstr>
      <vt:lpstr>Guide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Assoc. Prof. Ali Al-Dulaimi</cp:lastModifiedBy>
  <dcterms:created xsi:type="dcterms:W3CDTF">2026-06-23T16:15:37Z</dcterms:created>
  <dcterms:modified xsi:type="dcterms:W3CDTF">2026-09-17T10:25:58Z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0x010100FBE01DFD08A8E94CBFFE66D46977DCE6</vt:lpwstr>
  </property>
  <property fmtid="{D5CDD505-2E9C-101B-9397-08002B2CF9AE}" pid="3" name="MediaServiceImageTags">
    <vt:lpwstr/>
  </property>
</Properties>
</file>